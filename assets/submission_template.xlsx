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kazuyuki.saito\Downloads\"/>
    </mc:Choice>
  </mc:AlternateContent>
  <xr:revisionPtr revIDLastSave="0" documentId="13_ncr:1_{CE8BCF58-A2FC-47F4-8773-62CCF708550B}" xr6:coauthVersionLast="47" xr6:coauthVersionMax="47" xr10:uidLastSave="{00000000-0000-0000-0000-000000000000}"/>
  <bookViews>
    <workbookView xWindow="28680" yWindow="-120" windowWidth="29040" windowHeight="15720" activeTab="2" xr2:uid="{00000000-000D-0000-FFFF-FFFF00000000}"/>
  </bookViews>
  <sheets>
    <sheet name="短縮承認除外" sheetId="7" r:id="rId1"/>
    <sheet name="全体サマリ（定常期間サマリ）" sheetId="1" r:id="rId2"/>
    <sheet name="10月（既存移管合算）" sheetId="2" r:id="rId3"/>
    <sheet name="件数(合算）" sheetId="3" r:id="rId4"/>
    <sheet name="発行(合算）" sheetId="4" r:id="rId5"/>
    <sheet name="コスト計算用(合算）" sheetId="5" r:id="rId6"/>
    <sheet name="短縮承認日程" sheetId="6" r:id="rId7"/>
  </sheets>
  <calcPr calcId="191029" calcOnSave="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 i="7" l="1"/>
  <c r="D46" i="1"/>
  <c r="D45" i="1"/>
  <c r="H46" i="7"/>
  <c r="E46" i="7"/>
  <c r="D46" i="7"/>
  <c r="C46" i="7"/>
  <c r="E45" i="7"/>
  <c r="D45" i="7"/>
  <c r="C45" i="7"/>
  <c r="B46" i="7"/>
  <c r="B45" i="7"/>
  <c r="I46" i="7" l="1"/>
  <c r="I45" i="7"/>
  <c r="G45" i="7"/>
  <c r="G46" i="7"/>
  <c r="P8" i="3" l="1"/>
  <c r="Q8" i="3"/>
  <c r="R8" i="3"/>
  <c r="S8" i="3"/>
  <c r="T8" i="3"/>
  <c r="U8" i="3"/>
  <c r="P9" i="3"/>
  <c r="Q9" i="3"/>
  <c r="R9" i="3"/>
  <c r="S9" i="3"/>
  <c r="T9" i="3"/>
  <c r="U9" i="3"/>
  <c r="P10" i="3"/>
  <c r="Q10" i="3"/>
  <c r="R10" i="3"/>
  <c r="S10" i="3"/>
  <c r="T10" i="3"/>
  <c r="U10" i="3"/>
  <c r="P13" i="3"/>
  <c r="Q13" i="3"/>
  <c r="R13" i="3"/>
  <c r="S13" i="3"/>
  <c r="T13" i="3"/>
  <c r="U13" i="3"/>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F12" i="5"/>
  <c r="AH367" i="2"/>
  <c r="I37" i="7"/>
  <c r="H37" i="7"/>
  <c r="H43" i="7" s="1"/>
  <c r="G37" i="7"/>
  <c r="E37" i="7"/>
  <c r="E43" i="7" s="1"/>
  <c r="C37" i="7"/>
  <c r="C43" i="7" s="1"/>
  <c r="B37" i="7"/>
  <c r="B43" i="7" s="1"/>
  <c r="O9" i="5" l="1"/>
  <c r="I43" i="7"/>
  <c r="G43" i="7"/>
  <c r="G40" i="1"/>
  <c r="O7" i="5"/>
  <c r="BE375" i="2" l="1"/>
  <c r="BD375" i="2"/>
  <c r="BC375" i="2"/>
  <c r="BB375" i="2"/>
  <c r="BA375" i="2"/>
  <c r="AZ375" i="2"/>
  <c r="AY375" i="2"/>
  <c r="AX375" i="2"/>
  <c r="AW375" i="2"/>
  <c r="AV375" i="2"/>
  <c r="AU375" i="2"/>
  <c r="AT375" i="2"/>
  <c r="AS375" i="2"/>
  <c r="AR375" i="2"/>
  <c r="AQ375" i="2"/>
  <c r="AP375" i="2"/>
  <c r="AO375" i="2"/>
  <c r="AN375" i="2"/>
  <c r="AM375" i="2"/>
  <c r="AL375" i="2"/>
  <c r="AK375" i="2"/>
  <c r="AJ375" i="2"/>
  <c r="BE372" i="2"/>
  <c r="BD372" i="2"/>
  <c r="BC372" i="2"/>
  <c r="BB372" i="2"/>
  <c r="BA372" i="2"/>
  <c r="AZ372" i="2"/>
  <c r="AY372" i="2"/>
  <c r="AX372" i="2"/>
  <c r="AW372" i="2"/>
  <c r="AV372" i="2"/>
  <c r="AU372" i="2"/>
  <c r="AT372" i="2"/>
  <c r="AS372" i="2"/>
  <c r="AR372" i="2"/>
  <c r="AQ372" i="2"/>
  <c r="AP372" i="2"/>
  <c r="AO372" i="2"/>
  <c r="AN372" i="2"/>
  <c r="AM372" i="2"/>
  <c r="AL372" i="2"/>
  <c r="AK372" i="2"/>
  <c r="AJ372" i="2"/>
  <c r="BE368" i="2"/>
  <c r="BE377" i="2" s="1"/>
  <c r="BD368" i="2"/>
  <c r="BD377" i="2" s="1"/>
  <c r="BC368" i="2"/>
  <c r="BB368" i="2"/>
  <c r="BB377" i="2" s="1"/>
  <c r="BA368" i="2"/>
  <c r="BA377" i="2" s="1"/>
  <c r="AZ368" i="2"/>
  <c r="AZ377" i="2" s="1"/>
  <c r="AY368" i="2"/>
  <c r="AX368" i="2"/>
  <c r="AW368" i="2"/>
  <c r="AW377" i="2" s="1"/>
  <c r="AV368" i="2"/>
  <c r="AU368" i="2"/>
  <c r="AU377" i="2" s="1"/>
  <c r="AT368" i="2"/>
  <c r="AT377" i="2" s="1"/>
  <c r="AS368" i="2"/>
  <c r="AS377" i="2" s="1"/>
  <c r="AR368" i="2"/>
  <c r="AR377" i="2" s="1"/>
  <c r="AQ368" i="2"/>
  <c r="AQ377" i="2" s="1"/>
  <c r="AP368" i="2"/>
  <c r="AP377" i="2" s="1"/>
  <c r="AO368" i="2"/>
  <c r="AO377" i="2" s="1"/>
  <c r="AN368" i="2"/>
  <c r="AN377" i="2" s="1"/>
  <c r="AM368" i="2"/>
  <c r="AM377" i="2" s="1"/>
  <c r="AL368" i="2"/>
  <c r="AL377" i="2" s="1"/>
  <c r="AK368" i="2"/>
  <c r="AJ368" i="2"/>
  <c r="BE367" i="2"/>
  <c r="BE376" i="2" s="1"/>
  <c r="BD367" i="2"/>
  <c r="BC367" i="2"/>
  <c r="BC376" i="2" s="1"/>
  <c r="BB367" i="2"/>
  <c r="BB376" i="2" s="1"/>
  <c r="BA367" i="2"/>
  <c r="BA376" i="2" s="1"/>
  <c r="AZ367" i="2"/>
  <c r="AZ376" i="2" s="1"/>
  <c r="AY367" i="2"/>
  <c r="AY376" i="2" s="1"/>
  <c r="AX367" i="2"/>
  <c r="AX376" i="2" s="1"/>
  <c r="AW367" i="2"/>
  <c r="AW376" i="2" s="1"/>
  <c r="AV367" i="2"/>
  <c r="AV376" i="2" s="1"/>
  <c r="AU367" i="2"/>
  <c r="AU376" i="2" s="1"/>
  <c r="AT367" i="2"/>
  <c r="AT376" i="2" s="1"/>
  <c r="AS367" i="2"/>
  <c r="AR367" i="2"/>
  <c r="AQ367" i="2"/>
  <c r="AQ376" i="2" s="1"/>
  <c r="AP367" i="2"/>
  <c r="AO367" i="2"/>
  <c r="AO376" i="2" s="1"/>
  <c r="AN367" i="2"/>
  <c r="AN376" i="2" s="1"/>
  <c r="AM367" i="2"/>
  <c r="AM376" i="2" s="1"/>
  <c r="AL367" i="2"/>
  <c r="AL376" i="2" s="1"/>
  <c r="AK367" i="2"/>
  <c r="AK376" i="2" s="1"/>
  <c r="AJ367" i="2"/>
  <c r="AJ376" i="2" s="1"/>
  <c r="BE365" i="2"/>
  <c r="BE380" i="2" s="1"/>
  <c r="BD365" i="2"/>
  <c r="BC365" i="2"/>
  <c r="BC380" i="2" s="1"/>
  <c r="BB365" i="2"/>
  <c r="BB380" i="2" s="1"/>
  <c r="BA365" i="2"/>
  <c r="BA380" i="2" s="1"/>
  <c r="AZ365" i="2"/>
  <c r="AZ380" i="2" s="1"/>
  <c r="AY365" i="2"/>
  <c r="AY380" i="2" s="1"/>
  <c r="AX365" i="2"/>
  <c r="AX380" i="2" s="1"/>
  <c r="AW365" i="2"/>
  <c r="AW380" i="2" s="1"/>
  <c r="AV365" i="2"/>
  <c r="AV380" i="2" s="1"/>
  <c r="AU365" i="2"/>
  <c r="AT365" i="2"/>
  <c r="AS365" i="2"/>
  <c r="AS380" i="2" s="1"/>
  <c r="AR365" i="2"/>
  <c r="AQ365" i="2"/>
  <c r="AP365" i="2"/>
  <c r="AO365" i="2"/>
  <c r="AO380" i="2" s="1"/>
  <c r="AN365" i="2"/>
  <c r="AN380" i="2" s="1"/>
  <c r="AM365" i="2"/>
  <c r="AM380" i="2" s="1"/>
  <c r="AL365" i="2"/>
  <c r="AL380" i="2" s="1"/>
  <c r="AK365" i="2"/>
  <c r="AK380" i="2" s="1"/>
  <c r="AJ365" i="2"/>
  <c r="AJ380" i="2" s="1"/>
  <c r="BE364" i="2"/>
  <c r="BE379" i="2" s="1"/>
  <c r="BD364" i="2"/>
  <c r="BD379" i="2" s="1"/>
  <c r="BC364" i="2"/>
  <c r="BC379" i="2" s="1"/>
  <c r="BB364" i="2"/>
  <c r="BB379" i="2" s="1"/>
  <c r="BA364" i="2"/>
  <c r="AZ364" i="2"/>
  <c r="AZ379" i="2" s="1"/>
  <c r="AY364" i="2"/>
  <c r="AY379" i="2" s="1"/>
  <c r="AX364" i="2"/>
  <c r="AX379" i="2" s="1"/>
  <c r="AW364" i="2"/>
  <c r="AW379" i="2" s="1"/>
  <c r="AV364" i="2"/>
  <c r="AV379" i="2" s="1"/>
  <c r="AU364" i="2"/>
  <c r="AU379" i="2" s="1"/>
  <c r="AT364" i="2"/>
  <c r="AT379" i="2" s="1"/>
  <c r="AS364" i="2"/>
  <c r="AS379" i="2" s="1"/>
  <c r="AR364" i="2"/>
  <c r="AR379" i="2" s="1"/>
  <c r="AQ364" i="2"/>
  <c r="AQ379" i="2" s="1"/>
  <c r="AP364" i="2"/>
  <c r="AP379" i="2" s="1"/>
  <c r="AO364" i="2"/>
  <c r="AO379" i="2" s="1"/>
  <c r="AN364" i="2"/>
  <c r="AN379" i="2" s="1"/>
  <c r="AM364" i="2"/>
  <c r="AL364" i="2"/>
  <c r="AL379" i="2" s="1"/>
  <c r="AK364" i="2"/>
  <c r="AK379" i="2" s="1"/>
  <c r="AJ364" i="2"/>
  <c r="AJ379" i="2" s="1"/>
  <c r="BE362" i="2"/>
  <c r="BD362" i="2"/>
  <c r="BC362" i="2"/>
  <c r="BB362" i="2"/>
  <c r="BA362" i="2"/>
  <c r="AZ362" i="2"/>
  <c r="AY362" i="2"/>
  <c r="AX362" i="2"/>
  <c r="AW362" i="2"/>
  <c r="AV362" i="2"/>
  <c r="AU362" i="2"/>
  <c r="AT362" i="2"/>
  <c r="AS362" i="2"/>
  <c r="AR362" i="2"/>
  <c r="AQ362" i="2"/>
  <c r="AP362" i="2"/>
  <c r="AO362" i="2"/>
  <c r="AN362" i="2"/>
  <c r="AM362" i="2"/>
  <c r="AL362" i="2"/>
  <c r="AK362" i="2"/>
  <c r="AJ362" i="2"/>
  <c r="BE358" i="2"/>
  <c r="BD358" i="2"/>
  <c r="BC358" i="2"/>
  <c r="BB358" i="2"/>
  <c r="BA358" i="2"/>
  <c r="AZ358" i="2"/>
  <c r="AY358" i="2"/>
  <c r="AX358" i="2"/>
  <c r="AW358" i="2"/>
  <c r="AV358" i="2"/>
  <c r="AU358" i="2"/>
  <c r="AT358" i="2"/>
  <c r="AS358" i="2"/>
  <c r="AR358" i="2"/>
  <c r="AQ358" i="2"/>
  <c r="AP358" i="2"/>
  <c r="AO358" i="2"/>
  <c r="AN358" i="2"/>
  <c r="AM358" i="2"/>
  <c r="AL358" i="2"/>
  <c r="AK358" i="2"/>
  <c r="AJ358" i="2"/>
  <c r="BE355" i="2"/>
  <c r="BD355" i="2"/>
  <c r="BC355" i="2"/>
  <c r="BB355" i="2"/>
  <c r="BA355" i="2"/>
  <c r="AZ355" i="2"/>
  <c r="AY355" i="2"/>
  <c r="AX355" i="2"/>
  <c r="AW355" i="2"/>
  <c r="AV355" i="2"/>
  <c r="AU355" i="2"/>
  <c r="AT355" i="2"/>
  <c r="AS355" i="2"/>
  <c r="AR355" i="2"/>
  <c r="AQ355" i="2"/>
  <c r="AP355" i="2"/>
  <c r="AO355" i="2"/>
  <c r="AN355" i="2"/>
  <c r="AM355" i="2"/>
  <c r="AL355" i="2"/>
  <c r="AK355" i="2"/>
  <c r="AJ355" i="2"/>
  <c r="BE351" i="2"/>
  <c r="BD351" i="2"/>
  <c r="BC351" i="2"/>
  <c r="BB351" i="2"/>
  <c r="BA351" i="2"/>
  <c r="AZ351" i="2"/>
  <c r="AY351" i="2"/>
  <c r="AX351" i="2"/>
  <c r="AW351" i="2"/>
  <c r="AV351" i="2"/>
  <c r="AU351" i="2"/>
  <c r="AT351" i="2"/>
  <c r="AS351" i="2"/>
  <c r="AR351" i="2"/>
  <c r="AQ351" i="2"/>
  <c r="AP351" i="2"/>
  <c r="AO351" i="2"/>
  <c r="AN351" i="2"/>
  <c r="AM351" i="2"/>
  <c r="AL351" i="2"/>
  <c r="AK351" i="2"/>
  <c r="AJ351" i="2"/>
  <c r="BE347" i="2"/>
  <c r="BD347" i="2"/>
  <c r="BC347" i="2"/>
  <c r="BB347" i="2"/>
  <c r="BA347" i="2"/>
  <c r="AZ347" i="2"/>
  <c r="AY347" i="2"/>
  <c r="AX347" i="2"/>
  <c r="AW347" i="2"/>
  <c r="AV347" i="2"/>
  <c r="AU347" i="2"/>
  <c r="AT347" i="2"/>
  <c r="AS347" i="2"/>
  <c r="AR347" i="2"/>
  <c r="AQ347" i="2"/>
  <c r="AP347" i="2"/>
  <c r="AO347" i="2"/>
  <c r="AN347" i="2"/>
  <c r="AM347" i="2"/>
  <c r="AL347" i="2"/>
  <c r="AK347" i="2"/>
  <c r="AJ347" i="2"/>
  <c r="BE343" i="2"/>
  <c r="BD343" i="2"/>
  <c r="BC343" i="2"/>
  <c r="BB343" i="2"/>
  <c r="BA343" i="2"/>
  <c r="AZ343" i="2"/>
  <c r="AY343" i="2"/>
  <c r="AX343" i="2"/>
  <c r="AW343" i="2"/>
  <c r="AV343" i="2"/>
  <c r="AU343" i="2"/>
  <c r="AT343" i="2"/>
  <c r="AS343" i="2"/>
  <c r="AR343" i="2"/>
  <c r="AQ343" i="2"/>
  <c r="AP343" i="2"/>
  <c r="AO343" i="2"/>
  <c r="AN343" i="2"/>
  <c r="AM343" i="2"/>
  <c r="AL343" i="2"/>
  <c r="AK343" i="2"/>
  <c r="AJ343" i="2"/>
  <c r="BE339" i="2"/>
  <c r="BD339" i="2"/>
  <c r="BC339" i="2"/>
  <c r="BB339" i="2"/>
  <c r="BA339" i="2"/>
  <c r="AZ339" i="2"/>
  <c r="AY339" i="2"/>
  <c r="AX339" i="2"/>
  <c r="AW339" i="2"/>
  <c r="AV339" i="2"/>
  <c r="AU339" i="2"/>
  <c r="AT339" i="2"/>
  <c r="AS339" i="2"/>
  <c r="AR339" i="2"/>
  <c r="AQ339" i="2"/>
  <c r="AP339" i="2"/>
  <c r="AO339" i="2"/>
  <c r="AN339" i="2"/>
  <c r="AM339" i="2"/>
  <c r="AL339" i="2"/>
  <c r="AK339" i="2"/>
  <c r="AJ339" i="2"/>
  <c r="BE335" i="2"/>
  <c r="BD335" i="2"/>
  <c r="BC335" i="2"/>
  <c r="BB335" i="2"/>
  <c r="BA335" i="2"/>
  <c r="AZ335" i="2"/>
  <c r="AY335" i="2"/>
  <c r="AX335" i="2"/>
  <c r="AW335" i="2"/>
  <c r="AV335" i="2"/>
  <c r="AU335" i="2"/>
  <c r="AT335" i="2"/>
  <c r="AS335" i="2"/>
  <c r="AR335" i="2"/>
  <c r="AQ335" i="2"/>
  <c r="AP335" i="2"/>
  <c r="AO335" i="2"/>
  <c r="AN335" i="2"/>
  <c r="AM335" i="2"/>
  <c r="AL335" i="2"/>
  <c r="AK335" i="2"/>
  <c r="AJ335" i="2"/>
  <c r="BE331" i="2"/>
  <c r="BD331" i="2"/>
  <c r="BC331" i="2"/>
  <c r="BB331" i="2"/>
  <c r="BA331" i="2"/>
  <c r="AZ331" i="2"/>
  <c r="AY331" i="2"/>
  <c r="AX331" i="2"/>
  <c r="AW331" i="2"/>
  <c r="AV331" i="2"/>
  <c r="AU331" i="2"/>
  <c r="AT331" i="2"/>
  <c r="AS331" i="2"/>
  <c r="AR331" i="2"/>
  <c r="AQ331" i="2"/>
  <c r="AP331" i="2"/>
  <c r="AO331" i="2"/>
  <c r="AN331" i="2"/>
  <c r="AM331" i="2"/>
  <c r="AL331" i="2"/>
  <c r="AK331" i="2"/>
  <c r="AJ331" i="2"/>
  <c r="BE327" i="2"/>
  <c r="BD327" i="2"/>
  <c r="BC327" i="2"/>
  <c r="BB327" i="2"/>
  <c r="BA327" i="2"/>
  <c r="AZ327" i="2"/>
  <c r="AY327" i="2"/>
  <c r="AX327" i="2"/>
  <c r="AW327" i="2"/>
  <c r="AV327" i="2"/>
  <c r="AU327" i="2"/>
  <c r="AT327" i="2"/>
  <c r="AS327" i="2"/>
  <c r="AR327" i="2"/>
  <c r="AQ327" i="2"/>
  <c r="AP327" i="2"/>
  <c r="AO327" i="2"/>
  <c r="AN327" i="2"/>
  <c r="AM327" i="2"/>
  <c r="AL327" i="2"/>
  <c r="AK327" i="2"/>
  <c r="AJ327" i="2"/>
  <c r="BE323" i="2"/>
  <c r="BD323" i="2"/>
  <c r="BC323" i="2"/>
  <c r="BB323" i="2"/>
  <c r="BA323" i="2"/>
  <c r="AZ323" i="2"/>
  <c r="AY323" i="2"/>
  <c r="AX323" i="2"/>
  <c r="AW323" i="2"/>
  <c r="AV323" i="2"/>
  <c r="AU323" i="2"/>
  <c r="AT323" i="2"/>
  <c r="AS323" i="2"/>
  <c r="AR323" i="2"/>
  <c r="AQ323" i="2"/>
  <c r="AP323" i="2"/>
  <c r="AO323" i="2"/>
  <c r="AN323" i="2"/>
  <c r="AM323" i="2"/>
  <c r="AL323" i="2"/>
  <c r="AK323" i="2"/>
  <c r="AJ323" i="2"/>
  <c r="BE319" i="2"/>
  <c r="BD319" i="2"/>
  <c r="BC319" i="2"/>
  <c r="BB319" i="2"/>
  <c r="BA319" i="2"/>
  <c r="AZ319" i="2"/>
  <c r="AY319" i="2"/>
  <c r="AX319" i="2"/>
  <c r="AW319" i="2"/>
  <c r="AV319" i="2"/>
  <c r="AU319" i="2"/>
  <c r="AT319" i="2"/>
  <c r="AS319" i="2"/>
  <c r="AR319" i="2"/>
  <c r="AQ319" i="2"/>
  <c r="AP319" i="2"/>
  <c r="AO319" i="2"/>
  <c r="AN319" i="2"/>
  <c r="AM319" i="2"/>
  <c r="AL319" i="2"/>
  <c r="AK319" i="2"/>
  <c r="AJ319" i="2"/>
  <c r="BE316" i="2"/>
  <c r="BD316" i="2"/>
  <c r="BC316" i="2"/>
  <c r="BB316" i="2"/>
  <c r="BA316" i="2"/>
  <c r="AZ316" i="2"/>
  <c r="AY316" i="2"/>
  <c r="AX316" i="2"/>
  <c r="AW316" i="2"/>
  <c r="AV316" i="2"/>
  <c r="AU316" i="2"/>
  <c r="AT316" i="2"/>
  <c r="AS316" i="2"/>
  <c r="AR316" i="2"/>
  <c r="AQ316" i="2"/>
  <c r="AP316" i="2"/>
  <c r="AO316" i="2"/>
  <c r="AN316" i="2"/>
  <c r="AM316" i="2"/>
  <c r="AL316" i="2"/>
  <c r="AK316" i="2"/>
  <c r="AJ316" i="2"/>
  <c r="BE312" i="2"/>
  <c r="BD312" i="2"/>
  <c r="BC312" i="2"/>
  <c r="BB312" i="2"/>
  <c r="BA312" i="2"/>
  <c r="AZ312" i="2"/>
  <c r="AY312" i="2"/>
  <c r="AX312" i="2"/>
  <c r="AW312" i="2"/>
  <c r="AV312" i="2"/>
  <c r="AU312" i="2"/>
  <c r="AT312" i="2"/>
  <c r="AS312" i="2"/>
  <c r="AR312" i="2"/>
  <c r="AQ312" i="2"/>
  <c r="AP312" i="2"/>
  <c r="AO312" i="2"/>
  <c r="AN312" i="2"/>
  <c r="AM312" i="2"/>
  <c r="AL312" i="2"/>
  <c r="AK312" i="2"/>
  <c r="AJ312" i="2"/>
  <c r="BE308" i="2"/>
  <c r="BD308" i="2"/>
  <c r="BC308" i="2"/>
  <c r="BB308" i="2"/>
  <c r="BA308" i="2"/>
  <c r="AZ308" i="2"/>
  <c r="AY308" i="2"/>
  <c r="AX308" i="2"/>
  <c r="AW308" i="2"/>
  <c r="AV308" i="2"/>
  <c r="AU308" i="2"/>
  <c r="AT308" i="2"/>
  <c r="AS308" i="2"/>
  <c r="AR308" i="2"/>
  <c r="AQ308" i="2"/>
  <c r="AP308" i="2"/>
  <c r="AO308" i="2"/>
  <c r="AN308" i="2"/>
  <c r="AM308" i="2"/>
  <c r="AL308" i="2"/>
  <c r="AK308" i="2"/>
  <c r="AJ308" i="2"/>
  <c r="BE304" i="2"/>
  <c r="BD304" i="2"/>
  <c r="BC304" i="2"/>
  <c r="BB304" i="2"/>
  <c r="BA304" i="2"/>
  <c r="AZ304" i="2"/>
  <c r="AY304" i="2"/>
  <c r="AX304" i="2"/>
  <c r="AW304" i="2"/>
  <c r="AV304" i="2"/>
  <c r="AU304" i="2"/>
  <c r="AT304" i="2"/>
  <c r="AS304" i="2"/>
  <c r="AR304" i="2"/>
  <c r="AQ304" i="2"/>
  <c r="AP304" i="2"/>
  <c r="AO304" i="2"/>
  <c r="AN304" i="2"/>
  <c r="AM304" i="2"/>
  <c r="AL304" i="2"/>
  <c r="AK304" i="2"/>
  <c r="AJ304" i="2"/>
  <c r="BE300" i="2"/>
  <c r="BD300" i="2"/>
  <c r="BC300" i="2"/>
  <c r="BB300" i="2"/>
  <c r="BA300" i="2"/>
  <c r="AZ300" i="2"/>
  <c r="AY300" i="2"/>
  <c r="AX300" i="2"/>
  <c r="AW300" i="2"/>
  <c r="AV300" i="2"/>
  <c r="AU300" i="2"/>
  <c r="AT300" i="2"/>
  <c r="AS300" i="2"/>
  <c r="AR300" i="2"/>
  <c r="AQ300" i="2"/>
  <c r="AP300" i="2"/>
  <c r="AO300" i="2"/>
  <c r="AN300" i="2"/>
  <c r="AM300" i="2"/>
  <c r="AL300" i="2"/>
  <c r="AK300" i="2"/>
  <c r="AJ300" i="2"/>
  <c r="BE297" i="2"/>
  <c r="BD297" i="2"/>
  <c r="BC297" i="2"/>
  <c r="BB297" i="2"/>
  <c r="BA297" i="2"/>
  <c r="AZ297" i="2"/>
  <c r="AY297" i="2"/>
  <c r="AX297" i="2"/>
  <c r="AW297" i="2"/>
  <c r="AV297" i="2"/>
  <c r="AU297" i="2"/>
  <c r="AT297" i="2"/>
  <c r="AS297" i="2"/>
  <c r="AR297" i="2"/>
  <c r="AQ297" i="2"/>
  <c r="AP297" i="2"/>
  <c r="AO297" i="2"/>
  <c r="AN297" i="2"/>
  <c r="AM297" i="2"/>
  <c r="AL297" i="2"/>
  <c r="AK297" i="2"/>
  <c r="AJ297" i="2"/>
  <c r="BE293" i="2"/>
  <c r="BD293" i="2"/>
  <c r="BC293" i="2"/>
  <c r="BB293" i="2"/>
  <c r="BA293" i="2"/>
  <c r="AZ293" i="2"/>
  <c r="AY293" i="2"/>
  <c r="AX293" i="2"/>
  <c r="AW293" i="2"/>
  <c r="AV293" i="2"/>
  <c r="AU293" i="2"/>
  <c r="AT293" i="2"/>
  <c r="AS293" i="2"/>
  <c r="AR293" i="2"/>
  <c r="AQ293" i="2"/>
  <c r="AP293" i="2"/>
  <c r="AO293" i="2"/>
  <c r="AN293" i="2"/>
  <c r="AM293" i="2"/>
  <c r="AL293" i="2"/>
  <c r="AK293" i="2"/>
  <c r="AJ293" i="2"/>
  <c r="BE289" i="2"/>
  <c r="BD289" i="2"/>
  <c r="BC289" i="2"/>
  <c r="BB289" i="2"/>
  <c r="BA289" i="2"/>
  <c r="AZ289" i="2"/>
  <c r="AY289" i="2"/>
  <c r="AX289" i="2"/>
  <c r="AW289" i="2"/>
  <c r="AV289" i="2"/>
  <c r="AU289" i="2"/>
  <c r="AT289" i="2"/>
  <c r="AS289" i="2"/>
  <c r="AR289" i="2"/>
  <c r="AQ289" i="2"/>
  <c r="AP289" i="2"/>
  <c r="AO289" i="2"/>
  <c r="AN289" i="2"/>
  <c r="AM289" i="2"/>
  <c r="AL289" i="2"/>
  <c r="AK289" i="2"/>
  <c r="AJ289" i="2"/>
  <c r="BE285" i="2"/>
  <c r="BD285" i="2"/>
  <c r="BC285" i="2"/>
  <c r="BB285" i="2"/>
  <c r="BA285" i="2"/>
  <c r="AZ285" i="2"/>
  <c r="AY285" i="2"/>
  <c r="AX285" i="2"/>
  <c r="AW285" i="2"/>
  <c r="AV285" i="2"/>
  <c r="AU285" i="2"/>
  <c r="AT285" i="2"/>
  <c r="AS285" i="2"/>
  <c r="AR285" i="2"/>
  <c r="AQ285" i="2"/>
  <c r="AP285" i="2"/>
  <c r="AO285" i="2"/>
  <c r="AN285" i="2"/>
  <c r="AM285" i="2"/>
  <c r="AL285" i="2"/>
  <c r="AK285" i="2"/>
  <c r="AJ285" i="2"/>
  <c r="BE281" i="2"/>
  <c r="BD281" i="2"/>
  <c r="BC281" i="2"/>
  <c r="BB281" i="2"/>
  <c r="BA281" i="2"/>
  <c r="AZ281" i="2"/>
  <c r="AY281" i="2"/>
  <c r="AX281" i="2"/>
  <c r="AW281" i="2"/>
  <c r="AV281" i="2"/>
  <c r="AU281" i="2"/>
  <c r="AT281" i="2"/>
  <c r="AS281" i="2"/>
  <c r="AR281" i="2"/>
  <c r="AQ281" i="2"/>
  <c r="AP281" i="2"/>
  <c r="AO281" i="2"/>
  <c r="AN281" i="2"/>
  <c r="AM281" i="2"/>
  <c r="AL281" i="2"/>
  <c r="AK281" i="2"/>
  <c r="AJ281" i="2"/>
  <c r="BE277" i="2"/>
  <c r="BD277" i="2"/>
  <c r="BC277" i="2"/>
  <c r="BB277" i="2"/>
  <c r="BA277" i="2"/>
  <c r="AZ277" i="2"/>
  <c r="AY277" i="2"/>
  <c r="AX277" i="2"/>
  <c r="AW277" i="2"/>
  <c r="AV277" i="2"/>
  <c r="AU277" i="2"/>
  <c r="AT277" i="2"/>
  <c r="AS277" i="2"/>
  <c r="AR277" i="2"/>
  <c r="AQ277" i="2"/>
  <c r="AP277" i="2"/>
  <c r="AO277" i="2"/>
  <c r="AN277" i="2"/>
  <c r="AM277" i="2"/>
  <c r="AL277" i="2"/>
  <c r="AK277" i="2"/>
  <c r="AJ277" i="2"/>
  <c r="BE273" i="2"/>
  <c r="BD273" i="2"/>
  <c r="BC273" i="2"/>
  <c r="BB273" i="2"/>
  <c r="BA273" i="2"/>
  <c r="AZ273" i="2"/>
  <c r="AY273" i="2"/>
  <c r="AX273" i="2"/>
  <c r="AW273" i="2"/>
  <c r="AV273" i="2"/>
  <c r="AU273" i="2"/>
  <c r="AT273" i="2"/>
  <c r="AS273" i="2"/>
  <c r="AR273" i="2"/>
  <c r="AQ273" i="2"/>
  <c r="AP273" i="2"/>
  <c r="AO273" i="2"/>
  <c r="AN273" i="2"/>
  <c r="AM273" i="2"/>
  <c r="AL273" i="2"/>
  <c r="AK273" i="2"/>
  <c r="AJ273" i="2"/>
  <c r="BE269" i="2"/>
  <c r="BD269" i="2"/>
  <c r="BC269" i="2"/>
  <c r="BB269" i="2"/>
  <c r="BA269" i="2"/>
  <c r="AZ269" i="2"/>
  <c r="AY269" i="2"/>
  <c r="AX269" i="2"/>
  <c r="AW269" i="2"/>
  <c r="AV269" i="2"/>
  <c r="AU269" i="2"/>
  <c r="AT269" i="2"/>
  <c r="AS269" i="2"/>
  <c r="AR269" i="2"/>
  <c r="AQ269" i="2"/>
  <c r="AP269" i="2"/>
  <c r="AO269" i="2"/>
  <c r="AN269" i="2"/>
  <c r="AM269" i="2"/>
  <c r="AL269" i="2"/>
  <c r="AK269" i="2"/>
  <c r="AJ269" i="2"/>
  <c r="BE265" i="2"/>
  <c r="BD265" i="2"/>
  <c r="BC265" i="2"/>
  <c r="BB265" i="2"/>
  <c r="BA265" i="2"/>
  <c r="AZ265" i="2"/>
  <c r="AY265" i="2"/>
  <c r="AX265" i="2"/>
  <c r="AW265" i="2"/>
  <c r="AV265" i="2"/>
  <c r="AU265" i="2"/>
  <c r="AT265" i="2"/>
  <c r="AS265" i="2"/>
  <c r="AR265" i="2"/>
  <c r="AQ265" i="2"/>
  <c r="AP265" i="2"/>
  <c r="AO265" i="2"/>
  <c r="AN265" i="2"/>
  <c r="AM265" i="2"/>
  <c r="AL265" i="2"/>
  <c r="AK265" i="2"/>
  <c r="AJ265" i="2"/>
  <c r="BE261" i="2"/>
  <c r="BD261" i="2"/>
  <c r="BC261" i="2"/>
  <c r="BB261" i="2"/>
  <c r="BA261" i="2"/>
  <c r="AZ261" i="2"/>
  <c r="AY261" i="2"/>
  <c r="AX261" i="2"/>
  <c r="AW261" i="2"/>
  <c r="AV261" i="2"/>
  <c r="AU261" i="2"/>
  <c r="AT261" i="2"/>
  <c r="AS261" i="2"/>
  <c r="AR261" i="2"/>
  <c r="AQ261" i="2"/>
  <c r="AP261" i="2"/>
  <c r="AO261" i="2"/>
  <c r="AN261" i="2"/>
  <c r="AM261" i="2"/>
  <c r="AL261" i="2"/>
  <c r="AK261" i="2"/>
  <c r="AJ261" i="2"/>
  <c r="BE258" i="2"/>
  <c r="BD258" i="2"/>
  <c r="BC258" i="2"/>
  <c r="BB258" i="2"/>
  <c r="BA258" i="2"/>
  <c r="AZ258" i="2"/>
  <c r="AY258" i="2"/>
  <c r="AX258" i="2"/>
  <c r="AW258" i="2"/>
  <c r="AV258" i="2"/>
  <c r="AU258" i="2"/>
  <c r="AT258" i="2"/>
  <c r="AS258" i="2"/>
  <c r="AR258" i="2"/>
  <c r="AQ258" i="2"/>
  <c r="AP258" i="2"/>
  <c r="AO258" i="2"/>
  <c r="AN258" i="2"/>
  <c r="AM258" i="2"/>
  <c r="AL258" i="2"/>
  <c r="AK258" i="2"/>
  <c r="AJ258" i="2"/>
  <c r="BE254" i="2"/>
  <c r="BD254" i="2"/>
  <c r="BC254" i="2"/>
  <c r="BB254" i="2"/>
  <c r="BA254" i="2"/>
  <c r="AZ254" i="2"/>
  <c r="AY254" i="2"/>
  <c r="AX254" i="2"/>
  <c r="AW254" i="2"/>
  <c r="AV254" i="2"/>
  <c r="AU254" i="2"/>
  <c r="AT254" i="2"/>
  <c r="AS254" i="2"/>
  <c r="AR254" i="2"/>
  <c r="AQ254" i="2"/>
  <c r="AP254" i="2"/>
  <c r="AO254" i="2"/>
  <c r="AN254" i="2"/>
  <c r="AM254" i="2"/>
  <c r="AL254" i="2"/>
  <c r="AK254" i="2"/>
  <c r="AJ254" i="2"/>
  <c r="BE250" i="2"/>
  <c r="BD250" i="2"/>
  <c r="BC250" i="2"/>
  <c r="BB250" i="2"/>
  <c r="BA250" i="2"/>
  <c r="AZ250" i="2"/>
  <c r="AY250" i="2"/>
  <c r="AX250" i="2"/>
  <c r="AW250" i="2"/>
  <c r="AV250" i="2"/>
  <c r="AU250" i="2"/>
  <c r="AT250" i="2"/>
  <c r="AS250" i="2"/>
  <c r="AR250" i="2"/>
  <c r="AQ250" i="2"/>
  <c r="AP250" i="2"/>
  <c r="AO250" i="2"/>
  <c r="AN250" i="2"/>
  <c r="AM250" i="2"/>
  <c r="AL250" i="2"/>
  <c r="AK250" i="2"/>
  <c r="AJ250" i="2"/>
  <c r="BE246" i="2"/>
  <c r="BD246" i="2"/>
  <c r="BC246" i="2"/>
  <c r="BB246" i="2"/>
  <c r="BA246" i="2"/>
  <c r="AZ246" i="2"/>
  <c r="AY246" i="2"/>
  <c r="AX246" i="2"/>
  <c r="AW246" i="2"/>
  <c r="AV246" i="2"/>
  <c r="AU246" i="2"/>
  <c r="AT246" i="2"/>
  <c r="AS246" i="2"/>
  <c r="AR246" i="2"/>
  <c r="AQ246" i="2"/>
  <c r="AP246" i="2"/>
  <c r="AO246" i="2"/>
  <c r="AN246" i="2"/>
  <c r="AM246" i="2"/>
  <c r="AL246" i="2"/>
  <c r="AK246" i="2"/>
  <c r="AJ246" i="2"/>
  <c r="BE243" i="2"/>
  <c r="BD243" i="2"/>
  <c r="BC243" i="2"/>
  <c r="BB243" i="2"/>
  <c r="BA243" i="2"/>
  <c r="AZ243" i="2"/>
  <c r="AY243" i="2"/>
  <c r="AX243" i="2"/>
  <c r="AW243" i="2"/>
  <c r="AV243" i="2"/>
  <c r="AU243" i="2"/>
  <c r="AT243" i="2"/>
  <c r="AS243" i="2"/>
  <c r="AR243" i="2"/>
  <c r="AQ243" i="2"/>
  <c r="AP243" i="2"/>
  <c r="AO243" i="2"/>
  <c r="AN243" i="2"/>
  <c r="AM243" i="2"/>
  <c r="AL243" i="2"/>
  <c r="AK243" i="2"/>
  <c r="AJ243" i="2"/>
  <c r="BE240" i="2"/>
  <c r="BD240" i="2"/>
  <c r="BC240" i="2"/>
  <c r="BB240" i="2"/>
  <c r="BA240" i="2"/>
  <c r="AZ240" i="2"/>
  <c r="AY240" i="2"/>
  <c r="AX240" i="2"/>
  <c r="AW240" i="2"/>
  <c r="AV240" i="2"/>
  <c r="AU240" i="2"/>
  <c r="AT240" i="2"/>
  <c r="AS240" i="2"/>
  <c r="AR240" i="2"/>
  <c r="AQ240" i="2"/>
  <c r="AP240" i="2"/>
  <c r="AO240" i="2"/>
  <c r="AN240" i="2"/>
  <c r="AM240" i="2"/>
  <c r="AL240" i="2"/>
  <c r="AK240" i="2"/>
  <c r="AJ240" i="2"/>
  <c r="BE236" i="2"/>
  <c r="BD236" i="2"/>
  <c r="BC236" i="2"/>
  <c r="BB236" i="2"/>
  <c r="BA236" i="2"/>
  <c r="AZ236" i="2"/>
  <c r="AY236" i="2"/>
  <c r="AX236" i="2"/>
  <c r="AW236" i="2"/>
  <c r="AV236" i="2"/>
  <c r="AU236" i="2"/>
  <c r="AT236" i="2"/>
  <c r="AS236" i="2"/>
  <c r="AR236" i="2"/>
  <c r="AQ236" i="2"/>
  <c r="AP236" i="2"/>
  <c r="AO236" i="2"/>
  <c r="AN236" i="2"/>
  <c r="AM236" i="2"/>
  <c r="AL236" i="2"/>
  <c r="AK236" i="2"/>
  <c r="AJ236" i="2"/>
  <c r="BE232" i="2"/>
  <c r="BD232" i="2"/>
  <c r="BC232" i="2"/>
  <c r="BB232" i="2"/>
  <c r="BA232" i="2"/>
  <c r="AZ232" i="2"/>
  <c r="AY232" i="2"/>
  <c r="AX232" i="2"/>
  <c r="AW232" i="2"/>
  <c r="AV232" i="2"/>
  <c r="AU232" i="2"/>
  <c r="AT232" i="2"/>
  <c r="AS232" i="2"/>
  <c r="AR232" i="2"/>
  <c r="AQ232" i="2"/>
  <c r="AP232" i="2"/>
  <c r="AO232" i="2"/>
  <c r="AN232" i="2"/>
  <c r="AM232" i="2"/>
  <c r="AL232" i="2"/>
  <c r="AK232" i="2"/>
  <c r="AJ232" i="2"/>
  <c r="BE229" i="2"/>
  <c r="BD229" i="2"/>
  <c r="BC229" i="2"/>
  <c r="BB229" i="2"/>
  <c r="BA229" i="2"/>
  <c r="AZ229" i="2"/>
  <c r="AY229" i="2"/>
  <c r="AX229" i="2"/>
  <c r="AW229" i="2"/>
  <c r="AV229" i="2"/>
  <c r="AU229" i="2"/>
  <c r="AT229" i="2"/>
  <c r="AS229" i="2"/>
  <c r="AR229" i="2"/>
  <c r="AQ229" i="2"/>
  <c r="AP229" i="2"/>
  <c r="AO229" i="2"/>
  <c r="AN229" i="2"/>
  <c r="AM229" i="2"/>
  <c r="AL229" i="2"/>
  <c r="AK229" i="2"/>
  <c r="AJ229" i="2"/>
  <c r="BE226" i="2"/>
  <c r="BD226" i="2"/>
  <c r="BC226" i="2"/>
  <c r="BB226" i="2"/>
  <c r="BA226" i="2"/>
  <c r="AZ226" i="2"/>
  <c r="AY226" i="2"/>
  <c r="AX226" i="2"/>
  <c r="AW226" i="2"/>
  <c r="AV226" i="2"/>
  <c r="AU226" i="2"/>
  <c r="AT226" i="2"/>
  <c r="AS226" i="2"/>
  <c r="AR226" i="2"/>
  <c r="AQ226" i="2"/>
  <c r="AP226" i="2"/>
  <c r="AO226" i="2"/>
  <c r="AN226" i="2"/>
  <c r="AM226" i="2"/>
  <c r="AL226" i="2"/>
  <c r="AK226" i="2"/>
  <c r="AJ226" i="2"/>
  <c r="BE223" i="2"/>
  <c r="BD223" i="2"/>
  <c r="BC223" i="2"/>
  <c r="BB223" i="2"/>
  <c r="BA223" i="2"/>
  <c r="AZ223" i="2"/>
  <c r="AY223" i="2"/>
  <c r="AX223" i="2"/>
  <c r="AW223" i="2"/>
  <c r="AV223" i="2"/>
  <c r="AU223" i="2"/>
  <c r="AT223" i="2"/>
  <c r="AS223" i="2"/>
  <c r="AR223" i="2"/>
  <c r="AQ223" i="2"/>
  <c r="AP223" i="2"/>
  <c r="AO223" i="2"/>
  <c r="AN223" i="2"/>
  <c r="AM223" i="2"/>
  <c r="AL223" i="2"/>
  <c r="AK223" i="2"/>
  <c r="AJ223" i="2"/>
  <c r="BE220" i="2"/>
  <c r="BD220" i="2"/>
  <c r="BC220" i="2"/>
  <c r="BB220" i="2"/>
  <c r="BA220" i="2"/>
  <c r="AZ220" i="2"/>
  <c r="AY220" i="2"/>
  <c r="AX220" i="2"/>
  <c r="AW220" i="2"/>
  <c r="AV220" i="2"/>
  <c r="AU220" i="2"/>
  <c r="AT220" i="2"/>
  <c r="AS220" i="2"/>
  <c r="AR220" i="2"/>
  <c r="AQ220" i="2"/>
  <c r="AP220" i="2"/>
  <c r="AO220" i="2"/>
  <c r="AN220" i="2"/>
  <c r="AM220" i="2"/>
  <c r="AL220" i="2"/>
  <c r="AK220" i="2"/>
  <c r="AJ220" i="2"/>
  <c r="BE217" i="2"/>
  <c r="BD217" i="2"/>
  <c r="BC217" i="2"/>
  <c r="BB217" i="2"/>
  <c r="BA217" i="2"/>
  <c r="AZ217" i="2"/>
  <c r="AY217" i="2"/>
  <c r="AX217" i="2"/>
  <c r="AW217" i="2"/>
  <c r="AV217" i="2"/>
  <c r="AU217" i="2"/>
  <c r="AT217" i="2"/>
  <c r="AS217" i="2"/>
  <c r="AR217" i="2"/>
  <c r="AQ217" i="2"/>
  <c r="AP217" i="2"/>
  <c r="AO217" i="2"/>
  <c r="AN217" i="2"/>
  <c r="AM217" i="2"/>
  <c r="AL217" i="2"/>
  <c r="AK217" i="2"/>
  <c r="AJ217" i="2"/>
  <c r="BE213" i="2"/>
  <c r="BD213" i="2"/>
  <c r="BC213" i="2"/>
  <c r="BB213" i="2"/>
  <c r="BA213" i="2"/>
  <c r="AZ213" i="2"/>
  <c r="AY213" i="2"/>
  <c r="AX213" i="2"/>
  <c r="AW213" i="2"/>
  <c r="AV213" i="2"/>
  <c r="AU213" i="2"/>
  <c r="AT213" i="2"/>
  <c r="AS213" i="2"/>
  <c r="AR213" i="2"/>
  <c r="AQ213" i="2"/>
  <c r="AP213" i="2"/>
  <c r="AO213" i="2"/>
  <c r="AN213" i="2"/>
  <c r="AM213" i="2"/>
  <c r="AL213" i="2"/>
  <c r="AK213" i="2"/>
  <c r="AJ213" i="2"/>
  <c r="BE209" i="2"/>
  <c r="BD209" i="2"/>
  <c r="BC209" i="2"/>
  <c r="BB209" i="2"/>
  <c r="BA209" i="2"/>
  <c r="AZ209" i="2"/>
  <c r="AY209" i="2"/>
  <c r="AX209" i="2"/>
  <c r="AW209" i="2"/>
  <c r="AV209" i="2"/>
  <c r="AU209" i="2"/>
  <c r="AT209" i="2"/>
  <c r="AS209" i="2"/>
  <c r="AR209" i="2"/>
  <c r="AQ209" i="2"/>
  <c r="AP209" i="2"/>
  <c r="AO209" i="2"/>
  <c r="AN209" i="2"/>
  <c r="AM209" i="2"/>
  <c r="AL209" i="2"/>
  <c r="AK209" i="2"/>
  <c r="AJ209" i="2"/>
  <c r="BE206" i="2"/>
  <c r="BD206" i="2"/>
  <c r="BC206" i="2"/>
  <c r="BB206" i="2"/>
  <c r="BA206" i="2"/>
  <c r="AZ206" i="2"/>
  <c r="AY206" i="2"/>
  <c r="AX206" i="2"/>
  <c r="AW206" i="2"/>
  <c r="AV206" i="2"/>
  <c r="AU206" i="2"/>
  <c r="AT206" i="2"/>
  <c r="AS206" i="2"/>
  <c r="AR206" i="2"/>
  <c r="AQ206" i="2"/>
  <c r="AP206" i="2"/>
  <c r="AO206" i="2"/>
  <c r="AN206" i="2"/>
  <c r="AM206" i="2"/>
  <c r="AL206" i="2"/>
  <c r="AK206" i="2"/>
  <c r="AJ206" i="2"/>
  <c r="BE203" i="2"/>
  <c r="BD203" i="2"/>
  <c r="BC203" i="2"/>
  <c r="BB203" i="2"/>
  <c r="BA203" i="2"/>
  <c r="AZ203" i="2"/>
  <c r="AY203" i="2"/>
  <c r="AX203" i="2"/>
  <c r="AW203" i="2"/>
  <c r="AV203" i="2"/>
  <c r="AU203" i="2"/>
  <c r="AT203" i="2"/>
  <c r="AS203" i="2"/>
  <c r="AR203" i="2"/>
  <c r="AQ203" i="2"/>
  <c r="AP203" i="2"/>
  <c r="AO203" i="2"/>
  <c r="AN203" i="2"/>
  <c r="AM203" i="2"/>
  <c r="AL203" i="2"/>
  <c r="AK203" i="2"/>
  <c r="AJ203" i="2"/>
  <c r="BE200" i="2"/>
  <c r="BD200" i="2"/>
  <c r="BC200" i="2"/>
  <c r="BB200" i="2"/>
  <c r="BA200" i="2"/>
  <c r="AZ200" i="2"/>
  <c r="AY200" i="2"/>
  <c r="AX200" i="2"/>
  <c r="AW200" i="2"/>
  <c r="AV200" i="2"/>
  <c r="AU200" i="2"/>
  <c r="AT200" i="2"/>
  <c r="AS200" i="2"/>
  <c r="AR200" i="2"/>
  <c r="AQ200" i="2"/>
  <c r="AP200" i="2"/>
  <c r="AO200" i="2"/>
  <c r="AN200" i="2"/>
  <c r="AM200" i="2"/>
  <c r="AL200" i="2"/>
  <c r="AK200" i="2"/>
  <c r="AJ200" i="2"/>
  <c r="BE197" i="2"/>
  <c r="BD197" i="2"/>
  <c r="BC197" i="2"/>
  <c r="BB197" i="2"/>
  <c r="BA197" i="2"/>
  <c r="AZ197" i="2"/>
  <c r="AY197" i="2"/>
  <c r="AX197" i="2"/>
  <c r="AW197" i="2"/>
  <c r="AV197" i="2"/>
  <c r="AU197" i="2"/>
  <c r="AT197" i="2"/>
  <c r="AS197" i="2"/>
  <c r="AR197" i="2"/>
  <c r="AQ197" i="2"/>
  <c r="AP197" i="2"/>
  <c r="AO197" i="2"/>
  <c r="AN197" i="2"/>
  <c r="AM197" i="2"/>
  <c r="AL197" i="2"/>
  <c r="AK197" i="2"/>
  <c r="AJ197" i="2"/>
  <c r="BE194" i="2"/>
  <c r="BD194" i="2"/>
  <c r="BC194" i="2"/>
  <c r="BB194" i="2"/>
  <c r="BA194" i="2"/>
  <c r="AZ194" i="2"/>
  <c r="AY194" i="2"/>
  <c r="AX194" i="2"/>
  <c r="AW194" i="2"/>
  <c r="AV194" i="2"/>
  <c r="AU194" i="2"/>
  <c r="AT194" i="2"/>
  <c r="AS194" i="2"/>
  <c r="AR194" i="2"/>
  <c r="AQ194" i="2"/>
  <c r="AP194" i="2"/>
  <c r="AO194" i="2"/>
  <c r="AN194" i="2"/>
  <c r="AM194" i="2"/>
  <c r="AL194" i="2"/>
  <c r="AK194" i="2"/>
  <c r="AJ194" i="2"/>
  <c r="BE190" i="2"/>
  <c r="BD190" i="2"/>
  <c r="BC190" i="2"/>
  <c r="BB190" i="2"/>
  <c r="BA190" i="2"/>
  <c r="AZ190" i="2"/>
  <c r="AY190" i="2"/>
  <c r="AX190" i="2"/>
  <c r="AW190" i="2"/>
  <c r="AV190" i="2"/>
  <c r="AU190" i="2"/>
  <c r="AT190" i="2"/>
  <c r="AS190" i="2"/>
  <c r="AR190" i="2"/>
  <c r="AQ190" i="2"/>
  <c r="AP190" i="2"/>
  <c r="AO190" i="2"/>
  <c r="AN190" i="2"/>
  <c r="AM190" i="2"/>
  <c r="AL190" i="2"/>
  <c r="AK190" i="2"/>
  <c r="AJ190" i="2"/>
  <c r="BE187" i="2"/>
  <c r="BD187" i="2"/>
  <c r="BC187" i="2"/>
  <c r="BB187" i="2"/>
  <c r="BA187" i="2"/>
  <c r="AZ187" i="2"/>
  <c r="AY187" i="2"/>
  <c r="AX187" i="2"/>
  <c r="AW187" i="2"/>
  <c r="AV187" i="2"/>
  <c r="AU187" i="2"/>
  <c r="AT187" i="2"/>
  <c r="AS187" i="2"/>
  <c r="AR187" i="2"/>
  <c r="AQ187" i="2"/>
  <c r="AP187" i="2"/>
  <c r="AO187" i="2"/>
  <c r="AN187" i="2"/>
  <c r="AM187" i="2"/>
  <c r="AL187" i="2"/>
  <c r="AK187" i="2"/>
  <c r="AJ187" i="2"/>
  <c r="BE183" i="2"/>
  <c r="BD183" i="2"/>
  <c r="BC183" i="2"/>
  <c r="BB183" i="2"/>
  <c r="BA183" i="2"/>
  <c r="AZ183" i="2"/>
  <c r="AY183" i="2"/>
  <c r="AX183" i="2"/>
  <c r="AW183" i="2"/>
  <c r="AV183" i="2"/>
  <c r="AU183" i="2"/>
  <c r="AT183" i="2"/>
  <c r="AS183" i="2"/>
  <c r="AR183" i="2"/>
  <c r="AQ183" i="2"/>
  <c r="AP183" i="2"/>
  <c r="AO183" i="2"/>
  <c r="AN183" i="2"/>
  <c r="AM183" i="2"/>
  <c r="AL183" i="2"/>
  <c r="AK183" i="2"/>
  <c r="AJ183" i="2"/>
  <c r="BE179" i="2"/>
  <c r="BD179" i="2"/>
  <c r="BC179" i="2"/>
  <c r="BB179" i="2"/>
  <c r="BA179" i="2"/>
  <c r="AZ179" i="2"/>
  <c r="AY179" i="2"/>
  <c r="AX179" i="2"/>
  <c r="AW179" i="2"/>
  <c r="AV179" i="2"/>
  <c r="AU179" i="2"/>
  <c r="AT179" i="2"/>
  <c r="AS179" i="2"/>
  <c r="AR179" i="2"/>
  <c r="AQ179" i="2"/>
  <c r="AP179" i="2"/>
  <c r="AO179" i="2"/>
  <c r="AN179" i="2"/>
  <c r="AM179" i="2"/>
  <c r="AL179" i="2"/>
  <c r="AK179" i="2"/>
  <c r="AJ179" i="2"/>
  <c r="BE176" i="2"/>
  <c r="BD176" i="2"/>
  <c r="BC176" i="2"/>
  <c r="BB176" i="2"/>
  <c r="BA176" i="2"/>
  <c r="AZ176" i="2"/>
  <c r="AY176" i="2"/>
  <c r="AX176" i="2"/>
  <c r="AW176" i="2"/>
  <c r="AV176" i="2"/>
  <c r="AU176" i="2"/>
  <c r="AT176" i="2"/>
  <c r="AS176" i="2"/>
  <c r="AR176" i="2"/>
  <c r="AQ176" i="2"/>
  <c r="AP176" i="2"/>
  <c r="AO176" i="2"/>
  <c r="AN176" i="2"/>
  <c r="AM176" i="2"/>
  <c r="AL176" i="2"/>
  <c r="AK176" i="2"/>
  <c r="AJ176" i="2"/>
  <c r="BE173" i="2"/>
  <c r="BD173" i="2"/>
  <c r="BC173" i="2"/>
  <c r="BB173" i="2"/>
  <c r="BA173" i="2"/>
  <c r="AZ173" i="2"/>
  <c r="AY173" i="2"/>
  <c r="AX173" i="2"/>
  <c r="AW173" i="2"/>
  <c r="AV173" i="2"/>
  <c r="AU173" i="2"/>
  <c r="AT173" i="2"/>
  <c r="AS173" i="2"/>
  <c r="AR173" i="2"/>
  <c r="AQ173" i="2"/>
  <c r="AP173" i="2"/>
  <c r="AO173" i="2"/>
  <c r="AN173" i="2"/>
  <c r="AM173" i="2"/>
  <c r="AL173" i="2"/>
  <c r="AK173" i="2"/>
  <c r="AJ173" i="2"/>
  <c r="BE170" i="2"/>
  <c r="BD170" i="2"/>
  <c r="BC170" i="2"/>
  <c r="BB170" i="2"/>
  <c r="BA170" i="2"/>
  <c r="AZ170" i="2"/>
  <c r="AY170" i="2"/>
  <c r="AX170" i="2"/>
  <c r="AW170" i="2"/>
  <c r="AV170" i="2"/>
  <c r="AU170" i="2"/>
  <c r="AT170" i="2"/>
  <c r="AS170" i="2"/>
  <c r="AR170" i="2"/>
  <c r="AQ170" i="2"/>
  <c r="AP170" i="2"/>
  <c r="AO170" i="2"/>
  <c r="AN170" i="2"/>
  <c r="AM170" i="2"/>
  <c r="AL170" i="2"/>
  <c r="AK170" i="2"/>
  <c r="AJ170" i="2"/>
  <c r="BE167" i="2"/>
  <c r="BD167" i="2"/>
  <c r="BC167" i="2"/>
  <c r="BB167" i="2"/>
  <c r="BA167" i="2"/>
  <c r="AZ167" i="2"/>
  <c r="AY167" i="2"/>
  <c r="AX167" i="2"/>
  <c r="AW167" i="2"/>
  <c r="AV167" i="2"/>
  <c r="AU167" i="2"/>
  <c r="AT167" i="2"/>
  <c r="AS167" i="2"/>
  <c r="AR167" i="2"/>
  <c r="AQ167" i="2"/>
  <c r="AP167" i="2"/>
  <c r="AO167" i="2"/>
  <c r="AN167" i="2"/>
  <c r="AM167" i="2"/>
  <c r="AL167" i="2"/>
  <c r="AK167" i="2"/>
  <c r="AJ167" i="2"/>
  <c r="BE163" i="2"/>
  <c r="BD163" i="2"/>
  <c r="BC163" i="2"/>
  <c r="BB163" i="2"/>
  <c r="BA163" i="2"/>
  <c r="AZ163" i="2"/>
  <c r="AY163" i="2"/>
  <c r="AX163" i="2"/>
  <c r="AW163" i="2"/>
  <c r="AV163" i="2"/>
  <c r="AU163" i="2"/>
  <c r="AT163" i="2"/>
  <c r="AS163" i="2"/>
  <c r="AR163" i="2"/>
  <c r="AQ163" i="2"/>
  <c r="AP163" i="2"/>
  <c r="AO163" i="2"/>
  <c r="AN163" i="2"/>
  <c r="AM163" i="2"/>
  <c r="AL163" i="2"/>
  <c r="AK163" i="2"/>
  <c r="AJ163" i="2"/>
  <c r="BE159" i="2"/>
  <c r="BD159" i="2"/>
  <c r="BC159" i="2"/>
  <c r="BB159" i="2"/>
  <c r="BA159" i="2"/>
  <c r="AZ159" i="2"/>
  <c r="AY159" i="2"/>
  <c r="AX159" i="2"/>
  <c r="AW159" i="2"/>
  <c r="AV159" i="2"/>
  <c r="AU159" i="2"/>
  <c r="AT159" i="2"/>
  <c r="AS159" i="2"/>
  <c r="AR159" i="2"/>
  <c r="AQ159" i="2"/>
  <c r="AP159" i="2"/>
  <c r="AO159" i="2"/>
  <c r="AN159" i="2"/>
  <c r="AM159" i="2"/>
  <c r="AL159" i="2"/>
  <c r="AK159" i="2"/>
  <c r="AJ159" i="2"/>
  <c r="BE156" i="2"/>
  <c r="BD156" i="2"/>
  <c r="BC156" i="2"/>
  <c r="BB156" i="2"/>
  <c r="BA156" i="2"/>
  <c r="AZ156" i="2"/>
  <c r="AY156" i="2"/>
  <c r="AX156" i="2"/>
  <c r="AW156" i="2"/>
  <c r="AV156" i="2"/>
  <c r="AU156" i="2"/>
  <c r="AT156" i="2"/>
  <c r="AS156" i="2"/>
  <c r="AR156" i="2"/>
  <c r="AQ156" i="2"/>
  <c r="AP156" i="2"/>
  <c r="AO156" i="2"/>
  <c r="AN156" i="2"/>
  <c r="AM156" i="2"/>
  <c r="AL156" i="2"/>
  <c r="AK156" i="2"/>
  <c r="AJ156" i="2"/>
  <c r="BE153" i="2"/>
  <c r="BD153" i="2"/>
  <c r="BC153" i="2"/>
  <c r="BB153" i="2"/>
  <c r="BA153" i="2"/>
  <c r="AZ153" i="2"/>
  <c r="AY153" i="2"/>
  <c r="AX153" i="2"/>
  <c r="AW153" i="2"/>
  <c r="AV153" i="2"/>
  <c r="AU153" i="2"/>
  <c r="AT153" i="2"/>
  <c r="AS153" i="2"/>
  <c r="AR153" i="2"/>
  <c r="AQ153" i="2"/>
  <c r="AP153" i="2"/>
  <c r="AO153" i="2"/>
  <c r="AN153" i="2"/>
  <c r="AM153" i="2"/>
  <c r="AL153" i="2"/>
  <c r="AK153" i="2"/>
  <c r="AJ153" i="2"/>
  <c r="BE150" i="2"/>
  <c r="BD150" i="2"/>
  <c r="BC150" i="2"/>
  <c r="BB150" i="2"/>
  <c r="BA150" i="2"/>
  <c r="AZ150" i="2"/>
  <c r="AY150" i="2"/>
  <c r="AX150" i="2"/>
  <c r="AW150" i="2"/>
  <c r="AV150" i="2"/>
  <c r="AU150" i="2"/>
  <c r="AT150" i="2"/>
  <c r="AS150" i="2"/>
  <c r="AR150" i="2"/>
  <c r="AQ150" i="2"/>
  <c r="AP150" i="2"/>
  <c r="AO150" i="2"/>
  <c r="AN150" i="2"/>
  <c r="AM150" i="2"/>
  <c r="AL150" i="2"/>
  <c r="AK150" i="2"/>
  <c r="AJ150" i="2"/>
  <c r="BE147" i="2"/>
  <c r="BD147" i="2"/>
  <c r="BC147" i="2"/>
  <c r="BB147" i="2"/>
  <c r="BA147" i="2"/>
  <c r="AZ147" i="2"/>
  <c r="AY147" i="2"/>
  <c r="AX147" i="2"/>
  <c r="AW147" i="2"/>
  <c r="AV147" i="2"/>
  <c r="AU147" i="2"/>
  <c r="AT147" i="2"/>
  <c r="AS147" i="2"/>
  <c r="AR147" i="2"/>
  <c r="AQ147" i="2"/>
  <c r="AP147" i="2"/>
  <c r="AO147" i="2"/>
  <c r="AN147" i="2"/>
  <c r="AM147" i="2"/>
  <c r="AL147" i="2"/>
  <c r="AK147" i="2"/>
  <c r="AJ147" i="2"/>
  <c r="BE144" i="2"/>
  <c r="BD144" i="2"/>
  <c r="BC144" i="2"/>
  <c r="BB144" i="2"/>
  <c r="BA144" i="2"/>
  <c r="AZ144" i="2"/>
  <c r="AY144" i="2"/>
  <c r="AX144" i="2"/>
  <c r="AW144" i="2"/>
  <c r="AV144" i="2"/>
  <c r="AU144" i="2"/>
  <c r="AT144" i="2"/>
  <c r="AS144" i="2"/>
  <c r="AR144" i="2"/>
  <c r="AQ144" i="2"/>
  <c r="AP144" i="2"/>
  <c r="AO144" i="2"/>
  <c r="AN144" i="2"/>
  <c r="AM144" i="2"/>
  <c r="AL144" i="2"/>
  <c r="AK144" i="2"/>
  <c r="AJ144" i="2"/>
  <c r="BE141" i="2"/>
  <c r="BD141" i="2"/>
  <c r="BC141" i="2"/>
  <c r="BB141" i="2"/>
  <c r="BA141" i="2"/>
  <c r="AZ141" i="2"/>
  <c r="AY141" i="2"/>
  <c r="AX141" i="2"/>
  <c r="AW141" i="2"/>
  <c r="AV141" i="2"/>
  <c r="AU141" i="2"/>
  <c r="AT141" i="2"/>
  <c r="AS141" i="2"/>
  <c r="AR141" i="2"/>
  <c r="AQ141" i="2"/>
  <c r="AP141" i="2"/>
  <c r="AO141" i="2"/>
  <c r="AN141" i="2"/>
  <c r="AM141" i="2"/>
  <c r="AL141" i="2"/>
  <c r="AK141" i="2"/>
  <c r="AJ141" i="2"/>
  <c r="BE138" i="2"/>
  <c r="BD138" i="2"/>
  <c r="BC138" i="2"/>
  <c r="BB138" i="2"/>
  <c r="BA138" i="2"/>
  <c r="AZ138" i="2"/>
  <c r="AY138" i="2"/>
  <c r="AX138" i="2"/>
  <c r="AW138" i="2"/>
  <c r="AV138" i="2"/>
  <c r="AU138" i="2"/>
  <c r="AT138" i="2"/>
  <c r="AS138" i="2"/>
  <c r="AR138" i="2"/>
  <c r="AQ138" i="2"/>
  <c r="AP138" i="2"/>
  <c r="AO138" i="2"/>
  <c r="AN138" i="2"/>
  <c r="AM138" i="2"/>
  <c r="AL138" i="2"/>
  <c r="AK138" i="2"/>
  <c r="AJ138" i="2"/>
  <c r="BE135" i="2"/>
  <c r="BD135" i="2"/>
  <c r="BC135" i="2"/>
  <c r="BB135" i="2"/>
  <c r="BA135" i="2"/>
  <c r="AZ135" i="2"/>
  <c r="AY135" i="2"/>
  <c r="AX135" i="2"/>
  <c r="AW135" i="2"/>
  <c r="AV135" i="2"/>
  <c r="AU135" i="2"/>
  <c r="AT135" i="2"/>
  <c r="AS135" i="2"/>
  <c r="AR135" i="2"/>
  <c r="AQ135" i="2"/>
  <c r="AP135" i="2"/>
  <c r="AO135" i="2"/>
  <c r="AN135" i="2"/>
  <c r="AM135" i="2"/>
  <c r="AL135" i="2"/>
  <c r="AK135" i="2"/>
  <c r="AJ135" i="2"/>
  <c r="BE131" i="2"/>
  <c r="BD131" i="2"/>
  <c r="BC131" i="2"/>
  <c r="BB131" i="2"/>
  <c r="BA131" i="2"/>
  <c r="AZ131" i="2"/>
  <c r="AY131" i="2"/>
  <c r="AX131" i="2"/>
  <c r="AW131" i="2"/>
  <c r="AV131" i="2"/>
  <c r="AU131" i="2"/>
  <c r="AT131" i="2"/>
  <c r="AS131" i="2"/>
  <c r="AR131" i="2"/>
  <c r="AQ131" i="2"/>
  <c r="AP131" i="2"/>
  <c r="AO131" i="2"/>
  <c r="AN131" i="2"/>
  <c r="AM131" i="2"/>
  <c r="AL131" i="2"/>
  <c r="AK131" i="2"/>
  <c r="AJ131" i="2"/>
  <c r="BE128" i="2"/>
  <c r="BD128" i="2"/>
  <c r="BC128" i="2"/>
  <c r="BB128" i="2"/>
  <c r="BA128" i="2"/>
  <c r="AZ128" i="2"/>
  <c r="AY128" i="2"/>
  <c r="AX128" i="2"/>
  <c r="AW128" i="2"/>
  <c r="AV128" i="2"/>
  <c r="AU128" i="2"/>
  <c r="AT128" i="2"/>
  <c r="AS128" i="2"/>
  <c r="AR128" i="2"/>
  <c r="AQ128" i="2"/>
  <c r="AP128" i="2"/>
  <c r="AO128" i="2"/>
  <c r="AN128" i="2"/>
  <c r="AM128" i="2"/>
  <c r="AL128" i="2"/>
  <c r="AK128" i="2"/>
  <c r="AJ128" i="2"/>
  <c r="BE124" i="2"/>
  <c r="BD124" i="2"/>
  <c r="BC124" i="2"/>
  <c r="BB124" i="2"/>
  <c r="BA124" i="2"/>
  <c r="AZ124" i="2"/>
  <c r="AY124" i="2"/>
  <c r="AX124" i="2"/>
  <c r="AW124" i="2"/>
  <c r="AV124" i="2"/>
  <c r="AU124" i="2"/>
  <c r="AT124" i="2"/>
  <c r="AS124" i="2"/>
  <c r="AR124" i="2"/>
  <c r="AQ124" i="2"/>
  <c r="AP124" i="2"/>
  <c r="AO124" i="2"/>
  <c r="AN124" i="2"/>
  <c r="AM124" i="2"/>
  <c r="AL124" i="2"/>
  <c r="AK124" i="2"/>
  <c r="AJ124" i="2"/>
  <c r="BE120" i="2"/>
  <c r="BD120" i="2"/>
  <c r="BC120" i="2"/>
  <c r="BB120" i="2"/>
  <c r="BA120" i="2"/>
  <c r="AZ120" i="2"/>
  <c r="AY120" i="2"/>
  <c r="AX120" i="2"/>
  <c r="AW120" i="2"/>
  <c r="AV120" i="2"/>
  <c r="AU120" i="2"/>
  <c r="AT120" i="2"/>
  <c r="AS120" i="2"/>
  <c r="AR120" i="2"/>
  <c r="AQ120" i="2"/>
  <c r="AP120" i="2"/>
  <c r="AO120" i="2"/>
  <c r="AN120" i="2"/>
  <c r="AM120" i="2"/>
  <c r="AL120" i="2"/>
  <c r="AK120" i="2"/>
  <c r="AJ120" i="2"/>
  <c r="BE117" i="2"/>
  <c r="BD117" i="2"/>
  <c r="BC117" i="2"/>
  <c r="BB117" i="2"/>
  <c r="BA117" i="2"/>
  <c r="AZ117" i="2"/>
  <c r="AY117" i="2"/>
  <c r="AX117" i="2"/>
  <c r="AW117" i="2"/>
  <c r="AV117" i="2"/>
  <c r="AU117" i="2"/>
  <c r="AT117" i="2"/>
  <c r="AS117" i="2"/>
  <c r="AR117" i="2"/>
  <c r="AQ117" i="2"/>
  <c r="AP117" i="2"/>
  <c r="AO117" i="2"/>
  <c r="AN117" i="2"/>
  <c r="AM117" i="2"/>
  <c r="AL117" i="2"/>
  <c r="AK117" i="2"/>
  <c r="AJ117" i="2"/>
  <c r="BE114" i="2"/>
  <c r="BD114" i="2"/>
  <c r="BC114" i="2"/>
  <c r="BB114" i="2"/>
  <c r="BA114" i="2"/>
  <c r="AZ114" i="2"/>
  <c r="AY114" i="2"/>
  <c r="AX114" i="2"/>
  <c r="AW114" i="2"/>
  <c r="AV114" i="2"/>
  <c r="AU114" i="2"/>
  <c r="AT114" i="2"/>
  <c r="AS114" i="2"/>
  <c r="AR114" i="2"/>
  <c r="AQ114" i="2"/>
  <c r="AP114" i="2"/>
  <c r="AO114" i="2"/>
  <c r="AN114" i="2"/>
  <c r="AM114" i="2"/>
  <c r="AL114" i="2"/>
  <c r="AK114" i="2"/>
  <c r="AJ114" i="2"/>
  <c r="BE111" i="2"/>
  <c r="BD111" i="2"/>
  <c r="BC111" i="2"/>
  <c r="BB111" i="2"/>
  <c r="BA111" i="2"/>
  <c r="AZ111" i="2"/>
  <c r="AY111" i="2"/>
  <c r="AX111" i="2"/>
  <c r="AW111" i="2"/>
  <c r="AV111" i="2"/>
  <c r="AU111" i="2"/>
  <c r="AT111" i="2"/>
  <c r="AS111" i="2"/>
  <c r="AR111" i="2"/>
  <c r="AQ111" i="2"/>
  <c r="AP111" i="2"/>
  <c r="AO111" i="2"/>
  <c r="AN111" i="2"/>
  <c r="AM111" i="2"/>
  <c r="AL111" i="2"/>
  <c r="AK111" i="2"/>
  <c r="AJ111" i="2"/>
  <c r="BE108" i="2"/>
  <c r="BD108" i="2"/>
  <c r="BC108" i="2"/>
  <c r="BB108" i="2"/>
  <c r="BA108" i="2"/>
  <c r="AZ108" i="2"/>
  <c r="AY108" i="2"/>
  <c r="AX108" i="2"/>
  <c r="AW108" i="2"/>
  <c r="AV108" i="2"/>
  <c r="AU108" i="2"/>
  <c r="AT108" i="2"/>
  <c r="AS108" i="2"/>
  <c r="AR108" i="2"/>
  <c r="AQ108" i="2"/>
  <c r="AP108" i="2"/>
  <c r="AO108" i="2"/>
  <c r="AN108" i="2"/>
  <c r="AM108" i="2"/>
  <c r="AL108" i="2"/>
  <c r="AK108" i="2"/>
  <c r="AJ108" i="2"/>
  <c r="BE104" i="2"/>
  <c r="BD104" i="2"/>
  <c r="BC104" i="2"/>
  <c r="BB104" i="2"/>
  <c r="BA104" i="2"/>
  <c r="AZ104" i="2"/>
  <c r="AY104" i="2"/>
  <c r="AX104" i="2"/>
  <c r="AW104" i="2"/>
  <c r="AV104" i="2"/>
  <c r="AU104" i="2"/>
  <c r="AT104" i="2"/>
  <c r="AS104" i="2"/>
  <c r="AR104" i="2"/>
  <c r="AQ104" i="2"/>
  <c r="AP104" i="2"/>
  <c r="AO104" i="2"/>
  <c r="AN104" i="2"/>
  <c r="AM104" i="2"/>
  <c r="AL104" i="2"/>
  <c r="AK104" i="2"/>
  <c r="AJ104" i="2"/>
  <c r="BE100" i="2"/>
  <c r="BD100" i="2"/>
  <c r="BC100" i="2"/>
  <c r="BB100" i="2"/>
  <c r="BA100" i="2"/>
  <c r="AZ100" i="2"/>
  <c r="AY100" i="2"/>
  <c r="AX100" i="2"/>
  <c r="AW100" i="2"/>
  <c r="AV100" i="2"/>
  <c r="AU100" i="2"/>
  <c r="AT100" i="2"/>
  <c r="AS100" i="2"/>
  <c r="AR100" i="2"/>
  <c r="AQ100" i="2"/>
  <c r="AP100" i="2"/>
  <c r="AO100" i="2"/>
  <c r="AN100" i="2"/>
  <c r="AM100" i="2"/>
  <c r="AL100" i="2"/>
  <c r="AK100" i="2"/>
  <c r="AJ100" i="2"/>
  <c r="BE97" i="2"/>
  <c r="BD97" i="2"/>
  <c r="BC97" i="2"/>
  <c r="BB97" i="2"/>
  <c r="BA97" i="2"/>
  <c r="AZ97" i="2"/>
  <c r="AY97" i="2"/>
  <c r="AX97" i="2"/>
  <c r="AW97" i="2"/>
  <c r="AV97" i="2"/>
  <c r="AU97" i="2"/>
  <c r="AT97" i="2"/>
  <c r="AS97" i="2"/>
  <c r="AR97" i="2"/>
  <c r="AQ97" i="2"/>
  <c r="AP97" i="2"/>
  <c r="AO97" i="2"/>
  <c r="AN97" i="2"/>
  <c r="AM97" i="2"/>
  <c r="AL97" i="2"/>
  <c r="AK97" i="2"/>
  <c r="AJ97" i="2"/>
  <c r="BE93" i="2"/>
  <c r="BD93" i="2"/>
  <c r="BC93" i="2"/>
  <c r="BB93" i="2"/>
  <c r="BA93" i="2"/>
  <c r="AZ93" i="2"/>
  <c r="AY93" i="2"/>
  <c r="AX93" i="2"/>
  <c r="AW93" i="2"/>
  <c r="AV93" i="2"/>
  <c r="AU93" i="2"/>
  <c r="AT93" i="2"/>
  <c r="AS93" i="2"/>
  <c r="AR93" i="2"/>
  <c r="AQ93" i="2"/>
  <c r="AP93" i="2"/>
  <c r="AO93" i="2"/>
  <c r="AN93" i="2"/>
  <c r="AM93" i="2"/>
  <c r="AL93" i="2"/>
  <c r="AK93" i="2"/>
  <c r="AJ93" i="2"/>
  <c r="BE89" i="2"/>
  <c r="BD89" i="2"/>
  <c r="BC89" i="2"/>
  <c r="BB89" i="2"/>
  <c r="BA89" i="2"/>
  <c r="AZ89" i="2"/>
  <c r="AY89" i="2"/>
  <c r="AX89" i="2"/>
  <c r="AW89" i="2"/>
  <c r="AV89" i="2"/>
  <c r="AU89" i="2"/>
  <c r="AT89" i="2"/>
  <c r="AS89" i="2"/>
  <c r="AR89" i="2"/>
  <c r="AQ89" i="2"/>
  <c r="AP89" i="2"/>
  <c r="AO89" i="2"/>
  <c r="AN89" i="2"/>
  <c r="AM89" i="2"/>
  <c r="AL89" i="2"/>
  <c r="AK89" i="2"/>
  <c r="AJ89" i="2"/>
  <c r="BE86" i="2"/>
  <c r="BD86" i="2"/>
  <c r="BC86" i="2"/>
  <c r="BB86" i="2"/>
  <c r="BA86" i="2"/>
  <c r="AZ86" i="2"/>
  <c r="AY86" i="2"/>
  <c r="AX86" i="2"/>
  <c r="AW86" i="2"/>
  <c r="AV86" i="2"/>
  <c r="AU86" i="2"/>
  <c r="AT86" i="2"/>
  <c r="AS86" i="2"/>
  <c r="AR86" i="2"/>
  <c r="AQ86" i="2"/>
  <c r="AP86" i="2"/>
  <c r="AO86" i="2"/>
  <c r="AN86" i="2"/>
  <c r="AM86" i="2"/>
  <c r="AL86" i="2"/>
  <c r="AK86" i="2"/>
  <c r="AJ86" i="2"/>
  <c r="BE83" i="2"/>
  <c r="BD83" i="2"/>
  <c r="BC83" i="2"/>
  <c r="BB83" i="2"/>
  <c r="BA83" i="2"/>
  <c r="AZ83" i="2"/>
  <c r="AY83" i="2"/>
  <c r="AX83" i="2"/>
  <c r="AW83" i="2"/>
  <c r="AV83" i="2"/>
  <c r="AU83" i="2"/>
  <c r="AT83" i="2"/>
  <c r="AS83" i="2"/>
  <c r="AR83" i="2"/>
  <c r="AQ83" i="2"/>
  <c r="AP83" i="2"/>
  <c r="AO83" i="2"/>
  <c r="AN83" i="2"/>
  <c r="AM83" i="2"/>
  <c r="AL83" i="2"/>
  <c r="AK83" i="2"/>
  <c r="AJ83" i="2"/>
  <c r="BE80" i="2"/>
  <c r="BD80" i="2"/>
  <c r="BC80" i="2"/>
  <c r="BB80" i="2"/>
  <c r="BA80" i="2"/>
  <c r="AZ80" i="2"/>
  <c r="AY80" i="2"/>
  <c r="AX80" i="2"/>
  <c r="AW80" i="2"/>
  <c r="AV80" i="2"/>
  <c r="AU80" i="2"/>
  <c r="AT80" i="2"/>
  <c r="AS80" i="2"/>
  <c r="AR80" i="2"/>
  <c r="AQ80" i="2"/>
  <c r="AP80" i="2"/>
  <c r="AO80" i="2"/>
  <c r="AN80" i="2"/>
  <c r="AM80" i="2"/>
  <c r="AL80" i="2"/>
  <c r="AK80" i="2"/>
  <c r="AJ80" i="2"/>
  <c r="BE77" i="2"/>
  <c r="BD77" i="2"/>
  <c r="BC77" i="2"/>
  <c r="BB77" i="2"/>
  <c r="BA77" i="2"/>
  <c r="AZ77" i="2"/>
  <c r="AY77" i="2"/>
  <c r="AX77" i="2"/>
  <c r="AW77" i="2"/>
  <c r="AV77" i="2"/>
  <c r="AU77" i="2"/>
  <c r="AT77" i="2"/>
  <c r="AS77" i="2"/>
  <c r="AR77" i="2"/>
  <c r="AQ77" i="2"/>
  <c r="AP77" i="2"/>
  <c r="AO77" i="2"/>
  <c r="AN77" i="2"/>
  <c r="AM77" i="2"/>
  <c r="AL77" i="2"/>
  <c r="AK77" i="2"/>
  <c r="AJ77" i="2"/>
  <c r="BE73" i="2"/>
  <c r="BD73" i="2"/>
  <c r="BC73" i="2"/>
  <c r="BB73" i="2"/>
  <c r="BA73" i="2"/>
  <c r="AZ73" i="2"/>
  <c r="AY73" i="2"/>
  <c r="AX73" i="2"/>
  <c r="AW73" i="2"/>
  <c r="AV73" i="2"/>
  <c r="AU73" i="2"/>
  <c r="AT73" i="2"/>
  <c r="AS73" i="2"/>
  <c r="AR73" i="2"/>
  <c r="AQ73" i="2"/>
  <c r="AP73" i="2"/>
  <c r="AO73" i="2"/>
  <c r="AN73" i="2"/>
  <c r="AM73" i="2"/>
  <c r="AL73" i="2"/>
  <c r="AK73" i="2"/>
  <c r="AJ73" i="2"/>
  <c r="BE69" i="2"/>
  <c r="BD69" i="2"/>
  <c r="BC69" i="2"/>
  <c r="BB69" i="2"/>
  <c r="BA69" i="2"/>
  <c r="AZ69" i="2"/>
  <c r="AY69" i="2"/>
  <c r="AX69" i="2"/>
  <c r="AW69" i="2"/>
  <c r="AV69" i="2"/>
  <c r="AU69" i="2"/>
  <c r="AT69" i="2"/>
  <c r="AS69" i="2"/>
  <c r="AR69" i="2"/>
  <c r="AQ69" i="2"/>
  <c r="AP69" i="2"/>
  <c r="AO69" i="2"/>
  <c r="AN69" i="2"/>
  <c r="AM69" i="2"/>
  <c r="AL69" i="2"/>
  <c r="AK69" i="2"/>
  <c r="AJ69" i="2"/>
  <c r="BE65" i="2"/>
  <c r="BD65" i="2"/>
  <c r="BC65" i="2"/>
  <c r="BB65" i="2"/>
  <c r="BA65" i="2"/>
  <c r="AZ65" i="2"/>
  <c r="AY65" i="2"/>
  <c r="AX65" i="2"/>
  <c r="AW65" i="2"/>
  <c r="AV65" i="2"/>
  <c r="AU65" i="2"/>
  <c r="AT65" i="2"/>
  <c r="AS65" i="2"/>
  <c r="AR65" i="2"/>
  <c r="AQ65" i="2"/>
  <c r="AP65" i="2"/>
  <c r="AO65" i="2"/>
  <c r="AN65" i="2"/>
  <c r="AM65" i="2"/>
  <c r="AL65" i="2"/>
  <c r="AK65" i="2"/>
  <c r="AJ65" i="2"/>
  <c r="BE62" i="2"/>
  <c r="BD62" i="2"/>
  <c r="BC62" i="2"/>
  <c r="BB62" i="2"/>
  <c r="BA62" i="2"/>
  <c r="AZ62" i="2"/>
  <c r="AY62" i="2"/>
  <c r="AX62" i="2"/>
  <c r="AW62" i="2"/>
  <c r="AV62" i="2"/>
  <c r="AU62" i="2"/>
  <c r="AT62" i="2"/>
  <c r="AS62" i="2"/>
  <c r="AR62" i="2"/>
  <c r="AQ62" i="2"/>
  <c r="AP62" i="2"/>
  <c r="AO62" i="2"/>
  <c r="AN62" i="2"/>
  <c r="AM62" i="2"/>
  <c r="AL62" i="2"/>
  <c r="AK62" i="2"/>
  <c r="AJ62" i="2"/>
  <c r="BE58" i="2"/>
  <c r="BD58" i="2"/>
  <c r="BC58" i="2"/>
  <c r="BB58" i="2"/>
  <c r="BA58" i="2"/>
  <c r="AZ58" i="2"/>
  <c r="AY58" i="2"/>
  <c r="AX58" i="2"/>
  <c r="AW58" i="2"/>
  <c r="AV58" i="2"/>
  <c r="AU58" i="2"/>
  <c r="AT58" i="2"/>
  <c r="AS58" i="2"/>
  <c r="AR58" i="2"/>
  <c r="AQ58" i="2"/>
  <c r="AP58" i="2"/>
  <c r="AO58" i="2"/>
  <c r="AN58" i="2"/>
  <c r="AM58" i="2"/>
  <c r="AL58" i="2"/>
  <c r="AK58" i="2"/>
  <c r="AJ58" i="2"/>
  <c r="BE54" i="2"/>
  <c r="BD54" i="2"/>
  <c r="BC54" i="2"/>
  <c r="BB54" i="2"/>
  <c r="BA54" i="2"/>
  <c r="AZ54" i="2"/>
  <c r="AY54" i="2"/>
  <c r="AX54" i="2"/>
  <c r="AW54" i="2"/>
  <c r="AV54" i="2"/>
  <c r="AU54" i="2"/>
  <c r="AT54" i="2"/>
  <c r="AS54" i="2"/>
  <c r="AR54" i="2"/>
  <c r="AQ54" i="2"/>
  <c r="AP54" i="2"/>
  <c r="AO54" i="2"/>
  <c r="AN54" i="2"/>
  <c r="AM54" i="2"/>
  <c r="AL54" i="2"/>
  <c r="AK54" i="2"/>
  <c r="AJ54" i="2"/>
  <c r="BE50" i="2"/>
  <c r="BD50" i="2"/>
  <c r="BC50" i="2"/>
  <c r="BB50" i="2"/>
  <c r="BA50" i="2"/>
  <c r="AZ50" i="2"/>
  <c r="AY50" i="2"/>
  <c r="AX50" i="2"/>
  <c r="AW50" i="2"/>
  <c r="AV50" i="2"/>
  <c r="AU50" i="2"/>
  <c r="AT50" i="2"/>
  <c r="AS50" i="2"/>
  <c r="AR50" i="2"/>
  <c r="AQ50" i="2"/>
  <c r="AP50" i="2"/>
  <c r="AO50" i="2"/>
  <c r="AN50" i="2"/>
  <c r="AM50" i="2"/>
  <c r="AL50" i="2"/>
  <c r="AK50" i="2"/>
  <c r="AJ50" i="2"/>
  <c r="BE47" i="2"/>
  <c r="BD47" i="2"/>
  <c r="BC47" i="2"/>
  <c r="BB47" i="2"/>
  <c r="BA47" i="2"/>
  <c r="AZ47" i="2"/>
  <c r="AY47" i="2"/>
  <c r="AX47" i="2"/>
  <c r="AW47" i="2"/>
  <c r="AV47" i="2"/>
  <c r="AU47" i="2"/>
  <c r="AT47" i="2"/>
  <c r="AS47" i="2"/>
  <c r="AR47" i="2"/>
  <c r="AQ47" i="2"/>
  <c r="AP47" i="2"/>
  <c r="AO47" i="2"/>
  <c r="AN47" i="2"/>
  <c r="AM47" i="2"/>
  <c r="AL47" i="2"/>
  <c r="AK47" i="2"/>
  <c r="AJ47" i="2"/>
  <c r="BE43" i="2"/>
  <c r="BD43" i="2"/>
  <c r="BC43" i="2"/>
  <c r="BB43" i="2"/>
  <c r="BA43" i="2"/>
  <c r="AZ43" i="2"/>
  <c r="AY43" i="2"/>
  <c r="AX43" i="2"/>
  <c r="AW43" i="2"/>
  <c r="AV43" i="2"/>
  <c r="AU43" i="2"/>
  <c r="AT43" i="2"/>
  <c r="AS43" i="2"/>
  <c r="AR43" i="2"/>
  <c r="AQ43" i="2"/>
  <c r="AP43" i="2"/>
  <c r="AO43" i="2"/>
  <c r="AN43" i="2"/>
  <c r="AM43" i="2"/>
  <c r="AL43" i="2"/>
  <c r="AK43" i="2"/>
  <c r="AJ43" i="2"/>
  <c r="BE39" i="2"/>
  <c r="BD39" i="2"/>
  <c r="BC39" i="2"/>
  <c r="BB39" i="2"/>
  <c r="BA39" i="2"/>
  <c r="AZ39" i="2"/>
  <c r="AY39" i="2"/>
  <c r="AX39" i="2"/>
  <c r="AW39" i="2"/>
  <c r="AV39" i="2"/>
  <c r="AU39" i="2"/>
  <c r="AT39" i="2"/>
  <c r="AS39" i="2"/>
  <c r="AR39" i="2"/>
  <c r="AQ39" i="2"/>
  <c r="AP39" i="2"/>
  <c r="AO39" i="2"/>
  <c r="AN39" i="2"/>
  <c r="AM39" i="2"/>
  <c r="AL39" i="2"/>
  <c r="AK39" i="2"/>
  <c r="AJ39" i="2"/>
  <c r="BE36" i="2"/>
  <c r="BD36" i="2"/>
  <c r="BC36" i="2"/>
  <c r="BB36" i="2"/>
  <c r="BA36" i="2"/>
  <c r="AZ36" i="2"/>
  <c r="AY36" i="2"/>
  <c r="AX36" i="2"/>
  <c r="AW36" i="2"/>
  <c r="AV36" i="2"/>
  <c r="AU36" i="2"/>
  <c r="AT36" i="2"/>
  <c r="AS36" i="2"/>
  <c r="AR36" i="2"/>
  <c r="AQ36" i="2"/>
  <c r="AP36" i="2"/>
  <c r="AO36" i="2"/>
  <c r="AN36" i="2"/>
  <c r="AM36" i="2"/>
  <c r="AL36" i="2"/>
  <c r="AK36" i="2"/>
  <c r="AJ36" i="2"/>
  <c r="BE32" i="2"/>
  <c r="BD32" i="2"/>
  <c r="BC32" i="2"/>
  <c r="BB32" i="2"/>
  <c r="BA32" i="2"/>
  <c r="AZ32" i="2"/>
  <c r="AY32" i="2"/>
  <c r="AX32" i="2"/>
  <c r="AW32" i="2"/>
  <c r="AV32" i="2"/>
  <c r="AU32" i="2"/>
  <c r="AT32" i="2"/>
  <c r="AS32" i="2"/>
  <c r="AR32" i="2"/>
  <c r="AQ32" i="2"/>
  <c r="AP32" i="2"/>
  <c r="AO32" i="2"/>
  <c r="AN32" i="2"/>
  <c r="AM32" i="2"/>
  <c r="AL32" i="2"/>
  <c r="AK32" i="2"/>
  <c r="AJ32" i="2"/>
  <c r="BE28" i="2"/>
  <c r="BD28" i="2"/>
  <c r="BC28" i="2"/>
  <c r="BB28" i="2"/>
  <c r="BA28" i="2"/>
  <c r="AZ28" i="2"/>
  <c r="AY28" i="2"/>
  <c r="AX28" i="2"/>
  <c r="AW28" i="2"/>
  <c r="AV28" i="2"/>
  <c r="AU28" i="2"/>
  <c r="AT28" i="2"/>
  <c r="AS28" i="2"/>
  <c r="AR28" i="2"/>
  <c r="AQ28" i="2"/>
  <c r="AP28" i="2"/>
  <c r="AO28" i="2"/>
  <c r="AN28" i="2"/>
  <c r="AM28" i="2"/>
  <c r="AL28" i="2"/>
  <c r="AK28" i="2"/>
  <c r="AJ28" i="2"/>
  <c r="BE24" i="2"/>
  <c r="BD24" i="2"/>
  <c r="BC24" i="2"/>
  <c r="BB24" i="2"/>
  <c r="BA24" i="2"/>
  <c r="AZ24" i="2"/>
  <c r="AY24" i="2"/>
  <c r="AX24" i="2"/>
  <c r="AW24" i="2"/>
  <c r="AV24" i="2"/>
  <c r="AU24" i="2"/>
  <c r="AT24" i="2"/>
  <c r="AS24" i="2"/>
  <c r="AR24" i="2"/>
  <c r="AQ24" i="2"/>
  <c r="AP24" i="2"/>
  <c r="AO24" i="2"/>
  <c r="AN24" i="2"/>
  <c r="AM24" i="2"/>
  <c r="AL24" i="2"/>
  <c r="AK24" i="2"/>
  <c r="AJ24" i="2"/>
  <c r="AL381" i="2" l="1"/>
  <c r="AZ381" i="2"/>
  <c r="AW381" i="2"/>
  <c r="AJ381" i="2"/>
  <c r="AX381" i="2"/>
  <c r="AV369" i="2"/>
  <c r="AQ378" i="2"/>
  <c r="AP369" i="2"/>
  <c r="BD369" i="2"/>
  <c r="AJ369" i="2"/>
  <c r="AX369" i="2"/>
  <c r="AM378" i="2"/>
  <c r="AV377" i="2"/>
  <c r="AV378" i="2" s="1"/>
  <c r="AS381" i="2"/>
  <c r="BD376" i="2"/>
  <c r="BD378" i="2" s="1"/>
  <c r="AM366" i="2"/>
  <c r="BA366" i="2"/>
  <c r="BE369" i="2"/>
  <c r="AU366" i="2"/>
  <c r="AT378" i="2"/>
  <c r="AL369" i="2"/>
  <c r="AK381" i="2"/>
  <c r="AY381" i="2"/>
  <c r="AO378" i="2"/>
  <c r="AU378" i="2"/>
  <c r="AZ369" i="2"/>
  <c r="BE378" i="2"/>
  <c r="BA369" i="2"/>
  <c r="AW369" i="2"/>
  <c r="AR369" i="2"/>
  <c r="AQ369" i="2"/>
  <c r="AS369" i="2"/>
  <c r="AK369" i="2"/>
  <c r="AY369" i="2"/>
  <c r="AV381" i="2"/>
  <c r="AP366" i="2"/>
  <c r="BD366" i="2"/>
  <c r="AM369" i="2"/>
  <c r="AQ366" i="2"/>
  <c r="AW378" i="2"/>
  <c r="AR366" i="2"/>
  <c r="AV366" i="2"/>
  <c r="AP376" i="2"/>
  <c r="AP378" i="2" s="1"/>
  <c r="AS366" i="2"/>
  <c r="AW366" i="2"/>
  <c r="AO369" i="2"/>
  <c r="BC369" i="2"/>
  <c r="AT366" i="2"/>
  <c r="BC377" i="2"/>
  <c r="BC378" i="2" s="1"/>
  <c r="AN381" i="2"/>
  <c r="AO381" i="2"/>
  <c r="AL378" i="2"/>
  <c r="BE381" i="2"/>
  <c r="AN378" i="2"/>
  <c r="BB378" i="2"/>
  <c r="AZ378" i="2"/>
  <c r="BB381" i="2"/>
  <c r="BA378" i="2"/>
  <c r="BC381" i="2"/>
  <c r="AJ366" i="2"/>
  <c r="AX366" i="2"/>
  <c r="AN369" i="2"/>
  <c r="BB369" i="2"/>
  <c r="AR376" i="2"/>
  <c r="AR378" i="2" s="1"/>
  <c r="AJ377" i="2"/>
  <c r="AJ378" i="2" s="1"/>
  <c r="AX377" i="2"/>
  <c r="AX378" i="2" s="1"/>
  <c r="AK366" i="2"/>
  <c r="AY366" i="2"/>
  <c r="AS376" i="2"/>
  <c r="AS378" i="2" s="1"/>
  <c r="AK377" i="2"/>
  <c r="AK378" i="2" s="1"/>
  <c r="AY377" i="2"/>
  <c r="AY378" i="2" s="1"/>
  <c r="AL366" i="2"/>
  <c r="AZ366" i="2"/>
  <c r="AP380" i="2"/>
  <c r="AP381" i="2" s="1"/>
  <c r="BD380" i="2"/>
  <c r="BD381" i="2" s="1"/>
  <c r="AN366" i="2"/>
  <c r="BB366" i="2"/>
  <c r="AR380" i="2"/>
  <c r="AR381" i="2" s="1"/>
  <c r="AO366" i="2"/>
  <c r="BC366" i="2"/>
  <c r="AM379" i="2"/>
  <c r="AM381" i="2" s="1"/>
  <c r="BA379" i="2"/>
  <c r="BA381" i="2" s="1"/>
  <c r="AT369" i="2"/>
  <c r="AT380" i="2"/>
  <c r="AT381" i="2" s="1"/>
  <c r="AQ380" i="2"/>
  <c r="AQ381" i="2" s="1"/>
  <c r="BE366" i="2"/>
  <c r="AU369" i="2"/>
  <c r="AU380" i="2"/>
  <c r="AU381" i="2" s="1"/>
  <c r="G65" i="6" l="1"/>
  <c r="H65" i="6" s="1"/>
  <c r="B65" i="6"/>
  <c r="G64" i="6"/>
  <c r="H64" i="6" s="1"/>
  <c r="B64" i="6"/>
  <c r="G63" i="6"/>
  <c r="H63" i="6" s="1"/>
  <c r="B63" i="6"/>
  <c r="G62" i="6"/>
  <c r="H62" i="6" s="1"/>
  <c r="B62" i="6"/>
  <c r="G61" i="6"/>
  <c r="H61" i="6" s="1"/>
  <c r="B61" i="6"/>
  <c r="G60" i="6"/>
  <c r="H60" i="6" s="1"/>
  <c r="B60" i="6"/>
  <c r="G59" i="6"/>
  <c r="H59" i="6" s="1"/>
  <c r="B59" i="6"/>
  <c r="G58" i="6"/>
  <c r="H58" i="6" s="1"/>
  <c r="B58" i="6"/>
  <c r="G57" i="6"/>
  <c r="H57" i="6" s="1"/>
  <c r="B57" i="6"/>
  <c r="G56" i="6"/>
  <c r="H56" i="6" s="1"/>
  <c r="B56" i="6"/>
  <c r="G55" i="6"/>
  <c r="H55" i="6" s="1"/>
  <c r="B55" i="6"/>
  <c r="G54" i="6"/>
  <c r="H54" i="6" s="1"/>
  <c r="B54" i="6"/>
  <c r="G53" i="6"/>
  <c r="H53" i="6" s="1"/>
  <c r="B53" i="6"/>
  <c r="G52" i="6"/>
  <c r="H52" i="6" s="1"/>
  <c r="B52" i="6"/>
  <c r="G51" i="6"/>
  <c r="H51" i="6" s="1"/>
  <c r="B51" i="6"/>
  <c r="G50" i="6"/>
  <c r="H50" i="6" s="1"/>
  <c r="B50" i="6"/>
  <c r="G49" i="6"/>
  <c r="H49" i="6" s="1"/>
  <c r="B49" i="6"/>
  <c r="G48" i="6"/>
  <c r="H48" i="6" s="1"/>
  <c r="B48" i="6"/>
  <c r="G47" i="6"/>
  <c r="H47" i="6" s="1"/>
  <c r="B47" i="6"/>
  <c r="G46" i="6"/>
  <c r="H46" i="6" s="1"/>
  <c r="B46" i="6"/>
  <c r="G45" i="6"/>
  <c r="H45" i="6" s="1"/>
  <c r="B45" i="6"/>
  <c r="G44" i="6"/>
  <c r="H44" i="6" s="1"/>
  <c r="B44" i="6"/>
  <c r="G43" i="6"/>
  <c r="H43" i="6" s="1"/>
  <c r="B43" i="6"/>
  <c r="G42" i="6"/>
  <c r="H42" i="6" s="1"/>
  <c r="B42" i="6"/>
  <c r="G41" i="6"/>
  <c r="H41" i="6" s="1"/>
  <c r="B41" i="6"/>
  <c r="G40" i="6"/>
  <c r="H40" i="6" s="1"/>
  <c r="B40" i="6"/>
  <c r="G39" i="6"/>
  <c r="H39" i="6" s="1"/>
  <c r="B39" i="6"/>
  <c r="G38" i="6"/>
  <c r="H38" i="6" s="1"/>
  <c r="B38" i="6"/>
  <c r="G37" i="6"/>
  <c r="H37" i="6" s="1"/>
  <c r="B37" i="6"/>
  <c r="G36" i="6"/>
  <c r="H36" i="6" s="1"/>
  <c r="B36" i="6"/>
  <c r="G35" i="6"/>
  <c r="H35" i="6" s="1"/>
  <c r="B35" i="6"/>
  <c r="G34" i="6"/>
  <c r="H34" i="6" s="1"/>
  <c r="B34" i="6"/>
  <c r="G33" i="6"/>
  <c r="H33" i="6" s="1"/>
  <c r="B33" i="6"/>
  <c r="G32" i="6"/>
  <c r="H32" i="6" s="1"/>
  <c r="B32" i="6"/>
  <c r="G31" i="6"/>
  <c r="H31" i="6" s="1"/>
  <c r="B31" i="6"/>
  <c r="G30" i="6"/>
  <c r="H30" i="6" s="1"/>
  <c r="B30" i="6"/>
  <c r="G29" i="6"/>
  <c r="H29" i="6" s="1"/>
  <c r="B29" i="6"/>
  <c r="G28" i="6"/>
  <c r="H28" i="6" s="1"/>
  <c r="B28" i="6"/>
  <c r="G27" i="6"/>
  <c r="H27" i="6" s="1"/>
  <c r="B27" i="6"/>
  <c r="G26" i="6"/>
  <c r="H26" i="6" s="1"/>
  <c r="B26" i="6"/>
  <c r="G25" i="6"/>
  <c r="H25" i="6" s="1"/>
  <c r="B25" i="6"/>
  <c r="G24" i="6"/>
  <c r="H24" i="6" s="1"/>
  <c r="B24" i="6"/>
  <c r="G23" i="6"/>
  <c r="H23" i="6" s="1"/>
  <c r="B23" i="6"/>
  <c r="G22" i="6"/>
  <c r="H22" i="6" s="1"/>
  <c r="B22" i="6"/>
  <c r="G21" i="6"/>
  <c r="H21" i="6" s="1"/>
  <c r="B21" i="6"/>
  <c r="G20" i="6"/>
  <c r="H20" i="6" s="1"/>
  <c r="B20" i="6"/>
  <c r="G19" i="6"/>
  <c r="H19" i="6" s="1"/>
  <c r="B19" i="6"/>
  <c r="G18" i="6"/>
  <c r="H18" i="6" s="1"/>
  <c r="B18" i="6"/>
  <c r="G17" i="6"/>
  <c r="H17" i="6" s="1"/>
  <c r="B17" i="6"/>
  <c r="G16" i="6"/>
  <c r="H16" i="6" s="1"/>
  <c r="B16" i="6"/>
  <c r="G15" i="6"/>
  <c r="H15" i="6" s="1"/>
  <c r="B15" i="6"/>
  <c r="G14" i="6"/>
  <c r="H14" i="6" s="1"/>
  <c r="B14" i="6"/>
  <c r="G13" i="6"/>
  <c r="H13" i="6" s="1"/>
  <c r="B13" i="6"/>
  <c r="G12" i="6"/>
  <c r="H12" i="6" s="1"/>
  <c r="B12" i="6"/>
  <c r="G11" i="6"/>
  <c r="H11" i="6" s="1"/>
  <c r="B11" i="6"/>
  <c r="G10" i="6"/>
  <c r="H10" i="6" s="1"/>
  <c r="B10" i="6"/>
  <c r="G9" i="6"/>
  <c r="H9" i="6" s="1"/>
  <c r="B9" i="6"/>
  <c r="G8" i="6"/>
  <c r="H8" i="6" s="1"/>
  <c r="B8" i="6"/>
  <c r="G7" i="6"/>
  <c r="H7" i="6" s="1"/>
  <c r="B7" i="6"/>
  <c r="G6" i="6"/>
  <c r="H6" i="6" s="1"/>
  <c r="B6" i="6"/>
  <c r="G5" i="6"/>
  <c r="H5" i="6" s="1"/>
  <c r="B5" i="6"/>
  <c r="G4" i="6"/>
  <c r="H4" i="6" s="1"/>
  <c r="B4" i="6"/>
  <c r="G3" i="6"/>
  <c r="H3" i="6" s="1"/>
  <c r="B3" i="6"/>
  <c r="G2" i="6"/>
  <c r="H2" i="6" s="1"/>
  <c r="B2" i="6"/>
  <c r="D7" i="4" l="1"/>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6" i="4"/>
  <c r="A35" i="1"/>
  <c r="A34" i="1"/>
  <c r="A33" i="1"/>
  <c r="A32" i="1"/>
  <c r="A31" i="1"/>
  <c r="A29" i="1"/>
  <c r="A30" i="1"/>
  <c r="AU6" i="5"/>
  <c r="AU5" i="5" s="1"/>
  <c r="AT6" i="5"/>
  <c r="AT5" i="5" s="1"/>
  <c r="AS6" i="5"/>
  <c r="AS5" i="5" s="1"/>
  <c r="AR6" i="5"/>
  <c r="AR5" i="5" s="1"/>
  <c r="AQ6" i="5"/>
  <c r="AQ5" i="5" s="1"/>
  <c r="AU5" i="4"/>
  <c r="AU4" i="4" s="1"/>
  <c r="AT5" i="4"/>
  <c r="AT4" i="4" s="1"/>
  <c r="AS5" i="4"/>
  <c r="AS4" i="4" s="1"/>
  <c r="AR5" i="4"/>
  <c r="AR4" i="4" s="1"/>
  <c r="AQ5" i="4"/>
  <c r="AQ4" i="4" s="1"/>
  <c r="AV105" i="3"/>
  <c r="AU105" i="3"/>
  <c r="AT105" i="3"/>
  <c r="AS105" i="3"/>
  <c r="AR105" i="3"/>
  <c r="AV104" i="3"/>
  <c r="AU104" i="3"/>
  <c r="AT104" i="3"/>
  <c r="AS104" i="3"/>
  <c r="AR104" i="3"/>
  <c r="AV103" i="3"/>
  <c r="AU103" i="3"/>
  <c r="AT103" i="3"/>
  <c r="AS103" i="3"/>
  <c r="AR103" i="3"/>
  <c r="AV102" i="3"/>
  <c r="AU102" i="3"/>
  <c r="AT102" i="3"/>
  <c r="AS102" i="3"/>
  <c r="AR102" i="3"/>
  <c r="AV101" i="3"/>
  <c r="AU101" i="3"/>
  <c r="AT101" i="3"/>
  <c r="AS101" i="3"/>
  <c r="AR101" i="3"/>
  <c r="AV100" i="3"/>
  <c r="AU100" i="3"/>
  <c r="AT100" i="3"/>
  <c r="AS100" i="3"/>
  <c r="AR100" i="3"/>
  <c r="AV99" i="3"/>
  <c r="AU99" i="3"/>
  <c r="AT99" i="3"/>
  <c r="AS99" i="3"/>
  <c r="AR99" i="3"/>
  <c r="AV98" i="3"/>
  <c r="AU98" i="3"/>
  <c r="AT98" i="3"/>
  <c r="AS98" i="3"/>
  <c r="AR98" i="3"/>
  <c r="AV97" i="3"/>
  <c r="AU97" i="3"/>
  <c r="AT97" i="3"/>
  <c r="AS97" i="3"/>
  <c r="AR97" i="3"/>
  <c r="AV96" i="3"/>
  <c r="AU96" i="3"/>
  <c r="AT96" i="3"/>
  <c r="AS96" i="3"/>
  <c r="AR96" i="3"/>
  <c r="AV95" i="3"/>
  <c r="AU95" i="3"/>
  <c r="AT95" i="3"/>
  <c r="AS95" i="3"/>
  <c r="AR95" i="3"/>
  <c r="AV94" i="3"/>
  <c r="AU94" i="3"/>
  <c r="AT94" i="3"/>
  <c r="AS94" i="3"/>
  <c r="AR94" i="3"/>
  <c r="AV93" i="3"/>
  <c r="AU93" i="3"/>
  <c r="AT93" i="3"/>
  <c r="AS93" i="3"/>
  <c r="AR93" i="3"/>
  <c r="AV92" i="3"/>
  <c r="AU92" i="3"/>
  <c r="AT92" i="3"/>
  <c r="AS92" i="3"/>
  <c r="AR92" i="3"/>
  <c r="AV91" i="3"/>
  <c r="AU91" i="3"/>
  <c r="AT91" i="3"/>
  <c r="AS91" i="3"/>
  <c r="AR91" i="3"/>
  <c r="AV90" i="3"/>
  <c r="AU90" i="3"/>
  <c r="AT90" i="3"/>
  <c r="AS90" i="3"/>
  <c r="AR90" i="3"/>
  <c r="AV89" i="3"/>
  <c r="AU89" i="3"/>
  <c r="AT89" i="3"/>
  <c r="AS89" i="3"/>
  <c r="AR89" i="3"/>
  <c r="AV88" i="3"/>
  <c r="AU88" i="3"/>
  <c r="AT88" i="3"/>
  <c r="AS88" i="3"/>
  <c r="AR88" i="3"/>
  <c r="AV87" i="3"/>
  <c r="AU87" i="3"/>
  <c r="AT87" i="3"/>
  <c r="AS87" i="3"/>
  <c r="AR87" i="3"/>
  <c r="AV86" i="3"/>
  <c r="AU86" i="3"/>
  <c r="AT86" i="3"/>
  <c r="AS86" i="3"/>
  <c r="AR86" i="3"/>
  <c r="AV85" i="3"/>
  <c r="AU85" i="3"/>
  <c r="AT85" i="3"/>
  <c r="AS85" i="3"/>
  <c r="AR85" i="3"/>
  <c r="AV84" i="3"/>
  <c r="AU84" i="3"/>
  <c r="AT84" i="3"/>
  <c r="AS84" i="3"/>
  <c r="AR84" i="3"/>
  <c r="AV83" i="3"/>
  <c r="AU83" i="3"/>
  <c r="AT83" i="3"/>
  <c r="AS83" i="3"/>
  <c r="AR83" i="3"/>
  <c r="AV82" i="3"/>
  <c r="AU82" i="3"/>
  <c r="AT82" i="3"/>
  <c r="AS82" i="3"/>
  <c r="AR82" i="3"/>
  <c r="AV81" i="3"/>
  <c r="AU81" i="3"/>
  <c r="AT81" i="3"/>
  <c r="AS81" i="3"/>
  <c r="AR81" i="3"/>
  <c r="AV80" i="3"/>
  <c r="AU80" i="3"/>
  <c r="AT80" i="3"/>
  <c r="AS80" i="3"/>
  <c r="AR80" i="3"/>
  <c r="AV79" i="3"/>
  <c r="AU79" i="3"/>
  <c r="AT79" i="3"/>
  <c r="AS79" i="3"/>
  <c r="AR79" i="3"/>
  <c r="AV78" i="3"/>
  <c r="AU78" i="3"/>
  <c r="AT78" i="3"/>
  <c r="AS78" i="3"/>
  <c r="AR78" i="3"/>
  <c r="AV77" i="3"/>
  <c r="AU77" i="3"/>
  <c r="AT77" i="3"/>
  <c r="AS77" i="3"/>
  <c r="AR77" i="3"/>
  <c r="AV76" i="3"/>
  <c r="AU76" i="3"/>
  <c r="AT76" i="3"/>
  <c r="AS76" i="3"/>
  <c r="AR76" i="3"/>
  <c r="AV75" i="3"/>
  <c r="AU75" i="3"/>
  <c r="AT75" i="3"/>
  <c r="AS75" i="3"/>
  <c r="AR75" i="3"/>
  <c r="AV74" i="3"/>
  <c r="AU74" i="3"/>
  <c r="AT74" i="3"/>
  <c r="AS74" i="3"/>
  <c r="AR74" i="3"/>
  <c r="AV73" i="3"/>
  <c r="AU73" i="3"/>
  <c r="AT73" i="3"/>
  <c r="AS73" i="3"/>
  <c r="AR73" i="3"/>
  <c r="AV72" i="3"/>
  <c r="AU72" i="3"/>
  <c r="AT72" i="3"/>
  <c r="AS72" i="3"/>
  <c r="AR72" i="3"/>
  <c r="AV71" i="3"/>
  <c r="AU71" i="3"/>
  <c r="AT71" i="3"/>
  <c r="AS71" i="3"/>
  <c r="AR71" i="3"/>
  <c r="AV70" i="3"/>
  <c r="AU70" i="3"/>
  <c r="AT70" i="3"/>
  <c r="AS70" i="3"/>
  <c r="AR70" i="3"/>
  <c r="AV69" i="3"/>
  <c r="AU69" i="3"/>
  <c r="AT69" i="3"/>
  <c r="AS69" i="3"/>
  <c r="AR69" i="3"/>
  <c r="AV68" i="3"/>
  <c r="AU68" i="3"/>
  <c r="AT68" i="3"/>
  <c r="AS68" i="3"/>
  <c r="AR68" i="3"/>
  <c r="AV67" i="3"/>
  <c r="AU67" i="3"/>
  <c r="AT67" i="3"/>
  <c r="AS67" i="3"/>
  <c r="AR67" i="3"/>
  <c r="AV66" i="3"/>
  <c r="AU66" i="3"/>
  <c r="AT66" i="3"/>
  <c r="AS66" i="3"/>
  <c r="AR66" i="3"/>
  <c r="AV65" i="3"/>
  <c r="AU65" i="3"/>
  <c r="AT65" i="3"/>
  <c r="AS65" i="3"/>
  <c r="AR65" i="3"/>
  <c r="AV64" i="3"/>
  <c r="AU64" i="3"/>
  <c r="AT64" i="3"/>
  <c r="AS64" i="3"/>
  <c r="AR64" i="3"/>
  <c r="AV63" i="3"/>
  <c r="AU63" i="3"/>
  <c r="AT63" i="3"/>
  <c r="AS63" i="3"/>
  <c r="AR63" i="3"/>
  <c r="AV62" i="3"/>
  <c r="AU62" i="3"/>
  <c r="AT62" i="3"/>
  <c r="AS62" i="3"/>
  <c r="AR62" i="3"/>
  <c r="AV61" i="3"/>
  <c r="AU61" i="3"/>
  <c r="AT61" i="3"/>
  <c r="AS61" i="3"/>
  <c r="AR61" i="3"/>
  <c r="AV60" i="3"/>
  <c r="AU60" i="3"/>
  <c r="AT60" i="3"/>
  <c r="AS60" i="3"/>
  <c r="AR60" i="3"/>
  <c r="AV59" i="3"/>
  <c r="AU59" i="3"/>
  <c r="AT59" i="3"/>
  <c r="AS59" i="3"/>
  <c r="AR59" i="3"/>
  <c r="AV58" i="3"/>
  <c r="AU58" i="3"/>
  <c r="AT58" i="3"/>
  <c r="AS58" i="3"/>
  <c r="AR58" i="3"/>
  <c r="AV57" i="3"/>
  <c r="AU57" i="3"/>
  <c r="AT57" i="3"/>
  <c r="AS57" i="3"/>
  <c r="AR57" i="3"/>
  <c r="AV56" i="3"/>
  <c r="AU56" i="3"/>
  <c r="AT56" i="3"/>
  <c r="AS56" i="3"/>
  <c r="AR56" i="3"/>
  <c r="AV55" i="3"/>
  <c r="AU55" i="3"/>
  <c r="AT55" i="3"/>
  <c r="AS55" i="3"/>
  <c r="AR55" i="3"/>
  <c r="AV54" i="3"/>
  <c r="AU54" i="3"/>
  <c r="AT54" i="3"/>
  <c r="AS54" i="3"/>
  <c r="AR54" i="3"/>
  <c r="AV53" i="3"/>
  <c r="AU53" i="3"/>
  <c r="AT53" i="3"/>
  <c r="AS53" i="3"/>
  <c r="AR53" i="3"/>
  <c r="AV52" i="3"/>
  <c r="AU52" i="3"/>
  <c r="AT52" i="3"/>
  <c r="AS52" i="3"/>
  <c r="AR52" i="3"/>
  <c r="AV51" i="3"/>
  <c r="AU51" i="3"/>
  <c r="AT51" i="3"/>
  <c r="AS51" i="3"/>
  <c r="AR51" i="3"/>
  <c r="AV50" i="3"/>
  <c r="AU50" i="3"/>
  <c r="AT50" i="3"/>
  <c r="AS50" i="3"/>
  <c r="AR50" i="3"/>
  <c r="AV49" i="3"/>
  <c r="AU49" i="3"/>
  <c r="AT49" i="3"/>
  <c r="AS49" i="3"/>
  <c r="AR49" i="3"/>
  <c r="AV48" i="3"/>
  <c r="AU48" i="3"/>
  <c r="AT48" i="3"/>
  <c r="AS48" i="3"/>
  <c r="AR48" i="3"/>
  <c r="AV47" i="3"/>
  <c r="AU47" i="3"/>
  <c r="AT47" i="3"/>
  <c r="AS47" i="3"/>
  <c r="AR47" i="3"/>
  <c r="AV46" i="3"/>
  <c r="AU46" i="3"/>
  <c r="AT46" i="3"/>
  <c r="AS46" i="3"/>
  <c r="AR46" i="3"/>
  <c r="AV45" i="3"/>
  <c r="AU45" i="3"/>
  <c r="AT45" i="3"/>
  <c r="AS45" i="3"/>
  <c r="AR45" i="3"/>
  <c r="AV44" i="3"/>
  <c r="AU44" i="3"/>
  <c r="AT44" i="3"/>
  <c r="AS44" i="3"/>
  <c r="AR44" i="3"/>
  <c r="AV43" i="3"/>
  <c r="AU43" i="3"/>
  <c r="AT43" i="3"/>
  <c r="AS43" i="3"/>
  <c r="AR43" i="3"/>
  <c r="AV42" i="3"/>
  <c r="AU42" i="3"/>
  <c r="AT42" i="3"/>
  <c r="AS42" i="3"/>
  <c r="AR42" i="3"/>
  <c r="AV41" i="3"/>
  <c r="AU41" i="3"/>
  <c r="AT41" i="3"/>
  <c r="AS41" i="3"/>
  <c r="AR41" i="3"/>
  <c r="AV40" i="3"/>
  <c r="AU40" i="3"/>
  <c r="AT40" i="3"/>
  <c r="AS40" i="3"/>
  <c r="AR40" i="3"/>
  <c r="AV39" i="3"/>
  <c r="AU39" i="3"/>
  <c r="AT39" i="3"/>
  <c r="AS39" i="3"/>
  <c r="AR39" i="3"/>
  <c r="AV38" i="3"/>
  <c r="AU38" i="3"/>
  <c r="AT38" i="3"/>
  <c r="AS38" i="3"/>
  <c r="AR38" i="3"/>
  <c r="AV37" i="3"/>
  <c r="AU37" i="3"/>
  <c r="AT37" i="3"/>
  <c r="AS37" i="3"/>
  <c r="AR37" i="3"/>
  <c r="AV36" i="3"/>
  <c r="AU36" i="3"/>
  <c r="AT36" i="3"/>
  <c r="AS36" i="3"/>
  <c r="AR36" i="3"/>
  <c r="AV35" i="3"/>
  <c r="AU35" i="3"/>
  <c r="AT35" i="3"/>
  <c r="AS35" i="3"/>
  <c r="AR35" i="3"/>
  <c r="AV34" i="3"/>
  <c r="AU34" i="3"/>
  <c r="AT34" i="3"/>
  <c r="AS34" i="3"/>
  <c r="AR34" i="3"/>
  <c r="AV33" i="3"/>
  <c r="AU33" i="3"/>
  <c r="AT33" i="3"/>
  <c r="AS33" i="3"/>
  <c r="AR33" i="3"/>
  <c r="AV32" i="3"/>
  <c r="AU32" i="3"/>
  <c r="AT32" i="3"/>
  <c r="AS32" i="3"/>
  <c r="AR32" i="3"/>
  <c r="AV31" i="3"/>
  <c r="AU31" i="3"/>
  <c r="AT31" i="3"/>
  <c r="AS31" i="3"/>
  <c r="AR31" i="3"/>
  <c r="AV30" i="3"/>
  <c r="AU30" i="3"/>
  <c r="AT30" i="3"/>
  <c r="AS30" i="3"/>
  <c r="AR30" i="3"/>
  <c r="AV29" i="3"/>
  <c r="AU29" i="3"/>
  <c r="AT29" i="3"/>
  <c r="AS29" i="3"/>
  <c r="AR29" i="3"/>
  <c r="AV28" i="3"/>
  <c r="AU28" i="3"/>
  <c r="AT28" i="3"/>
  <c r="AS28" i="3"/>
  <c r="AR28" i="3"/>
  <c r="AV27" i="3"/>
  <c r="AU27" i="3"/>
  <c r="AT27" i="3"/>
  <c r="AS27" i="3"/>
  <c r="AR27" i="3"/>
  <c r="AV26" i="3"/>
  <c r="AU26" i="3"/>
  <c r="AT26" i="3"/>
  <c r="AS26" i="3"/>
  <c r="AR26" i="3"/>
  <c r="AV25" i="3"/>
  <c r="AU25" i="3"/>
  <c r="AT25" i="3"/>
  <c r="AS25" i="3"/>
  <c r="AR25" i="3"/>
  <c r="AV24" i="3"/>
  <c r="AU24" i="3"/>
  <c r="AT24" i="3"/>
  <c r="AS24" i="3"/>
  <c r="AR24" i="3"/>
  <c r="AV23" i="3"/>
  <c r="AU23" i="3"/>
  <c r="AT23" i="3"/>
  <c r="AS23" i="3"/>
  <c r="AR23" i="3"/>
  <c r="AV22" i="3"/>
  <c r="AU22" i="3"/>
  <c r="AT22" i="3"/>
  <c r="AS22" i="3"/>
  <c r="AR22" i="3"/>
  <c r="AV21" i="3"/>
  <c r="AU21" i="3"/>
  <c r="AT21" i="3"/>
  <c r="AS21" i="3"/>
  <c r="AR21" i="3"/>
  <c r="AV20" i="3"/>
  <c r="AU20" i="3"/>
  <c r="AT20" i="3"/>
  <c r="AS20" i="3"/>
  <c r="AR20" i="3"/>
  <c r="AV19" i="3"/>
  <c r="AU19" i="3"/>
  <c r="AT19" i="3"/>
  <c r="AS19" i="3"/>
  <c r="AR19" i="3"/>
  <c r="AV18" i="3"/>
  <c r="AU18" i="3"/>
  <c r="AT18" i="3"/>
  <c r="AS18" i="3"/>
  <c r="AR18" i="3"/>
  <c r="AV17" i="3"/>
  <c r="AU17" i="3"/>
  <c r="AT17" i="3"/>
  <c r="AS17" i="3"/>
  <c r="AR17" i="3"/>
  <c r="AV16" i="3"/>
  <c r="AU16" i="3"/>
  <c r="AT16" i="3"/>
  <c r="AS16" i="3"/>
  <c r="AR16" i="3"/>
  <c r="AV15" i="3"/>
  <c r="AU15" i="3"/>
  <c r="AT15" i="3"/>
  <c r="AS15" i="3"/>
  <c r="AR15" i="3"/>
  <c r="AV14" i="3"/>
  <c r="AU14" i="3"/>
  <c r="AT14" i="3"/>
  <c r="AS14" i="3"/>
  <c r="AR14" i="3"/>
  <c r="AV13" i="3"/>
  <c r="AU13" i="3"/>
  <c r="AT13" i="3"/>
  <c r="AS13" i="3"/>
  <c r="AR13" i="3"/>
  <c r="AV12" i="3"/>
  <c r="AU12" i="3"/>
  <c r="AT12" i="3"/>
  <c r="AS12" i="3"/>
  <c r="AR12" i="3"/>
  <c r="AV11" i="3"/>
  <c r="AU11" i="3"/>
  <c r="AT11" i="3"/>
  <c r="AS11" i="3"/>
  <c r="AR11" i="3"/>
  <c r="AV10" i="3"/>
  <c r="AU10" i="3"/>
  <c r="AT10" i="3"/>
  <c r="AS10" i="3"/>
  <c r="AR10" i="3"/>
  <c r="AV9" i="3"/>
  <c r="AU9" i="3"/>
  <c r="AT9" i="3"/>
  <c r="AS9" i="3"/>
  <c r="AR9" i="3"/>
  <c r="AV8" i="3"/>
  <c r="AU8" i="3"/>
  <c r="AT8" i="3"/>
  <c r="AS8" i="3"/>
  <c r="AR8" i="3"/>
  <c r="AV6" i="3"/>
  <c r="AU6" i="3"/>
  <c r="AT6" i="3"/>
  <c r="AS6" i="3"/>
  <c r="AR6" i="3"/>
  <c r="BF303" i="2"/>
  <c r="BF374" i="2"/>
  <c r="BF373" i="2"/>
  <c r="BF371" i="2"/>
  <c r="BF370" i="2"/>
  <c r="BF361" i="2"/>
  <c r="BF360" i="2"/>
  <c r="BF359" i="2"/>
  <c r="BF357" i="2"/>
  <c r="BF356" i="2"/>
  <c r="BF354" i="2"/>
  <c r="BF353" i="2"/>
  <c r="BF352" i="2"/>
  <c r="BF350" i="2"/>
  <c r="BF349" i="2"/>
  <c r="BF348" i="2"/>
  <c r="BF346" i="2"/>
  <c r="BF345" i="2"/>
  <c r="BF344" i="2"/>
  <c r="BF342" i="2"/>
  <c r="BF341" i="2"/>
  <c r="BF340" i="2"/>
  <c r="BF338" i="2"/>
  <c r="BF337" i="2"/>
  <c r="BF336" i="2"/>
  <c r="BF334" i="2"/>
  <c r="BF333" i="2"/>
  <c r="BF332" i="2"/>
  <c r="BF330" i="2"/>
  <c r="BF329" i="2"/>
  <c r="BF328" i="2"/>
  <c r="BF326" i="2"/>
  <c r="BF325" i="2"/>
  <c r="BF324" i="2"/>
  <c r="BF322" i="2"/>
  <c r="BF321" i="2"/>
  <c r="BF320" i="2"/>
  <c r="BF318" i="2"/>
  <c r="BF317" i="2"/>
  <c r="BF315" i="2"/>
  <c r="BF314" i="2"/>
  <c r="BF313" i="2"/>
  <c r="BF311" i="2"/>
  <c r="BF310" i="2"/>
  <c r="BF309" i="2"/>
  <c r="BF307" i="2"/>
  <c r="BF306" i="2"/>
  <c r="BF305" i="2"/>
  <c r="BF302" i="2"/>
  <c r="BF301" i="2"/>
  <c r="BF299" i="2"/>
  <c r="BF298" i="2"/>
  <c r="BF296" i="2"/>
  <c r="BF295" i="2"/>
  <c r="BF294" i="2"/>
  <c r="BF292" i="2"/>
  <c r="BF291" i="2"/>
  <c r="BF290" i="2"/>
  <c r="BF288" i="2"/>
  <c r="BF287" i="2"/>
  <c r="BF286" i="2"/>
  <c r="BF284" i="2"/>
  <c r="BF283" i="2"/>
  <c r="BF282" i="2"/>
  <c r="BF280" i="2"/>
  <c r="BF279" i="2"/>
  <c r="BF278" i="2"/>
  <c r="BF276" i="2"/>
  <c r="BF275" i="2"/>
  <c r="BF274" i="2"/>
  <c r="BF272" i="2"/>
  <c r="BF271" i="2"/>
  <c r="BF270" i="2"/>
  <c r="BF268" i="2"/>
  <c r="BF267" i="2"/>
  <c r="BF266" i="2"/>
  <c r="BF264" i="2"/>
  <c r="BF263" i="2"/>
  <c r="BF262" i="2"/>
  <c r="BF260" i="2"/>
  <c r="BF259" i="2"/>
  <c r="BF257" i="2"/>
  <c r="BF256" i="2"/>
  <c r="BF255" i="2"/>
  <c r="BF253" i="2"/>
  <c r="BF252" i="2"/>
  <c r="BF251" i="2"/>
  <c r="BF249" i="2"/>
  <c r="BF248" i="2"/>
  <c r="BF247" i="2"/>
  <c r="BF245" i="2"/>
  <c r="BF244" i="2"/>
  <c r="BF242" i="2"/>
  <c r="BF241" i="2"/>
  <c r="BF239" i="2"/>
  <c r="BF238" i="2"/>
  <c r="BF237" i="2"/>
  <c r="BF235" i="2"/>
  <c r="BF234" i="2"/>
  <c r="BF233" i="2"/>
  <c r="BF231" i="2"/>
  <c r="BF230" i="2"/>
  <c r="BF228" i="2"/>
  <c r="BF227" i="2"/>
  <c r="BF225" i="2"/>
  <c r="BF224" i="2"/>
  <c r="BF222" i="2"/>
  <c r="BF221" i="2"/>
  <c r="BF219" i="2"/>
  <c r="BF218" i="2"/>
  <c r="BF216" i="2"/>
  <c r="BF215" i="2"/>
  <c r="BF214" i="2"/>
  <c r="BF212" i="2"/>
  <c r="BF211" i="2"/>
  <c r="BF210" i="2"/>
  <c r="BF208" i="2"/>
  <c r="BF207" i="2"/>
  <c r="BF205" i="2"/>
  <c r="BF204" i="2"/>
  <c r="BF202" i="2"/>
  <c r="BF201" i="2"/>
  <c r="BF199" i="2"/>
  <c r="BF198" i="2"/>
  <c r="BF196" i="2"/>
  <c r="BF195" i="2"/>
  <c r="BF193" i="2"/>
  <c r="BF192" i="2"/>
  <c r="BF191" i="2"/>
  <c r="BF189" i="2"/>
  <c r="BF188" i="2"/>
  <c r="BF186" i="2"/>
  <c r="BF185" i="2"/>
  <c r="BF184" i="2"/>
  <c r="BF182" i="2"/>
  <c r="BF181" i="2"/>
  <c r="BF180" i="2"/>
  <c r="BF178" i="2"/>
  <c r="BF177" i="2"/>
  <c r="BF175" i="2"/>
  <c r="BF174" i="2"/>
  <c r="BF172" i="2"/>
  <c r="BF171" i="2"/>
  <c r="BF169" i="2"/>
  <c r="BF168" i="2"/>
  <c r="BF166" i="2"/>
  <c r="BF165" i="2"/>
  <c r="BF164" i="2"/>
  <c r="BF162" i="2"/>
  <c r="BF161" i="2"/>
  <c r="BF160" i="2"/>
  <c r="BF158" i="2"/>
  <c r="BF157" i="2"/>
  <c r="BF155" i="2"/>
  <c r="BF154" i="2"/>
  <c r="BF152" i="2"/>
  <c r="BF151" i="2"/>
  <c r="BF149" i="2"/>
  <c r="BF148" i="2"/>
  <c r="BF146" i="2"/>
  <c r="BF145" i="2"/>
  <c r="BF143" i="2"/>
  <c r="BF142" i="2"/>
  <c r="BF140" i="2"/>
  <c r="BF139" i="2"/>
  <c r="BF137" i="2"/>
  <c r="BF136" i="2"/>
  <c r="BF134" i="2"/>
  <c r="BF133" i="2"/>
  <c r="BF132" i="2"/>
  <c r="BF130" i="2"/>
  <c r="BF129" i="2"/>
  <c r="BF127" i="2"/>
  <c r="BF126" i="2"/>
  <c r="BF125" i="2"/>
  <c r="BF123" i="2"/>
  <c r="BF122" i="2"/>
  <c r="BF121" i="2"/>
  <c r="BF119" i="2"/>
  <c r="BF118" i="2"/>
  <c r="BF116" i="2"/>
  <c r="BF115" i="2"/>
  <c r="BF113" i="2"/>
  <c r="BF112" i="2"/>
  <c r="BF110" i="2"/>
  <c r="BF109" i="2"/>
  <c r="BF107" i="2"/>
  <c r="BF106" i="2"/>
  <c r="BF105" i="2"/>
  <c r="BF103" i="2"/>
  <c r="BF102" i="2"/>
  <c r="BF101" i="2"/>
  <c r="BF99" i="2"/>
  <c r="BF98" i="2"/>
  <c r="BF96" i="2"/>
  <c r="BF95" i="2"/>
  <c r="BF94" i="2"/>
  <c r="BF92" i="2"/>
  <c r="BF91" i="2"/>
  <c r="BF90" i="2"/>
  <c r="BF88" i="2"/>
  <c r="BF87" i="2"/>
  <c r="BF85" i="2"/>
  <c r="BF84" i="2"/>
  <c r="BF82" i="2"/>
  <c r="BF81" i="2"/>
  <c r="BF79" i="2"/>
  <c r="BF78" i="2"/>
  <c r="BF76" i="2"/>
  <c r="BF75" i="2"/>
  <c r="BF74" i="2"/>
  <c r="BF72" i="2"/>
  <c r="BF71" i="2"/>
  <c r="BF70" i="2"/>
  <c r="BF68" i="2"/>
  <c r="BF67" i="2"/>
  <c r="BF66" i="2"/>
  <c r="BF64" i="2"/>
  <c r="BF63" i="2"/>
  <c r="BF61" i="2"/>
  <c r="BF60" i="2"/>
  <c r="BF59" i="2"/>
  <c r="BF57" i="2"/>
  <c r="BF56" i="2"/>
  <c r="BF55" i="2"/>
  <c r="BF53" i="2"/>
  <c r="BF52" i="2"/>
  <c r="BF51" i="2"/>
  <c r="BF49" i="2"/>
  <c r="BF48" i="2"/>
  <c r="BF46" i="2"/>
  <c r="BF45" i="2"/>
  <c r="BF44" i="2"/>
  <c r="BF42" i="2"/>
  <c r="BF41" i="2"/>
  <c r="BF40" i="2"/>
  <c r="BF38" i="2"/>
  <c r="BF37" i="2"/>
  <c r="BF35" i="2"/>
  <c r="BF34" i="2"/>
  <c r="BF33" i="2"/>
  <c r="BF31" i="2"/>
  <c r="BF30" i="2"/>
  <c r="BF29" i="2"/>
  <c r="BF27" i="2"/>
  <c r="BF26" i="2"/>
  <c r="BF25" i="2"/>
  <c r="BF23" i="2"/>
  <c r="BF22" i="2"/>
  <c r="BF21" i="2"/>
  <c r="BF19" i="2"/>
  <c r="BF18" i="2"/>
  <c r="BF16" i="2"/>
  <c r="BF13" i="2"/>
  <c r="BF10" i="2"/>
  <c r="BF4" i="2"/>
  <c r="BE9" i="2"/>
  <c r="BE11" i="2" s="1"/>
  <c r="BD12" i="2"/>
  <c r="BD14" i="2" s="1"/>
  <c r="BC12" i="2"/>
  <c r="BC14" i="2" s="1"/>
  <c r="BB12" i="2"/>
  <c r="BB14" i="2" s="1"/>
  <c r="BA12" i="2"/>
  <c r="BA14" i="2" s="1"/>
  <c r="BE20" i="2"/>
  <c r="BD20" i="2"/>
  <c r="BC20" i="2"/>
  <c r="BB20" i="2"/>
  <c r="BA20" i="2"/>
  <c r="BE15" i="2"/>
  <c r="BE17" i="2" s="1"/>
  <c r="BD15" i="2"/>
  <c r="BD17" i="2" s="1"/>
  <c r="BC15" i="2"/>
  <c r="BC17" i="2" s="1"/>
  <c r="BB15" i="2"/>
  <c r="BB17" i="2" s="1"/>
  <c r="BA15" i="2"/>
  <c r="BA17" i="2" s="1"/>
  <c r="BE7" i="2"/>
  <c r="BE8" i="2" s="1"/>
  <c r="BD7" i="2"/>
  <c r="BD8" i="2" s="1"/>
  <c r="BC7" i="2"/>
  <c r="BC8" i="2" s="1"/>
  <c r="BB7" i="2"/>
  <c r="BB8" i="2" s="1"/>
  <c r="BA7" i="2"/>
  <c r="BA8" i="2" s="1"/>
  <c r="N104" i="5"/>
  <c r="M104" i="5"/>
  <c r="L104" i="5"/>
  <c r="K104" i="5"/>
  <c r="F104" i="5"/>
  <c r="E104" i="5"/>
  <c r="N103" i="5"/>
  <c r="M103" i="5"/>
  <c r="L103" i="5"/>
  <c r="K103" i="5"/>
  <c r="F103" i="5"/>
  <c r="E103" i="5"/>
  <c r="N102" i="5"/>
  <c r="M102" i="5"/>
  <c r="L102" i="5"/>
  <c r="K102" i="5"/>
  <c r="F102" i="5"/>
  <c r="E102" i="5"/>
  <c r="N101" i="5"/>
  <c r="M101" i="5"/>
  <c r="L101" i="5"/>
  <c r="K101" i="5"/>
  <c r="F101" i="5"/>
  <c r="E101" i="5"/>
  <c r="N100" i="5"/>
  <c r="M100" i="5"/>
  <c r="L100" i="5"/>
  <c r="K100" i="5"/>
  <c r="F100" i="5"/>
  <c r="E100" i="5"/>
  <c r="N99" i="5"/>
  <c r="M99" i="5"/>
  <c r="L99" i="5"/>
  <c r="K99" i="5"/>
  <c r="F99" i="5"/>
  <c r="E99" i="5"/>
  <c r="N98" i="5"/>
  <c r="M98" i="5"/>
  <c r="L98" i="5"/>
  <c r="K98" i="5"/>
  <c r="F98" i="5"/>
  <c r="E98" i="5"/>
  <c r="N97" i="5"/>
  <c r="M97" i="5"/>
  <c r="L97" i="5"/>
  <c r="K97" i="5"/>
  <c r="F97" i="5"/>
  <c r="E97" i="5"/>
  <c r="N96" i="5"/>
  <c r="M96" i="5"/>
  <c r="L96" i="5"/>
  <c r="K96" i="5"/>
  <c r="F96" i="5"/>
  <c r="E96" i="5"/>
  <c r="N95" i="5"/>
  <c r="M95" i="5"/>
  <c r="L95" i="5"/>
  <c r="K95" i="5"/>
  <c r="F95" i="5"/>
  <c r="E95" i="5"/>
  <c r="N94" i="5"/>
  <c r="M94" i="5"/>
  <c r="L94" i="5"/>
  <c r="K94" i="5"/>
  <c r="F94" i="5"/>
  <c r="E94" i="5"/>
  <c r="N93" i="5"/>
  <c r="M93" i="5"/>
  <c r="L93" i="5"/>
  <c r="K93" i="5"/>
  <c r="F93" i="5"/>
  <c r="E93" i="5"/>
  <c r="N92" i="5"/>
  <c r="M92" i="5"/>
  <c r="L92" i="5"/>
  <c r="K92" i="5"/>
  <c r="F92" i="5"/>
  <c r="E92" i="5"/>
  <c r="N91" i="5"/>
  <c r="M91" i="5"/>
  <c r="L91" i="5"/>
  <c r="K91" i="5"/>
  <c r="F91" i="5"/>
  <c r="E91" i="5"/>
  <c r="N90" i="5"/>
  <c r="M90" i="5"/>
  <c r="L90" i="5"/>
  <c r="K90" i="5"/>
  <c r="F90" i="5"/>
  <c r="E90" i="5"/>
  <c r="N89" i="5"/>
  <c r="M89" i="5"/>
  <c r="L89" i="5"/>
  <c r="K89" i="5"/>
  <c r="F89" i="5"/>
  <c r="E89" i="5"/>
  <c r="N88" i="5"/>
  <c r="M88" i="5"/>
  <c r="L88" i="5"/>
  <c r="K88" i="5"/>
  <c r="F88" i="5"/>
  <c r="E88" i="5"/>
  <c r="N87" i="5"/>
  <c r="M87" i="5"/>
  <c r="L87" i="5"/>
  <c r="K87" i="5"/>
  <c r="F87" i="5"/>
  <c r="E87" i="5"/>
  <c r="N86" i="5"/>
  <c r="M86" i="5"/>
  <c r="L86" i="5"/>
  <c r="K86" i="5"/>
  <c r="F86" i="5"/>
  <c r="E86" i="5"/>
  <c r="N85" i="5"/>
  <c r="M85" i="5"/>
  <c r="L85" i="5"/>
  <c r="K85" i="5"/>
  <c r="F85" i="5"/>
  <c r="E85" i="5"/>
  <c r="N84" i="5"/>
  <c r="M84" i="5"/>
  <c r="L84" i="5"/>
  <c r="K84" i="5"/>
  <c r="F84" i="5"/>
  <c r="E84" i="5"/>
  <c r="N83" i="5"/>
  <c r="M83" i="5"/>
  <c r="L83" i="5"/>
  <c r="K83" i="5"/>
  <c r="F83" i="5"/>
  <c r="E83" i="5"/>
  <c r="N82" i="5"/>
  <c r="M82" i="5"/>
  <c r="L82" i="5"/>
  <c r="K82" i="5"/>
  <c r="F82" i="5"/>
  <c r="E82" i="5"/>
  <c r="N81" i="5"/>
  <c r="M81" i="5"/>
  <c r="L81" i="5"/>
  <c r="K81" i="5"/>
  <c r="F81" i="5"/>
  <c r="E81" i="5"/>
  <c r="N80" i="5"/>
  <c r="M80" i="5"/>
  <c r="L80" i="5"/>
  <c r="K80" i="5"/>
  <c r="F80" i="5"/>
  <c r="E80" i="5"/>
  <c r="N79" i="5"/>
  <c r="M79" i="5"/>
  <c r="L79" i="5"/>
  <c r="K79" i="5"/>
  <c r="F79" i="5"/>
  <c r="E79" i="5"/>
  <c r="N78" i="5"/>
  <c r="M78" i="5"/>
  <c r="L78" i="5"/>
  <c r="K78" i="5"/>
  <c r="F78" i="5"/>
  <c r="E78" i="5"/>
  <c r="N77" i="5"/>
  <c r="M77" i="5"/>
  <c r="L77" i="5"/>
  <c r="K77" i="5"/>
  <c r="F77" i="5"/>
  <c r="E77" i="5"/>
  <c r="N76" i="5"/>
  <c r="M76" i="5"/>
  <c r="L76" i="5"/>
  <c r="K76" i="5"/>
  <c r="F76" i="5"/>
  <c r="E76" i="5"/>
  <c r="N75" i="5"/>
  <c r="M75" i="5"/>
  <c r="L75" i="5"/>
  <c r="K75" i="5"/>
  <c r="F75" i="5"/>
  <c r="E75" i="5"/>
  <c r="N74" i="5"/>
  <c r="M74" i="5"/>
  <c r="L74" i="5"/>
  <c r="K74" i="5"/>
  <c r="F74" i="5"/>
  <c r="E74" i="5"/>
  <c r="N73" i="5"/>
  <c r="M73" i="5"/>
  <c r="L73" i="5"/>
  <c r="K73" i="5"/>
  <c r="F73" i="5"/>
  <c r="E73" i="5"/>
  <c r="N72" i="5"/>
  <c r="M72" i="5"/>
  <c r="L72" i="5"/>
  <c r="K72" i="5"/>
  <c r="F72" i="5"/>
  <c r="E72" i="5"/>
  <c r="N71" i="5"/>
  <c r="M71" i="5"/>
  <c r="L71" i="5"/>
  <c r="K71" i="5"/>
  <c r="F71" i="5"/>
  <c r="E71" i="5"/>
  <c r="N70" i="5"/>
  <c r="M70" i="5"/>
  <c r="L70" i="5"/>
  <c r="K70" i="5"/>
  <c r="F70" i="5"/>
  <c r="E70" i="5"/>
  <c r="N69" i="5"/>
  <c r="M69" i="5"/>
  <c r="L69" i="5"/>
  <c r="K69" i="5"/>
  <c r="F69" i="5"/>
  <c r="E69" i="5"/>
  <c r="N68" i="5"/>
  <c r="M68" i="5"/>
  <c r="L68" i="5"/>
  <c r="K68" i="5"/>
  <c r="F68" i="5"/>
  <c r="E68" i="5"/>
  <c r="N67" i="5"/>
  <c r="M67" i="5"/>
  <c r="L67" i="5"/>
  <c r="K67" i="5"/>
  <c r="F67" i="5"/>
  <c r="E67" i="5"/>
  <c r="N66" i="5"/>
  <c r="M66" i="5"/>
  <c r="L66" i="5"/>
  <c r="K66" i="5"/>
  <c r="F66" i="5"/>
  <c r="E66" i="5"/>
  <c r="N65" i="5"/>
  <c r="M65" i="5"/>
  <c r="L65" i="5"/>
  <c r="K65" i="5"/>
  <c r="F65" i="5"/>
  <c r="E65" i="5"/>
  <c r="N64" i="5"/>
  <c r="M64" i="5"/>
  <c r="L64" i="5"/>
  <c r="K64" i="5"/>
  <c r="F64" i="5"/>
  <c r="E64" i="5"/>
  <c r="N63" i="5"/>
  <c r="M63" i="5"/>
  <c r="L63" i="5"/>
  <c r="K63" i="5"/>
  <c r="F63" i="5"/>
  <c r="E63" i="5"/>
  <c r="N62" i="5"/>
  <c r="M62" i="5"/>
  <c r="L62" i="5"/>
  <c r="K62" i="5"/>
  <c r="F62" i="5"/>
  <c r="E62" i="5"/>
  <c r="N61" i="5"/>
  <c r="M61" i="5"/>
  <c r="L61" i="5"/>
  <c r="K61" i="5"/>
  <c r="F61" i="5"/>
  <c r="E61" i="5"/>
  <c r="N60" i="5"/>
  <c r="M60" i="5"/>
  <c r="L60" i="5"/>
  <c r="K60" i="5"/>
  <c r="F60" i="5"/>
  <c r="E60" i="5"/>
  <c r="N59" i="5"/>
  <c r="M59" i="5"/>
  <c r="L59" i="5"/>
  <c r="K59" i="5"/>
  <c r="F59" i="5"/>
  <c r="E59" i="5"/>
  <c r="N58" i="5"/>
  <c r="M58" i="5"/>
  <c r="L58" i="5"/>
  <c r="K58" i="5"/>
  <c r="F58" i="5"/>
  <c r="E58" i="5"/>
  <c r="N57" i="5"/>
  <c r="M57" i="5"/>
  <c r="L57" i="5"/>
  <c r="K57" i="5"/>
  <c r="F57" i="5"/>
  <c r="E57" i="5"/>
  <c r="N56" i="5"/>
  <c r="M56" i="5"/>
  <c r="L56" i="5"/>
  <c r="K56" i="5"/>
  <c r="F56" i="5"/>
  <c r="E56" i="5"/>
  <c r="N55" i="5"/>
  <c r="M55" i="5"/>
  <c r="L55" i="5"/>
  <c r="K55" i="5"/>
  <c r="F55" i="5"/>
  <c r="E55" i="5"/>
  <c r="N54" i="5"/>
  <c r="M54" i="5"/>
  <c r="L54" i="5"/>
  <c r="K54" i="5"/>
  <c r="F54" i="5"/>
  <c r="E54" i="5"/>
  <c r="N53" i="5"/>
  <c r="M53" i="5"/>
  <c r="L53" i="5"/>
  <c r="K53" i="5"/>
  <c r="F53" i="5"/>
  <c r="E53" i="5"/>
  <c r="N52" i="5"/>
  <c r="M52" i="5"/>
  <c r="L52" i="5"/>
  <c r="K52" i="5"/>
  <c r="F52" i="5"/>
  <c r="E52" i="5"/>
  <c r="N51" i="5"/>
  <c r="M51" i="5"/>
  <c r="L51" i="5"/>
  <c r="K51" i="5"/>
  <c r="F51" i="5"/>
  <c r="E51" i="5"/>
  <c r="N50" i="5"/>
  <c r="M50" i="5"/>
  <c r="L50" i="5"/>
  <c r="K50" i="5"/>
  <c r="F50" i="5"/>
  <c r="E50" i="5"/>
  <c r="N49" i="5"/>
  <c r="M49" i="5"/>
  <c r="L49" i="5"/>
  <c r="K49" i="5"/>
  <c r="F49" i="5"/>
  <c r="E49" i="5"/>
  <c r="N48" i="5"/>
  <c r="M48" i="5"/>
  <c r="L48" i="5"/>
  <c r="K48" i="5"/>
  <c r="F48" i="5"/>
  <c r="E48" i="5"/>
  <c r="N47" i="5"/>
  <c r="M47" i="5"/>
  <c r="L47" i="5"/>
  <c r="K47" i="5"/>
  <c r="F47" i="5"/>
  <c r="E47" i="5"/>
  <c r="N46" i="5"/>
  <c r="M46" i="5"/>
  <c r="L46" i="5"/>
  <c r="K46" i="5"/>
  <c r="F46" i="5"/>
  <c r="E46" i="5"/>
  <c r="N45" i="5"/>
  <c r="M45" i="5"/>
  <c r="L45" i="5"/>
  <c r="K45" i="5"/>
  <c r="F45" i="5"/>
  <c r="E45" i="5"/>
  <c r="N44" i="5"/>
  <c r="M44" i="5"/>
  <c r="L44" i="5"/>
  <c r="K44" i="5"/>
  <c r="F44" i="5"/>
  <c r="E44" i="5"/>
  <c r="N43" i="5"/>
  <c r="M43" i="5"/>
  <c r="L43" i="5"/>
  <c r="K43" i="5"/>
  <c r="F43" i="5"/>
  <c r="E43" i="5"/>
  <c r="N42" i="5"/>
  <c r="M42" i="5"/>
  <c r="L42" i="5"/>
  <c r="K42" i="5"/>
  <c r="F42" i="5"/>
  <c r="E42" i="5"/>
  <c r="N41" i="5"/>
  <c r="M41" i="5"/>
  <c r="L41" i="5"/>
  <c r="K41" i="5"/>
  <c r="F41" i="5"/>
  <c r="E41" i="5"/>
  <c r="N40" i="5"/>
  <c r="M40" i="5"/>
  <c r="L40" i="5"/>
  <c r="K40" i="5"/>
  <c r="F40" i="5"/>
  <c r="E40" i="5"/>
  <c r="N39" i="5"/>
  <c r="M39" i="5"/>
  <c r="L39" i="5"/>
  <c r="K39" i="5"/>
  <c r="F39" i="5"/>
  <c r="E39" i="5"/>
  <c r="N38" i="5"/>
  <c r="M38" i="5"/>
  <c r="L38" i="5"/>
  <c r="K38" i="5"/>
  <c r="F38" i="5"/>
  <c r="E38" i="5"/>
  <c r="N37" i="5"/>
  <c r="M37" i="5"/>
  <c r="L37" i="5"/>
  <c r="K37" i="5"/>
  <c r="F37" i="5"/>
  <c r="E37" i="5"/>
  <c r="N36" i="5"/>
  <c r="M36" i="5"/>
  <c r="L36" i="5"/>
  <c r="K36" i="5"/>
  <c r="F36" i="5"/>
  <c r="E36" i="5"/>
  <c r="N35" i="5"/>
  <c r="M35" i="5"/>
  <c r="L35" i="5"/>
  <c r="K35" i="5"/>
  <c r="F35" i="5"/>
  <c r="E35" i="5"/>
  <c r="N34" i="5"/>
  <c r="M34" i="5"/>
  <c r="L34" i="5"/>
  <c r="K34" i="5"/>
  <c r="F34" i="5"/>
  <c r="E34" i="5"/>
  <c r="N33" i="5"/>
  <c r="M33" i="5"/>
  <c r="L33" i="5"/>
  <c r="K33" i="5"/>
  <c r="F33" i="5"/>
  <c r="E33" i="5"/>
  <c r="N32" i="5"/>
  <c r="M32" i="5"/>
  <c r="L32" i="5"/>
  <c r="K32" i="5"/>
  <c r="F32" i="5"/>
  <c r="E32" i="5"/>
  <c r="N31" i="5"/>
  <c r="M31" i="5"/>
  <c r="L31" i="5"/>
  <c r="K31" i="5"/>
  <c r="F31" i="5"/>
  <c r="E31" i="5"/>
  <c r="N30" i="5"/>
  <c r="M30" i="5"/>
  <c r="L30" i="5"/>
  <c r="K30" i="5"/>
  <c r="F30" i="5"/>
  <c r="E30" i="5"/>
  <c r="N29" i="5"/>
  <c r="M29" i="5"/>
  <c r="L29" i="5"/>
  <c r="K29" i="5"/>
  <c r="F29" i="5"/>
  <c r="E29" i="5"/>
  <c r="N28" i="5"/>
  <c r="M28" i="5"/>
  <c r="L28" i="5"/>
  <c r="K28" i="5"/>
  <c r="F28" i="5"/>
  <c r="E28" i="5"/>
  <c r="N27" i="5"/>
  <c r="M27" i="5"/>
  <c r="L27" i="5"/>
  <c r="K27" i="5"/>
  <c r="F27" i="5"/>
  <c r="E27" i="5"/>
  <c r="N26" i="5"/>
  <c r="M26" i="5"/>
  <c r="L26" i="5"/>
  <c r="K26" i="5"/>
  <c r="F26" i="5"/>
  <c r="E26" i="5"/>
  <c r="N25" i="5"/>
  <c r="M25" i="5"/>
  <c r="L25" i="5"/>
  <c r="K25" i="5"/>
  <c r="F25" i="5"/>
  <c r="E25" i="5"/>
  <c r="N24" i="5"/>
  <c r="M24" i="5"/>
  <c r="L24" i="5"/>
  <c r="K24" i="5"/>
  <c r="F24" i="5"/>
  <c r="E24" i="5"/>
  <c r="N23" i="5"/>
  <c r="M23" i="5"/>
  <c r="L23" i="5"/>
  <c r="K23" i="5"/>
  <c r="F23" i="5"/>
  <c r="E23" i="5"/>
  <c r="N22" i="5"/>
  <c r="M22" i="5"/>
  <c r="L22" i="5"/>
  <c r="K22" i="5"/>
  <c r="F22" i="5"/>
  <c r="E22" i="5"/>
  <c r="N21" i="5"/>
  <c r="M21" i="5"/>
  <c r="L21" i="5"/>
  <c r="K21" i="5"/>
  <c r="F21" i="5"/>
  <c r="E21" i="5"/>
  <c r="N20" i="5"/>
  <c r="M20" i="5"/>
  <c r="L20" i="5"/>
  <c r="K20" i="5"/>
  <c r="F20" i="5"/>
  <c r="E20" i="5"/>
  <c r="N19" i="5"/>
  <c r="M19" i="5"/>
  <c r="L19" i="5"/>
  <c r="K19" i="5"/>
  <c r="F19" i="5"/>
  <c r="E19" i="5"/>
  <c r="N18" i="5"/>
  <c r="M18" i="5"/>
  <c r="L18" i="5"/>
  <c r="K18" i="5"/>
  <c r="F18" i="5"/>
  <c r="E18" i="5"/>
  <c r="N17" i="5"/>
  <c r="M17" i="5"/>
  <c r="L17" i="5"/>
  <c r="K17" i="5"/>
  <c r="F17" i="5"/>
  <c r="E17" i="5"/>
  <c r="N16" i="5"/>
  <c r="M16" i="5"/>
  <c r="L16" i="5"/>
  <c r="K16" i="5"/>
  <c r="F16" i="5"/>
  <c r="E16" i="5"/>
  <c r="N15" i="5"/>
  <c r="M15" i="5"/>
  <c r="L15" i="5"/>
  <c r="K15" i="5"/>
  <c r="F15" i="5"/>
  <c r="E15" i="5"/>
  <c r="N14" i="5"/>
  <c r="M14" i="5"/>
  <c r="L14" i="5"/>
  <c r="K14" i="5"/>
  <c r="F14" i="5"/>
  <c r="E14" i="5"/>
  <c r="N13" i="5"/>
  <c r="M13" i="5"/>
  <c r="L13" i="5"/>
  <c r="K13" i="5"/>
  <c r="F13" i="5"/>
  <c r="E13" i="5"/>
  <c r="N12" i="5"/>
  <c r="M12" i="5"/>
  <c r="L12" i="5"/>
  <c r="K12" i="5"/>
  <c r="E12" i="5"/>
  <c r="N11" i="5"/>
  <c r="M11" i="5"/>
  <c r="L11" i="5"/>
  <c r="K11" i="5"/>
  <c r="F11" i="5"/>
  <c r="E11" i="5"/>
  <c r="N10" i="5"/>
  <c r="M10" i="5"/>
  <c r="L10" i="5"/>
  <c r="K10" i="5"/>
  <c r="N9" i="5"/>
  <c r="M9" i="5"/>
  <c r="L9" i="5"/>
  <c r="K9" i="5"/>
  <c r="F9" i="5"/>
  <c r="E9" i="5"/>
  <c r="N8" i="5"/>
  <c r="M8" i="5"/>
  <c r="L8" i="5"/>
  <c r="K8" i="5"/>
  <c r="F8" i="5"/>
  <c r="N7" i="5"/>
  <c r="M7" i="5"/>
  <c r="L7" i="5"/>
  <c r="K7" i="5"/>
  <c r="F7" i="5"/>
  <c r="AP6" i="5"/>
  <c r="AP5" i="5" s="1"/>
  <c r="AO6" i="5"/>
  <c r="AO5" i="5" s="1"/>
  <c r="AN6" i="5"/>
  <c r="AN5" i="5" s="1"/>
  <c r="AM6" i="5"/>
  <c r="AM5" i="5" s="1"/>
  <c r="AL6" i="5"/>
  <c r="AL5" i="5" s="1"/>
  <c r="AK6" i="5"/>
  <c r="AK5" i="5" s="1"/>
  <c r="AJ6" i="5"/>
  <c r="AJ5" i="5" s="1"/>
  <c r="AI6" i="5"/>
  <c r="AI5" i="5" s="1"/>
  <c r="AH6" i="5"/>
  <c r="AH5" i="5" s="1"/>
  <c r="AG6" i="5"/>
  <c r="AG5" i="5" s="1"/>
  <c r="AF6" i="5"/>
  <c r="AF5" i="5" s="1"/>
  <c r="AE6" i="5"/>
  <c r="AE5" i="5" s="1"/>
  <c r="AD6" i="5"/>
  <c r="AD5" i="5" s="1"/>
  <c r="AC6" i="5"/>
  <c r="AC5" i="5" s="1"/>
  <c r="AB6" i="5"/>
  <c r="AB5" i="5" s="1"/>
  <c r="AA6" i="5"/>
  <c r="AA5" i="5" s="1"/>
  <c r="Z6" i="5"/>
  <c r="Z5" i="5" s="1"/>
  <c r="Y6" i="5"/>
  <c r="Y5" i="5" s="1"/>
  <c r="X6" i="5"/>
  <c r="X5" i="5" s="1"/>
  <c r="W6" i="5"/>
  <c r="W5" i="5" s="1"/>
  <c r="V6" i="5"/>
  <c r="V5" i="5" s="1"/>
  <c r="U6" i="5"/>
  <c r="U5" i="5" s="1"/>
  <c r="T6" i="5"/>
  <c r="T5" i="5" s="1"/>
  <c r="S6" i="5"/>
  <c r="S5" i="5" s="1"/>
  <c r="R6" i="5"/>
  <c r="R5" i="5" s="1"/>
  <c r="Q6" i="5"/>
  <c r="Q5" i="5" s="1"/>
  <c r="P6" i="5"/>
  <c r="P5" i="5" s="1"/>
  <c r="O6" i="5"/>
  <c r="O5" i="5" s="1"/>
  <c r="N103" i="4"/>
  <c r="M103" i="4"/>
  <c r="L103" i="4"/>
  <c r="K103" i="4"/>
  <c r="F103" i="4"/>
  <c r="E103" i="4"/>
  <c r="C103" i="4"/>
  <c r="N102" i="4"/>
  <c r="M102" i="4"/>
  <c r="L102" i="4"/>
  <c r="K102" i="4"/>
  <c r="F102" i="4"/>
  <c r="E102" i="4"/>
  <c r="C102" i="4"/>
  <c r="N101" i="4"/>
  <c r="M101" i="4"/>
  <c r="L101" i="4"/>
  <c r="K101" i="4"/>
  <c r="F101" i="4"/>
  <c r="E101" i="4"/>
  <c r="C101" i="4"/>
  <c r="N100" i="4"/>
  <c r="M100" i="4"/>
  <c r="L100" i="4"/>
  <c r="K100" i="4"/>
  <c r="F100" i="4"/>
  <c r="E100" i="4"/>
  <c r="C100" i="4"/>
  <c r="N99" i="4"/>
  <c r="M99" i="4"/>
  <c r="L99" i="4"/>
  <c r="K99" i="4"/>
  <c r="F99" i="4"/>
  <c r="E99" i="4"/>
  <c r="C99" i="4"/>
  <c r="N98" i="4"/>
  <c r="M98" i="4"/>
  <c r="L98" i="4"/>
  <c r="K98" i="4"/>
  <c r="F98" i="4"/>
  <c r="E98" i="4"/>
  <c r="C98" i="4"/>
  <c r="N97" i="4"/>
  <c r="M97" i="4"/>
  <c r="L97" i="4"/>
  <c r="K97" i="4"/>
  <c r="F97" i="4"/>
  <c r="E97" i="4"/>
  <c r="C97" i="4"/>
  <c r="N96" i="4"/>
  <c r="M96" i="4"/>
  <c r="L96" i="4"/>
  <c r="K96" i="4"/>
  <c r="F96" i="4"/>
  <c r="E96" i="4"/>
  <c r="C96" i="4"/>
  <c r="N95" i="4"/>
  <c r="M95" i="4"/>
  <c r="L95" i="4"/>
  <c r="K95" i="4"/>
  <c r="F95" i="4"/>
  <c r="E95" i="4"/>
  <c r="C95" i="4"/>
  <c r="N94" i="4"/>
  <c r="M94" i="4"/>
  <c r="L94" i="4"/>
  <c r="K94" i="4"/>
  <c r="F94" i="4"/>
  <c r="E94" i="4"/>
  <c r="C94" i="4"/>
  <c r="N93" i="4"/>
  <c r="M93" i="4"/>
  <c r="L93" i="4"/>
  <c r="K93" i="4"/>
  <c r="F93" i="4"/>
  <c r="E93" i="4"/>
  <c r="C93" i="4"/>
  <c r="N92" i="4"/>
  <c r="M92" i="4"/>
  <c r="L92" i="4"/>
  <c r="K92" i="4"/>
  <c r="F92" i="4"/>
  <c r="E92" i="4"/>
  <c r="C92" i="4"/>
  <c r="N91" i="4"/>
  <c r="M91" i="4"/>
  <c r="L91" i="4"/>
  <c r="K91" i="4"/>
  <c r="F91" i="4"/>
  <c r="E91" i="4"/>
  <c r="C91" i="4"/>
  <c r="N90" i="4"/>
  <c r="M90" i="4"/>
  <c r="L90" i="4"/>
  <c r="K90" i="4"/>
  <c r="F90" i="4"/>
  <c r="E90" i="4"/>
  <c r="C90" i="4"/>
  <c r="N89" i="4"/>
  <c r="M89" i="4"/>
  <c r="L89" i="4"/>
  <c r="K89" i="4"/>
  <c r="F89" i="4"/>
  <c r="E89" i="4"/>
  <c r="C89" i="4"/>
  <c r="N88" i="4"/>
  <c r="M88" i="4"/>
  <c r="L88" i="4"/>
  <c r="K88" i="4"/>
  <c r="F88" i="4"/>
  <c r="E88" i="4"/>
  <c r="C88" i="4"/>
  <c r="N87" i="4"/>
  <c r="M87" i="4"/>
  <c r="L87" i="4"/>
  <c r="K87" i="4"/>
  <c r="F87" i="4"/>
  <c r="E87" i="4"/>
  <c r="C87" i="4"/>
  <c r="N86" i="4"/>
  <c r="M86" i="4"/>
  <c r="L86" i="4"/>
  <c r="K86" i="4"/>
  <c r="F86" i="4"/>
  <c r="E86" i="4"/>
  <c r="C86" i="4"/>
  <c r="N85" i="4"/>
  <c r="M85" i="4"/>
  <c r="L85" i="4"/>
  <c r="K85" i="4"/>
  <c r="F85" i="4"/>
  <c r="E85" i="4"/>
  <c r="C85" i="4"/>
  <c r="N84" i="4"/>
  <c r="M84" i="4"/>
  <c r="L84" i="4"/>
  <c r="K84" i="4"/>
  <c r="F84" i="4"/>
  <c r="E84" i="4"/>
  <c r="C84" i="4"/>
  <c r="N83" i="4"/>
  <c r="M83" i="4"/>
  <c r="L83" i="4"/>
  <c r="K83" i="4"/>
  <c r="F83" i="4"/>
  <c r="E83" i="4"/>
  <c r="C83" i="4"/>
  <c r="N82" i="4"/>
  <c r="M82" i="4"/>
  <c r="L82" i="4"/>
  <c r="K82" i="4"/>
  <c r="F82" i="4"/>
  <c r="E82" i="4"/>
  <c r="C82" i="4"/>
  <c r="N81" i="4"/>
  <c r="M81" i="4"/>
  <c r="L81" i="4"/>
  <c r="K81" i="4"/>
  <c r="F81" i="4"/>
  <c r="E81" i="4"/>
  <c r="C81" i="4"/>
  <c r="N80" i="4"/>
  <c r="M80" i="4"/>
  <c r="L80" i="4"/>
  <c r="K80" i="4"/>
  <c r="F80" i="4"/>
  <c r="E80" i="4"/>
  <c r="C80" i="4"/>
  <c r="N79" i="4"/>
  <c r="M79" i="4"/>
  <c r="L79" i="4"/>
  <c r="K79" i="4"/>
  <c r="F79" i="4"/>
  <c r="E79" i="4"/>
  <c r="C79" i="4"/>
  <c r="N78" i="4"/>
  <c r="M78" i="4"/>
  <c r="L78" i="4"/>
  <c r="K78" i="4"/>
  <c r="F78" i="4"/>
  <c r="E78" i="4"/>
  <c r="C78" i="4"/>
  <c r="N77" i="4"/>
  <c r="M77" i="4"/>
  <c r="L77" i="4"/>
  <c r="K77" i="4"/>
  <c r="F77" i="4"/>
  <c r="E77" i="4"/>
  <c r="C77" i="4"/>
  <c r="N76" i="4"/>
  <c r="M76" i="4"/>
  <c r="L76" i="4"/>
  <c r="K76" i="4"/>
  <c r="F76" i="4"/>
  <c r="E76" i="4"/>
  <c r="C76" i="4"/>
  <c r="N75" i="4"/>
  <c r="M75" i="4"/>
  <c r="L75" i="4"/>
  <c r="K75" i="4"/>
  <c r="F75" i="4"/>
  <c r="E75" i="4"/>
  <c r="C75" i="4"/>
  <c r="N74" i="4"/>
  <c r="M74" i="4"/>
  <c r="L74" i="4"/>
  <c r="K74" i="4"/>
  <c r="F74" i="4"/>
  <c r="E74" i="4"/>
  <c r="C74" i="4"/>
  <c r="N73" i="4"/>
  <c r="M73" i="4"/>
  <c r="L73" i="4"/>
  <c r="K73" i="4"/>
  <c r="F73" i="4"/>
  <c r="E73" i="4"/>
  <c r="C73" i="4"/>
  <c r="N72" i="4"/>
  <c r="M72" i="4"/>
  <c r="L72" i="4"/>
  <c r="K72" i="4"/>
  <c r="F72" i="4"/>
  <c r="E72" i="4"/>
  <c r="C72" i="4"/>
  <c r="N71" i="4"/>
  <c r="M71" i="4"/>
  <c r="L71" i="4"/>
  <c r="K71" i="4"/>
  <c r="F71" i="4"/>
  <c r="E71" i="4"/>
  <c r="C71" i="4"/>
  <c r="N70" i="4"/>
  <c r="M70" i="4"/>
  <c r="L70" i="4"/>
  <c r="K70" i="4"/>
  <c r="F70" i="4"/>
  <c r="E70" i="4"/>
  <c r="C70" i="4"/>
  <c r="N69" i="4"/>
  <c r="M69" i="4"/>
  <c r="L69" i="4"/>
  <c r="K69" i="4"/>
  <c r="F69" i="4"/>
  <c r="E69" i="4"/>
  <c r="C69" i="4"/>
  <c r="N68" i="4"/>
  <c r="M68" i="4"/>
  <c r="L68" i="4"/>
  <c r="K68" i="4"/>
  <c r="F68" i="4"/>
  <c r="E68" i="4"/>
  <c r="C68" i="4"/>
  <c r="N67" i="4"/>
  <c r="M67" i="4"/>
  <c r="L67" i="4"/>
  <c r="K67" i="4"/>
  <c r="F67" i="4"/>
  <c r="E67" i="4"/>
  <c r="C67" i="4"/>
  <c r="N66" i="4"/>
  <c r="M66" i="4"/>
  <c r="L66" i="4"/>
  <c r="K66" i="4"/>
  <c r="F66" i="4"/>
  <c r="E66" i="4"/>
  <c r="C66" i="4"/>
  <c r="N65" i="4"/>
  <c r="M65" i="4"/>
  <c r="L65" i="4"/>
  <c r="K65" i="4"/>
  <c r="F65" i="4"/>
  <c r="E65" i="4"/>
  <c r="C65" i="4"/>
  <c r="N64" i="4"/>
  <c r="M64" i="4"/>
  <c r="L64" i="4"/>
  <c r="K64" i="4"/>
  <c r="F64" i="4"/>
  <c r="E64" i="4"/>
  <c r="C64" i="4"/>
  <c r="N63" i="4"/>
  <c r="M63" i="4"/>
  <c r="L63" i="4"/>
  <c r="K63" i="4"/>
  <c r="F63" i="4"/>
  <c r="E63" i="4"/>
  <c r="C63" i="4"/>
  <c r="N62" i="4"/>
  <c r="M62" i="4"/>
  <c r="L62" i="4"/>
  <c r="K62" i="4"/>
  <c r="F62" i="4"/>
  <c r="E62" i="4"/>
  <c r="C62" i="4"/>
  <c r="N61" i="4"/>
  <c r="M61" i="4"/>
  <c r="L61" i="4"/>
  <c r="K61" i="4"/>
  <c r="F61" i="4"/>
  <c r="E61" i="4"/>
  <c r="C61" i="4"/>
  <c r="N60" i="4"/>
  <c r="M60" i="4"/>
  <c r="L60" i="4"/>
  <c r="K60" i="4"/>
  <c r="F60" i="4"/>
  <c r="E60" i="4"/>
  <c r="C60" i="4"/>
  <c r="N59" i="4"/>
  <c r="M59" i="4"/>
  <c r="L59" i="4"/>
  <c r="K59" i="4"/>
  <c r="F59" i="4"/>
  <c r="E59" i="4"/>
  <c r="C59" i="4"/>
  <c r="N58" i="4"/>
  <c r="M58" i="4"/>
  <c r="L58" i="4"/>
  <c r="K58" i="4"/>
  <c r="F58" i="4"/>
  <c r="E58" i="4"/>
  <c r="C58" i="4"/>
  <c r="N57" i="4"/>
  <c r="M57" i="4"/>
  <c r="L57" i="4"/>
  <c r="K57" i="4"/>
  <c r="F57" i="4"/>
  <c r="E57" i="4"/>
  <c r="C57" i="4"/>
  <c r="N56" i="4"/>
  <c r="M56" i="4"/>
  <c r="L56" i="4"/>
  <c r="K56" i="4"/>
  <c r="F56" i="4"/>
  <c r="E56" i="4"/>
  <c r="C56" i="4"/>
  <c r="N55" i="4"/>
  <c r="M55" i="4"/>
  <c r="L55" i="4"/>
  <c r="K55" i="4"/>
  <c r="F55" i="4"/>
  <c r="E55" i="4"/>
  <c r="C55" i="4"/>
  <c r="N54" i="4"/>
  <c r="M54" i="4"/>
  <c r="L54" i="4"/>
  <c r="K54" i="4"/>
  <c r="F54" i="4"/>
  <c r="E54" i="4"/>
  <c r="C54" i="4"/>
  <c r="N53" i="4"/>
  <c r="M53" i="4"/>
  <c r="L53" i="4"/>
  <c r="K53" i="4"/>
  <c r="F53" i="4"/>
  <c r="E53" i="4"/>
  <c r="C53" i="4"/>
  <c r="N52" i="4"/>
  <c r="M52" i="4"/>
  <c r="L52" i="4"/>
  <c r="K52" i="4"/>
  <c r="F52" i="4"/>
  <c r="E52" i="4"/>
  <c r="C52" i="4"/>
  <c r="N51" i="4"/>
  <c r="M51" i="4"/>
  <c r="L51" i="4"/>
  <c r="K51" i="4"/>
  <c r="F51" i="4"/>
  <c r="E51" i="4"/>
  <c r="C51" i="4"/>
  <c r="N50" i="4"/>
  <c r="M50" i="4"/>
  <c r="L50" i="4"/>
  <c r="K50" i="4"/>
  <c r="F50" i="4"/>
  <c r="E50" i="4"/>
  <c r="C50" i="4"/>
  <c r="N49" i="4"/>
  <c r="M49" i="4"/>
  <c r="L49" i="4"/>
  <c r="K49" i="4"/>
  <c r="F49" i="4"/>
  <c r="E49" i="4"/>
  <c r="C49" i="4"/>
  <c r="N48" i="4"/>
  <c r="M48" i="4"/>
  <c r="L48" i="4"/>
  <c r="K48" i="4"/>
  <c r="F48" i="4"/>
  <c r="E48" i="4"/>
  <c r="C48" i="4"/>
  <c r="N47" i="4"/>
  <c r="M47" i="4"/>
  <c r="L47" i="4"/>
  <c r="K47" i="4"/>
  <c r="F47" i="4"/>
  <c r="E47" i="4"/>
  <c r="C47" i="4"/>
  <c r="N46" i="4"/>
  <c r="M46" i="4"/>
  <c r="L46" i="4"/>
  <c r="K46" i="4"/>
  <c r="F46" i="4"/>
  <c r="E46" i="4"/>
  <c r="C46" i="4"/>
  <c r="N45" i="4"/>
  <c r="M45" i="4"/>
  <c r="L45" i="4"/>
  <c r="K45" i="4"/>
  <c r="F45" i="4"/>
  <c r="E45" i="4"/>
  <c r="C45" i="4"/>
  <c r="N44" i="4"/>
  <c r="M44" i="4"/>
  <c r="L44" i="4"/>
  <c r="K44" i="4"/>
  <c r="F44" i="4"/>
  <c r="E44" i="4"/>
  <c r="C44" i="4"/>
  <c r="N43" i="4"/>
  <c r="M43" i="4"/>
  <c r="L43" i="4"/>
  <c r="K43" i="4"/>
  <c r="F43" i="4"/>
  <c r="E43" i="4"/>
  <c r="C43" i="4"/>
  <c r="N42" i="4"/>
  <c r="M42" i="4"/>
  <c r="L42" i="4"/>
  <c r="K42" i="4"/>
  <c r="F42" i="4"/>
  <c r="E42" i="4"/>
  <c r="C42" i="4"/>
  <c r="N41" i="4"/>
  <c r="M41" i="4"/>
  <c r="L41" i="4"/>
  <c r="K41" i="4"/>
  <c r="F41" i="4"/>
  <c r="E41" i="4"/>
  <c r="C41" i="4"/>
  <c r="N40" i="4"/>
  <c r="M40" i="4"/>
  <c r="L40" i="4"/>
  <c r="K40" i="4"/>
  <c r="F40" i="4"/>
  <c r="E40" i="4"/>
  <c r="C40" i="4"/>
  <c r="N39" i="4"/>
  <c r="M39" i="4"/>
  <c r="L39" i="4"/>
  <c r="K39" i="4"/>
  <c r="F39" i="4"/>
  <c r="E39" i="4"/>
  <c r="C39" i="4"/>
  <c r="N38" i="4"/>
  <c r="M38" i="4"/>
  <c r="L38" i="4"/>
  <c r="K38" i="4"/>
  <c r="F38" i="4"/>
  <c r="E38" i="4"/>
  <c r="C38" i="4"/>
  <c r="N37" i="4"/>
  <c r="M37" i="4"/>
  <c r="L37" i="4"/>
  <c r="K37" i="4"/>
  <c r="F37" i="4"/>
  <c r="E37" i="4"/>
  <c r="C37" i="4"/>
  <c r="N36" i="4"/>
  <c r="M36" i="4"/>
  <c r="L36" i="4"/>
  <c r="K36" i="4"/>
  <c r="F36" i="4"/>
  <c r="E36" i="4"/>
  <c r="C36" i="4"/>
  <c r="N35" i="4"/>
  <c r="M35" i="4"/>
  <c r="L35" i="4"/>
  <c r="K35" i="4"/>
  <c r="F35" i="4"/>
  <c r="E35" i="4"/>
  <c r="C35" i="4"/>
  <c r="N34" i="4"/>
  <c r="M34" i="4"/>
  <c r="L34" i="4"/>
  <c r="K34" i="4"/>
  <c r="F34" i="4"/>
  <c r="E34" i="4"/>
  <c r="C34" i="4"/>
  <c r="N33" i="4"/>
  <c r="M33" i="4"/>
  <c r="L33" i="4"/>
  <c r="K33" i="4"/>
  <c r="F33" i="4"/>
  <c r="E33" i="4"/>
  <c r="C33" i="4"/>
  <c r="N32" i="4"/>
  <c r="M32" i="4"/>
  <c r="L32" i="4"/>
  <c r="K32" i="4"/>
  <c r="F32" i="4"/>
  <c r="E32" i="4"/>
  <c r="C32" i="4"/>
  <c r="N31" i="4"/>
  <c r="M31" i="4"/>
  <c r="L31" i="4"/>
  <c r="K31" i="4"/>
  <c r="F31" i="4"/>
  <c r="E31" i="4"/>
  <c r="C31" i="4"/>
  <c r="N30" i="4"/>
  <c r="M30" i="4"/>
  <c r="L30" i="4"/>
  <c r="K30" i="4"/>
  <c r="F30" i="4"/>
  <c r="E30" i="4"/>
  <c r="C30" i="4"/>
  <c r="N29" i="4"/>
  <c r="M29" i="4"/>
  <c r="L29" i="4"/>
  <c r="K29" i="4"/>
  <c r="F29" i="4"/>
  <c r="E29" i="4"/>
  <c r="C29" i="4"/>
  <c r="N28" i="4"/>
  <c r="M28" i="4"/>
  <c r="L28" i="4"/>
  <c r="K28" i="4"/>
  <c r="F28" i="4"/>
  <c r="E28" i="4"/>
  <c r="C28" i="4"/>
  <c r="N27" i="4"/>
  <c r="M27" i="4"/>
  <c r="L27" i="4"/>
  <c r="K27" i="4"/>
  <c r="F27" i="4"/>
  <c r="E27" i="4"/>
  <c r="C27" i="4"/>
  <c r="N26" i="4"/>
  <c r="M26" i="4"/>
  <c r="L26" i="4"/>
  <c r="K26" i="4"/>
  <c r="F26" i="4"/>
  <c r="E26" i="4"/>
  <c r="C26" i="4"/>
  <c r="N25" i="4"/>
  <c r="M25" i="4"/>
  <c r="L25" i="4"/>
  <c r="K25" i="4"/>
  <c r="F25" i="4"/>
  <c r="E25" i="4"/>
  <c r="C25" i="4"/>
  <c r="N24" i="4"/>
  <c r="M24" i="4"/>
  <c r="L24" i="4"/>
  <c r="K24" i="4"/>
  <c r="F24" i="4"/>
  <c r="E24" i="4"/>
  <c r="C24" i="4"/>
  <c r="N23" i="4"/>
  <c r="M23" i="4"/>
  <c r="L23" i="4"/>
  <c r="K23" i="4"/>
  <c r="F23" i="4"/>
  <c r="E23" i="4"/>
  <c r="C23" i="4"/>
  <c r="N22" i="4"/>
  <c r="M22" i="4"/>
  <c r="L22" i="4"/>
  <c r="K22" i="4"/>
  <c r="F22" i="4"/>
  <c r="E22" i="4"/>
  <c r="C22" i="4"/>
  <c r="N21" i="4"/>
  <c r="M21" i="4"/>
  <c r="L21" i="4"/>
  <c r="K21" i="4"/>
  <c r="F21" i="4"/>
  <c r="E21" i="4"/>
  <c r="C21" i="4"/>
  <c r="N20" i="4"/>
  <c r="M20" i="4"/>
  <c r="L20" i="4"/>
  <c r="K20" i="4"/>
  <c r="F20" i="4"/>
  <c r="E20" i="4"/>
  <c r="C20" i="4"/>
  <c r="N19" i="4"/>
  <c r="M19" i="4"/>
  <c r="L19" i="4"/>
  <c r="K19" i="4"/>
  <c r="F19" i="4"/>
  <c r="E19" i="4"/>
  <c r="C19" i="4"/>
  <c r="N18" i="4"/>
  <c r="M18" i="4"/>
  <c r="L18" i="4"/>
  <c r="K18" i="4"/>
  <c r="F18" i="4"/>
  <c r="E18" i="4"/>
  <c r="C18" i="4"/>
  <c r="N17" i="4"/>
  <c r="M17" i="4"/>
  <c r="L17" i="4"/>
  <c r="K17" i="4"/>
  <c r="F17" i="4"/>
  <c r="E17" i="4"/>
  <c r="C17" i="4"/>
  <c r="N16" i="4"/>
  <c r="M16" i="4"/>
  <c r="L16" i="4"/>
  <c r="K16" i="4"/>
  <c r="F16" i="4"/>
  <c r="E16" i="4"/>
  <c r="C16" i="4"/>
  <c r="N15" i="4"/>
  <c r="M15" i="4"/>
  <c r="L15" i="4"/>
  <c r="K15" i="4"/>
  <c r="F15" i="4"/>
  <c r="E15" i="4"/>
  <c r="C15" i="4"/>
  <c r="N14" i="4"/>
  <c r="M14" i="4"/>
  <c r="L14" i="4"/>
  <c r="K14" i="4"/>
  <c r="F14" i="4"/>
  <c r="E14" i="4"/>
  <c r="C14" i="4"/>
  <c r="N13" i="4"/>
  <c r="M13" i="4"/>
  <c r="L13" i="4"/>
  <c r="K13" i="4"/>
  <c r="F13" i="4"/>
  <c r="E13" i="4"/>
  <c r="C13" i="4"/>
  <c r="N12" i="4"/>
  <c r="M12" i="4"/>
  <c r="L12" i="4"/>
  <c r="K12" i="4"/>
  <c r="F12" i="4"/>
  <c r="E12" i="4"/>
  <c r="C12" i="4"/>
  <c r="N11" i="4"/>
  <c r="M11" i="4"/>
  <c r="L11" i="4"/>
  <c r="K11" i="4"/>
  <c r="F11" i="4"/>
  <c r="E11" i="4"/>
  <c r="C11" i="4"/>
  <c r="N10" i="4"/>
  <c r="M10" i="4"/>
  <c r="L10" i="4"/>
  <c r="K10" i="4"/>
  <c r="F10" i="4"/>
  <c r="E10" i="4"/>
  <c r="C10" i="4"/>
  <c r="N9" i="4"/>
  <c r="M9" i="4"/>
  <c r="L9" i="4"/>
  <c r="K9" i="4"/>
  <c r="F9" i="4"/>
  <c r="E9" i="4"/>
  <c r="C9" i="4"/>
  <c r="N8" i="4"/>
  <c r="M8" i="4"/>
  <c r="L8" i="4"/>
  <c r="K8" i="4"/>
  <c r="F8" i="4"/>
  <c r="E8" i="4"/>
  <c r="C8" i="4"/>
  <c r="N7" i="4"/>
  <c r="M7" i="4"/>
  <c r="L7" i="4"/>
  <c r="K7" i="4"/>
  <c r="F7" i="4"/>
  <c r="E7" i="4"/>
  <c r="C7" i="4"/>
  <c r="N6" i="4"/>
  <c r="M6" i="4"/>
  <c r="L6" i="4"/>
  <c r="K6" i="4"/>
  <c r="F6" i="4"/>
  <c r="E6" i="4"/>
  <c r="C6" i="4"/>
  <c r="AP5" i="4"/>
  <c r="AP4" i="4" s="1"/>
  <c r="AO5" i="4"/>
  <c r="AO4" i="4" s="1"/>
  <c r="AN5" i="4"/>
  <c r="AN4" i="4" s="1"/>
  <c r="AM5" i="4"/>
  <c r="AM4" i="4" s="1"/>
  <c r="AL5" i="4"/>
  <c r="AL4" i="4" s="1"/>
  <c r="AK5" i="4"/>
  <c r="AK4" i="4" s="1"/>
  <c r="AJ5" i="4"/>
  <c r="AJ4" i="4" s="1"/>
  <c r="AI5" i="4"/>
  <c r="AI4" i="4" s="1"/>
  <c r="AH5" i="4"/>
  <c r="AH4" i="4" s="1"/>
  <c r="AG5" i="4"/>
  <c r="AG4" i="4" s="1"/>
  <c r="AF5" i="4"/>
  <c r="AF4" i="4" s="1"/>
  <c r="AE5" i="4"/>
  <c r="AE4" i="4" s="1"/>
  <c r="AD5" i="4"/>
  <c r="AD4" i="4" s="1"/>
  <c r="AC5" i="4"/>
  <c r="AC4" i="4" s="1"/>
  <c r="AB5" i="4"/>
  <c r="AB4" i="4" s="1"/>
  <c r="AA5" i="4"/>
  <c r="AA4" i="4" s="1"/>
  <c r="Z5" i="4"/>
  <c r="Z4" i="4" s="1"/>
  <c r="Y5" i="4"/>
  <c r="Y4" i="4" s="1"/>
  <c r="X5" i="4"/>
  <c r="X4" i="4" s="1"/>
  <c r="W5" i="4"/>
  <c r="W4" i="4" s="1"/>
  <c r="V5" i="4"/>
  <c r="V4" i="4" s="1"/>
  <c r="U5" i="4"/>
  <c r="U4" i="4" s="1"/>
  <c r="T5" i="4"/>
  <c r="T4" i="4" s="1"/>
  <c r="S5" i="4"/>
  <c r="S4" i="4" s="1"/>
  <c r="R5" i="4"/>
  <c r="R4" i="4" s="1"/>
  <c r="Q5" i="4"/>
  <c r="Q4" i="4" s="1"/>
  <c r="P5" i="4"/>
  <c r="P4" i="4" s="1"/>
  <c r="O5" i="4"/>
  <c r="O4" i="4" s="1"/>
  <c r="AQ105" i="3"/>
  <c r="AP105" i="3"/>
  <c r="AO105" i="3"/>
  <c r="AN105" i="3"/>
  <c r="AM105" i="3"/>
  <c r="AL105" i="3"/>
  <c r="AK105" i="3"/>
  <c r="AJ105" i="3"/>
  <c r="AI105" i="3"/>
  <c r="AH105" i="3"/>
  <c r="AG105" i="3"/>
  <c r="AF105" i="3"/>
  <c r="AE105" i="3"/>
  <c r="AD105" i="3"/>
  <c r="AC105" i="3"/>
  <c r="AB105" i="3"/>
  <c r="AA105" i="3"/>
  <c r="Z105" i="3"/>
  <c r="Y104" i="5" s="1"/>
  <c r="Y105" i="3"/>
  <c r="X104" i="5" s="1"/>
  <c r="X105" i="3"/>
  <c r="W104" i="5" s="1"/>
  <c r="W105" i="3"/>
  <c r="V104" i="5" s="1"/>
  <c r="V105" i="3"/>
  <c r="U104" i="5" s="1"/>
  <c r="U105" i="3"/>
  <c r="T104" i="5" s="1"/>
  <c r="T105" i="3"/>
  <c r="S104" i="5" s="1"/>
  <c r="S105" i="3"/>
  <c r="R104" i="5" s="1"/>
  <c r="R105" i="3"/>
  <c r="Q104" i="5" s="1"/>
  <c r="Q105" i="3"/>
  <c r="P104" i="5" s="1"/>
  <c r="P105" i="3"/>
  <c r="O104" i="5" s="1"/>
  <c r="AQ104" i="3"/>
  <c r="AP104" i="3"/>
  <c r="AO104" i="3"/>
  <c r="AN104" i="3"/>
  <c r="AM104" i="3"/>
  <c r="AL104" i="3"/>
  <c r="AK104" i="3"/>
  <c r="AJ104" i="3"/>
  <c r="AI104" i="3"/>
  <c r="AH104" i="3"/>
  <c r="AG104" i="3"/>
  <c r="AF104" i="3"/>
  <c r="AE104" i="3"/>
  <c r="AD104" i="3"/>
  <c r="AC104" i="3"/>
  <c r="AB104" i="3"/>
  <c r="AA104" i="3"/>
  <c r="Z104" i="3"/>
  <c r="Y103" i="5" s="1"/>
  <c r="Y104" i="3"/>
  <c r="X103" i="5" s="1"/>
  <c r="X104" i="3"/>
  <c r="W103" i="5" s="1"/>
  <c r="W104" i="3"/>
  <c r="V103" i="5" s="1"/>
  <c r="V104" i="3"/>
  <c r="U103" i="5" s="1"/>
  <c r="U104" i="3"/>
  <c r="T103" i="5" s="1"/>
  <c r="T104" i="3"/>
  <c r="S103" i="5" s="1"/>
  <c r="S104" i="3"/>
  <c r="R103" i="5" s="1"/>
  <c r="R104" i="3"/>
  <c r="Q103" i="5" s="1"/>
  <c r="Q104" i="3"/>
  <c r="P103" i="5" s="1"/>
  <c r="P104" i="3"/>
  <c r="O103" i="5" s="1"/>
  <c r="AQ103" i="3"/>
  <c r="AP103" i="3"/>
  <c r="AO103" i="3"/>
  <c r="AN103" i="3"/>
  <c r="AM103" i="3"/>
  <c r="AL103" i="3"/>
  <c r="AK103" i="3"/>
  <c r="AJ103" i="3"/>
  <c r="AI103" i="3"/>
  <c r="AH103" i="3"/>
  <c r="AG103" i="3"/>
  <c r="AF103" i="3"/>
  <c r="AE103" i="3"/>
  <c r="AD103" i="3"/>
  <c r="AC103" i="3"/>
  <c r="AB103" i="3"/>
  <c r="AA103" i="3"/>
  <c r="Z103" i="3"/>
  <c r="Y102" i="5" s="1"/>
  <c r="Y103" i="3"/>
  <c r="X102" i="5" s="1"/>
  <c r="X103" i="3"/>
  <c r="W102" i="5" s="1"/>
  <c r="W103" i="3"/>
  <c r="V102" i="5" s="1"/>
  <c r="V103" i="3"/>
  <c r="U102" i="5" s="1"/>
  <c r="U103" i="3"/>
  <c r="T102" i="5" s="1"/>
  <c r="T103" i="3"/>
  <c r="S102" i="5" s="1"/>
  <c r="S103" i="3"/>
  <c r="R102" i="5" s="1"/>
  <c r="R103" i="3"/>
  <c r="Q102" i="5" s="1"/>
  <c r="Q103" i="3"/>
  <c r="P102" i="5" s="1"/>
  <c r="P103" i="3"/>
  <c r="O102" i="5" s="1"/>
  <c r="AQ102" i="3"/>
  <c r="AP102" i="3"/>
  <c r="AO102" i="3"/>
  <c r="AN102" i="3"/>
  <c r="AM102" i="3"/>
  <c r="AL102" i="3"/>
  <c r="AK102" i="3"/>
  <c r="AJ102" i="3"/>
  <c r="AI102" i="3"/>
  <c r="AH102" i="3"/>
  <c r="AG102" i="3"/>
  <c r="AF102" i="3"/>
  <c r="AE102" i="3"/>
  <c r="AD102" i="3"/>
  <c r="AC102" i="3"/>
  <c r="AB102" i="3"/>
  <c r="AA102" i="3"/>
  <c r="Z102" i="3"/>
  <c r="Y101" i="5" s="1"/>
  <c r="Y102" i="3"/>
  <c r="X101" i="5" s="1"/>
  <c r="X102" i="3"/>
  <c r="W101" i="5" s="1"/>
  <c r="W102" i="3"/>
  <c r="V101" i="5" s="1"/>
  <c r="V102" i="3"/>
  <c r="U101" i="5" s="1"/>
  <c r="U102" i="3"/>
  <c r="T101" i="5" s="1"/>
  <c r="T102" i="3"/>
  <c r="S101" i="5" s="1"/>
  <c r="S102" i="3"/>
  <c r="R101" i="5" s="1"/>
  <c r="R102" i="3"/>
  <c r="Q101" i="5" s="1"/>
  <c r="Q102" i="3"/>
  <c r="P101" i="5" s="1"/>
  <c r="P102" i="3"/>
  <c r="O101" i="5" s="1"/>
  <c r="AQ101" i="3"/>
  <c r="AP101" i="3"/>
  <c r="AO101" i="3"/>
  <c r="AN101" i="3"/>
  <c r="AM101" i="3"/>
  <c r="AL101" i="3"/>
  <c r="AK101" i="3"/>
  <c r="AJ101" i="3"/>
  <c r="AI101" i="3"/>
  <c r="AH101" i="3"/>
  <c r="AG101" i="3"/>
  <c r="AF101" i="3"/>
  <c r="AE101" i="3"/>
  <c r="AD101" i="3"/>
  <c r="AC101" i="3"/>
  <c r="AB101" i="3"/>
  <c r="AA101" i="3"/>
  <c r="Z101" i="3"/>
  <c r="Y100" i="5" s="1"/>
  <c r="Y101" i="3"/>
  <c r="X100" i="5" s="1"/>
  <c r="X101" i="3"/>
  <c r="W100" i="5" s="1"/>
  <c r="W101" i="3"/>
  <c r="V100" i="5" s="1"/>
  <c r="V101" i="3"/>
  <c r="U100" i="5" s="1"/>
  <c r="U101" i="3"/>
  <c r="T100" i="5" s="1"/>
  <c r="T101" i="3"/>
  <c r="S100" i="5" s="1"/>
  <c r="S101" i="3"/>
  <c r="R100" i="5" s="1"/>
  <c r="R101" i="3"/>
  <c r="Q100" i="5" s="1"/>
  <c r="Q101" i="3"/>
  <c r="P100" i="5" s="1"/>
  <c r="P101" i="3"/>
  <c r="O100" i="5" s="1"/>
  <c r="AQ100" i="3"/>
  <c r="AP100" i="3"/>
  <c r="AO100" i="3"/>
  <c r="AN100" i="3"/>
  <c r="AM100" i="3"/>
  <c r="AL100" i="3"/>
  <c r="AK100" i="3"/>
  <c r="AJ100" i="3"/>
  <c r="AI100" i="3"/>
  <c r="AH100" i="3"/>
  <c r="AG100" i="3"/>
  <c r="AF100" i="3"/>
  <c r="AE100" i="3"/>
  <c r="AD100" i="3"/>
  <c r="AC100" i="3"/>
  <c r="AB100" i="3"/>
  <c r="AA100" i="3"/>
  <c r="Z100" i="3"/>
  <c r="Y99" i="5" s="1"/>
  <c r="Y100" i="3"/>
  <c r="X99" i="5" s="1"/>
  <c r="X100" i="3"/>
  <c r="W99" i="5" s="1"/>
  <c r="W100" i="3"/>
  <c r="V99" i="5" s="1"/>
  <c r="V100" i="3"/>
  <c r="U99" i="5" s="1"/>
  <c r="U100" i="3"/>
  <c r="T99" i="5" s="1"/>
  <c r="T100" i="3"/>
  <c r="S99" i="5" s="1"/>
  <c r="S100" i="3"/>
  <c r="R99" i="5" s="1"/>
  <c r="R100" i="3"/>
  <c r="Q99" i="5" s="1"/>
  <c r="Q100" i="3"/>
  <c r="P99" i="5" s="1"/>
  <c r="P100" i="3"/>
  <c r="O99" i="5" s="1"/>
  <c r="AQ99" i="3"/>
  <c r="AP99" i="3"/>
  <c r="AO99" i="3"/>
  <c r="AN99" i="3"/>
  <c r="AM99" i="3"/>
  <c r="AL99" i="3"/>
  <c r="AK99" i="3"/>
  <c r="AJ99" i="3"/>
  <c r="AI99" i="3"/>
  <c r="AH99" i="3"/>
  <c r="AG99" i="3"/>
  <c r="AF99" i="3"/>
  <c r="AE99" i="3"/>
  <c r="AD99" i="3"/>
  <c r="AC99" i="3"/>
  <c r="AB99" i="3"/>
  <c r="AA99" i="3"/>
  <c r="Z99" i="3"/>
  <c r="Y98" i="5" s="1"/>
  <c r="Y99" i="3"/>
  <c r="X98" i="5" s="1"/>
  <c r="X99" i="3"/>
  <c r="W98" i="5" s="1"/>
  <c r="W99" i="3"/>
  <c r="V98" i="5" s="1"/>
  <c r="V99" i="3"/>
  <c r="U98" i="5" s="1"/>
  <c r="U99" i="3"/>
  <c r="T98" i="5" s="1"/>
  <c r="T99" i="3"/>
  <c r="S98" i="5" s="1"/>
  <c r="S99" i="3"/>
  <c r="R98" i="5" s="1"/>
  <c r="R99" i="3"/>
  <c r="Q98" i="5" s="1"/>
  <c r="Q99" i="3"/>
  <c r="P98" i="5" s="1"/>
  <c r="P99" i="3"/>
  <c r="O98" i="5" s="1"/>
  <c r="AQ98" i="3"/>
  <c r="AP98" i="3"/>
  <c r="AO98" i="3"/>
  <c r="AN98" i="3"/>
  <c r="AM98" i="3"/>
  <c r="AL98" i="3"/>
  <c r="AK98" i="3"/>
  <c r="AJ98" i="3"/>
  <c r="AI98" i="3"/>
  <c r="AH98" i="3"/>
  <c r="AG98" i="3"/>
  <c r="AF98" i="3"/>
  <c r="AE98" i="3"/>
  <c r="AD98" i="3"/>
  <c r="AC98" i="3"/>
  <c r="AB98" i="3"/>
  <c r="AA98" i="3"/>
  <c r="Z98" i="3"/>
  <c r="Y97" i="5" s="1"/>
  <c r="Y98" i="3"/>
  <c r="X97" i="5" s="1"/>
  <c r="X98" i="3"/>
  <c r="W97" i="5" s="1"/>
  <c r="W98" i="3"/>
  <c r="V97" i="5" s="1"/>
  <c r="V98" i="3"/>
  <c r="U97" i="5" s="1"/>
  <c r="U98" i="3"/>
  <c r="T97" i="5" s="1"/>
  <c r="T98" i="3"/>
  <c r="S97" i="5" s="1"/>
  <c r="S98" i="3"/>
  <c r="R97" i="5" s="1"/>
  <c r="R98" i="3"/>
  <c r="Q97" i="5" s="1"/>
  <c r="Q98" i="3"/>
  <c r="P97" i="5" s="1"/>
  <c r="P98" i="3"/>
  <c r="O97" i="5" s="1"/>
  <c r="AQ97" i="3"/>
  <c r="AP97" i="3"/>
  <c r="AO97" i="3"/>
  <c r="AN97" i="3"/>
  <c r="AM97" i="3"/>
  <c r="AL97" i="3"/>
  <c r="AK97" i="3"/>
  <c r="AJ97" i="3"/>
  <c r="AI97" i="3"/>
  <c r="AH97" i="3"/>
  <c r="AG97" i="3"/>
  <c r="AF97" i="3"/>
  <c r="AE97" i="3"/>
  <c r="AD97" i="3"/>
  <c r="AC97" i="3"/>
  <c r="AB97" i="3"/>
  <c r="AA97" i="3"/>
  <c r="Z97" i="3"/>
  <c r="Y96" i="5" s="1"/>
  <c r="Y97" i="3"/>
  <c r="X96" i="5" s="1"/>
  <c r="X97" i="3"/>
  <c r="W96" i="5" s="1"/>
  <c r="W97" i="3"/>
  <c r="V96" i="5" s="1"/>
  <c r="V97" i="3"/>
  <c r="U96" i="5" s="1"/>
  <c r="U97" i="3"/>
  <c r="T96" i="5" s="1"/>
  <c r="T97" i="3"/>
  <c r="S96" i="5" s="1"/>
  <c r="S97" i="3"/>
  <c r="R96" i="5" s="1"/>
  <c r="R97" i="3"/>
  <c r="Q96" i="5" s="1"/>
  <c r="Q97" i="3"/>
  <c r="P96" i="5" s="1"/>
  <c r="P97" i="3"/>
  <c r="O96" i="5" s="1"/>
  <c r="AQ96" i="3"/>
  <c r="AP96" i="3"/>
  <c r="AO96" i="3"/>
  <c r="AN96" i="3"/>
  <c r="AM96" i="3"/>
  <c r="AL96" i="3"/>
  <c r="AK96" i="3"/>
  <c r="AJ96" i="3"/>
  <c r="AI96" i="3"/>
  <c r="AH96" i="3"/>
  <c r="AG96" i="3"/>
  <c r="AF96" i="3"/>
  <c r="AE96" i="3"/>
  <c r="AD96" i="3"/>
  <c r="AC96" i="3"/>
  <c r="AB96" i="3"/>
  <c r="AA96" i="3"/>
  <c r="Z96" i="3"/>
  <c r="Y95" i="5" s="1"/>
  <c r="Y96" i="3"/>
  <c r="X95" i="5" s="1"/>
  <c r="X96" i="3"/>
  <c r="W95" i="5" s="1"/>
  <c r="W96" i="3"/>
  <c r="V95" i="5" s="1"/>
  <c r="V96" i="3"/>
  <c r="U95" i="5" s="1"/>
  <c r="U96" i="3"/>
  <c r="T95" i="5" s="1"/>
  <c r="T96" i="3"/>
  <c r="S95" i="5" s="1"/>
  <c r="S96" i="3"/>
  <c r="R95" i="5" s="1"/>
  <c r="R96" i="3"/>
  <c r="Q95" i="5" s="1"/>
  <c r="Q96" i="3"/>
  <c r="P95" i="5" s="1"/>
  <c r="P96" i="3"/>
  <c r="O95" i="5" s="1"/>
  <c r="AQ95" i="3"/>
  <c r="AP95" i="3"/>
  <c r="AO95" i="3"/>
  <c r="AN95" i="3"/>
  <c r="AM95" i="3"/>
  <c r="AL95" i="3"/>
  <c r="AK95" i="3"/>
  <c r="AJ95" i="3"/>
  <c r="AI95" i="3"/>
  <c r="AH95" i="3"/>
  <c r="AG95" i="3"/>
  <c r="AF95" i="3"/>
  <c r="AE95" i="3"/>
  <c r="AD95" i="3"/>
  <c r="AC95" i="3"/>
  <c r="AB95" i="3"/>
  <c r="AA95" i="3"/>
  <c r="Z95" i="3"/>
  <c r="Y94" i="5" s="1"/>
  <c r="Y95" i="3"/>
  <c r="X94" i="5" s="1"/>
  <c r="X95" i="3"/>
  <c r="W94" i="5" s="1"/>
  <c r="W95" i="3"/>
  <c r="V94" i="5" s="1"/>
  <c r="V95" i="3"/>
  <c r="U94" i="5" s="1"/>
  <c r="U95" i="3"/>
  <c r="T94" i="5" s="1"/>
  <c r="T95" i="3"/>
  <c r="S94" i="5" s="1"/>
  <c r="S95" i="3"/>
  <c r="R94" i="5" s="1"/>
  <c r="R95" i="3"/>
  <c r="Q94" i="5" s="1"/>
  <c r="Q95" i="3"/>
  <c r="P94" i="5" s="1"/>
  <c r="P95" i="3"/>
  <c r="O94" i="5" s="1"/>
  <c r="AQ94" i="3"/>
  <c r="AP94" i="3"/>
  <c r="AO94" i="3"/>
  <c r="AN94" i="3"/>
  <c r="AM94" i="3"/>
  <c r="AL94" i="3"/>
  <c r="AK94" i="3"/>
  <c r="AJ94" i="3"/>
  <c r="AI94" i="3"/>
  <c r="AH94" i="3"/>
  <c r="AG94" i="3"/>
  <c r="AF94" i="3"/>
  <c r="AE94" i="3"/>
  <c r="AD94" i="3"/>
  <c r="AC94" i="3"/>
  <c r="AB94" i="3"/>
  <c r="AA94" i="3"/>
  <c r="Z94" i="3"/>
  <c r="Y93" i="5" s="1"/>
  <c r="Y94" i="3"/>
  <c r="X93" i="5" s="1"/>
  <c r="X94" i="3"/>
  <c r="W93" i="5" s="1"/>
  <c r="W94" i="3"/>
  <c r="V93" i="5" s="1"/>
  <c r="V94" i="3"/>
  <c r="U93" i="5" s="1"/>
  <c r="U94" i="3"/>
  <c r="T93" i="5" s="1"/>
  <c r="T94" i="3"/>
  <c r="S93" i="5" s="1"/>
  <c r="S94" i="3"/>
  <c r="R93" i="5" s="1"/>
  <c r="R94" i="3"/>
  <c r="Q93" i="5" s="1"/>
  <c r="Q94" i="3"/>
  <c r="P93" i="5" s="1"/>
  <c r="P94" i="3"/>
  <c r="O93" i="5" s="1"/>
  <c r="AQ93" i="3"/>
  <c r="AP93" i="3"/>
  <c r="AO93" i="3"/>
  <c r="AN93" i="3"/>
  <c r="AM93" i="3"/>
  <c r="AL93" i="3"/>
  <c r="AK93" i="3"/>
  <c r="AJ93" i="3"/>
  <c r="AI93" i="3"/>
  <c r="AH93" i="3"/>
  <c r="AG93" i="3"/>
  <c r="AF93" i="3"/>
  <c r="AE93" i="3"/>
  <c r="AD93" i="3"/>
  <c r="AC93" i="3"/>
  <c r="AB93" i="3"/>
  <c r="AA93" i="3"/>
  <c r="Z93" i="3"/>
  <c r="Y92" i="5" s="1"/>
  <c r="Y93" i="3"/>
  <c r="X92" i="5" s="1"/>
  <c r="X93" i="3"/>
  <c r="W92" i="5" s="1"/>
  <c r="W93" i="3"/>
  <c r="V92" i="5" s="1"/>
  <c r="V93" i="3"/>
  <c r="U92" i="5" s="1"/>
  <c r="U93" i="3"/>
  <c r="T92" i="5" s="1"/>
  <c r="T93" i="3"/>
  <c r="S92" i="5" s="1"/>
  <c r="S93" i="3"/>
  <c r="R92" i="5" s="1"/>
  <c r="R93" i="3"/>
  <c r="Q92" i="5" s="1"/>
  <c r="Q93" i="3"/>
  <c r="P92" i="5" s="1"/>
  <c r="P93" i="3"/>
  <c r="O92" i="5" s="1"/>
  <c r="AQ92" i="3"/>
  <c r="AP92" i="3"/>
  <c r="AO92" i="3"/>
  <c r="AN92" i="3"/>
  <c r="AM92" i="3"/>
  <c r="AL92" i="3"/>
  <c r="AK92" i="3"/>
  <c r="AJ92" i="3"/>
  <c r="AI92" i="3"/>
  <c r="AH92" i="3"/>
  <c r="AG92" i="3"/>
  <c r="AF92" i="3"/>
  <c r="AE92" i="3"/>
  <c r="AD92" i="3"/>
  <c r="AC92" i="3"/>
  <c r="AB92" i="3"/>
  <c r="AA92" i="3"/>
  <c r="Z92" i="3"/>
  <c r="Y91" i="5" s="1"/>
  <c r="Y92" i="3"/>
  <c r="X91" i="5" s="1"/>
  <c r="X92" i="3"/>
  <c r="W91" i="5" s="1"/>
  <c r="W92" i="3"/>
  <c r="V91" i="5" s="1"/>
  <c r="V92" i="3"/>
  <c r="U91" i="5" s="1"/>
  <c r="U92" i="3"/>
  <c r="T91" i="5" s="1"/>
  <c r="T92" i="3"/>
  <c r="S91" i="5" s="1"/>
  <c r="S92" i="3"/>
  <c r="R91" i="5" s="1"/>
  <c r="R92" i="3"/>
  <c r="Q91" i="5" s="1"/>
  <c r="Q92" i="3"/>
  <c r="P91" i="5" s="1"/>
  <c r="P92" i="3"/>
  <c r="O91" i="5" s="1"/>
  <c r="AQ91" i="3"/>
  <c r="AP91" i="3"/>
  <c r="AO91" i="3"/>
  <c r="AN91" i="3"/>
  <c r="AM91" i="3"/>
  <c r="AL91" i="3"/>
  <c r="AK91" i="3"/>
  <c r="AJ91" i="3"/>
  <c r="AI91" i="3"/>
  <c r="AH91" i="3"/>
  <c r="AG91" i="3"/>
  <c r="AF91" i="3"/>
  <c r="AE91" i="3"/>
  <c r="AD91" i="3"/>
  <c r="AC91" i="3"/>
  <c r="AB91" i="3"/>
  <c r="AA91" i="3"/>
  <c r="Z91" i="3"/>
  <c r="Y90" i="5" s="1"/>
  <c r="Y91" i="3"/>
  <c r="X90" i="5" s="1"/>
  <c r="X91" i="3"/>
  <c r="W90" i="5" s="1"/>
  <c r="W91" i="3"/>
  <c r="V90" i="5" s="1"/>
  <c r="V91" i="3"/>
  <c r="U90" i="5" s="1"/>
  <c r="U91" i="3"/>
  <c r="T90" i="5" s="1"/>
  <c r="T91" i="3"/>
  <c r="S90" i="5" s="1"/>
  <c r="S91" i="3"/>
  <c r="R90" i="5" s="1"/>
  <c r="R91" i="3"/>
  <c r="Q90" i="5" s="1"/>
  <c r="Q91" i="3"/>
  <c r="P90" i="5" s="1"/>
  <c r="P91" i="3"/>
  <c r="O90" i="5" s="1"/>
  <c r="AQ90" i="3"/>
  <c r="AP90" i="3"/>
  <c r="AO90" i="3"/>
  <c r="AN90" i="3"/>
  <c r="AM90" i="3"/>
  <c r="AL90" i="3"/>
  <c r="AK90" i="3"/>
  <c r="AJ90" i="3"/>
  <c r="AI90" i="3"/>
  <c r="AH90" i="3"/>
  <c r="AG90" i="3"/>
  <c r="AF90" i="3"/>
  <c r="AE90" i="3"/>
  <c r="AD90" i="3"/>
  <c r="AC90" i="3"/>
  <c r="AB90" i="3"/>
  <c r="AA90" i="3"/>
  <c r="Z90" i="3"/>
  <c r="Y89" i="5" s="1"/>
  <c r="Y90" i="3"/>
  <c r="X89" i="5" s="1"/>
  <c r="X90" i="3"/>
  <c r="W89" i="5" s="1"/>
  <c r="W90" i="3"/>
  <c r="V89" i="5" s="1"/>
  <c r="V90" i="3"/>
  <c r="U89" i="5" s="1"/>
  <c r="U90" i="3"/>
  <c r="T89" i="5" s="1"/>
  <c r="T90" i="3"/>
  <c r="S89" i="5" s="1"/>
  <c r="S90" i="3"/>
  <c r="R89" i="5" s="1"/>
  <c r="R90" i="3"/>
  <c r="Q89" i="5" s="1"/>
  <c r="Q90" i="3"/>
  <c r="P89" i="5" s="1"/>
  <c r="P90" i="3"/>
  <c r="O89" i="5" s="1"/>
  <c r="AQ89" i="3"/>
  <c r="AP89" i="3"/>
  <c r="AO89" i="3"/>
  <c r="AN89" i="3"/>
  <c r="AM89" i="3"/>
  <c r="AL89" i="3"/>
  <c r="AK89" i="3"/>
  <c r="AJ89" i="3"/>
  <c r="AI89" i="3"/>
  <c r="AH89" i="3"/>
  <c r="AG89" i="3"/>
  <c r="AF89" i="3"/>
  <c r="AE89" i="3"/>
  <c r="AD89" i="3"/>
  <c r="AC89" i="3"/>
  <c r="AB89" i="3"/>
  <c r="AA89" i="3"/>
  <c r="Z89" i="3"/>
  <c r="Y88" i="5" s="1"/>
  <c r="Y89" i="3"/>
  <c r="X88" i="5" s="1"/>
  <c r="X89" i="3"/>
  <c r="W88" i="5" s="1"/>
  <c r="W89" i="3"/>
  <c r="V88" i="5" s="1"/>
  <c r="V89" i="3"/>
  <c r="U88" i="5" s="1"/>
  <c r="U89" i="3"/>
  <c r="T88" i="5" s="1"/>
  <c r="T89" i="3"/>
  <c r="S88" i="5" s="1"/>
  <c r="S89" i="3"/>
  <c r="R88" i="5" s="1"/>
  <c r="R89" i="3"/>
  <c r="Q88" i="5" s="1"/>
  <c r="Q89" i="3"/>
  <c r="P88" i="5" s="1"/>
  <c r="P89" i="3"/>
  <c r="O88" i="5" s="1"/>
  <c r="AQ88" i="3"/>
  <c r="AP88" i="3"/>
  <c r="AO88" i="3"/>
  <c r="AN88" i="3"/>
  <c r="AM88" i="3"/>
  <c r="AL88" i="3"/>
  <c r="AK88" i="3"/>
  <c r="AJ88" i="3"/>
  <c r="AI88" i="3"/>
  <c r="AH88" i="3"/>
  <c r="AG88" i="3"/>
  <c r="AF88" i="3"/>
  <c r="AE88" i="3"/>
  <c r="AD88" i="3"/>
  <c r="AC88" i="3"/>
  <c r="AB88" i="3"/>
  <c r="AA88" i="3"/>
  <c r="Z88" i="3"/>
  <c r="Y87" i="5" s="1"/>
  <c r="Y88" i="3"/>
  <c r="X87" i="5" s="1"/>
  <c r="X88" i="3"/>
  <c r="W87" i="5" s="1"/>
  <c r="W88" i="3"/>
  <c r="V87" i="5" s="1"/>
  <c r="V88" i="3"/>
  <c r="U87" i="5" s="1"/>
  <c r="U88" i="3"/>
  <c r="T87" i="5" s="1"/>
  <c r="T88" i="3"/>
  <c r="S87" i="5" s="1"/>
  <c r="S88" i="3"/>
  <c r="R87" i="5" s="1"/>
  <c r="R88" i="3"/>
  <c r="Q87" i="5" s="1"/>
  <c r="Q88" i="3"/>
  <c r="P87" i="5" s="1"/>
  <c r="P88" i="3"/>
  <c r="O87" i="5" s="1"/>
  <c r="AQ87" i="3"/>
  <c r="AP87" i="3"/>
  <c r="AO87" i="3"/>
  <c r="AN87" i="3"/>
  <c r="AM87" i="3"/>
  <c r="AL87" i="3"/>
  <c r="AK87" i="3"/>
  <c r="AJ87" i="3"/>
  <c r="AI87" i="3"/>
  <c r="AH87" i="3"/>
  <c r="AG87" i="3"/>
  <c r="AF87" i="3"/>
  <c r="AE87" i="3"/>
  <c r="AD87" i="3"/>
  <c r="AC87" i="3"/>
  <c r="AB87" i="3"/>
  <c r="AA87" i="3"/>
  <c r="Z87" i="3"/>
  <c r="Y86" i="5" s="1"/>
  <c r="Y87" i="3"/>
  <c r="X86" i="5" s="1"/>
  <c r="X87" i="3"/>
  <c r="W86" i="5" s="1"/>
  <c r="W87" i="3"/>
  <c r="V86" i="5" s="1"/>
  <c r="V87" i="3"/>
  <c r="U86" i="5" s="1"/>
  <c r="U87" i="3"/>
  <c r="T86" i="5" s="1"/>
  <c r="T87" i="3"/>
  <c r="S86" i="5" s="1"/>
  <c r="S87" i="3"/>
  <c r="R86" i="5" s="1"/>
  <c r="R87" i="3"/>
  <c r="Q86" i="5" s="1"/>
  <c r="Q87" i="3"/>
  <c r="P86" i="5" s="1"/>
  <c r="P87" i="3"/>
  <c r="O86" i="5" s="1"/>
  <c r="AQ86" i="3"/>
  <c r="AP86" i="3"/>
  <c r="AO86" i="3"/>
  <c r="AN86" i="3"/>
  <c r="AM86" i="3"/>
  <c r="AL86" i="3"/>
  <c r="AK86" i="3"/>
  <c r="AJ86" i="3"/>
  <c r="AI86" i="3"/>
  <c r="AH86" i="3"/>
  <c r="AG86" i="3"/>
  <c r="AF86" i="3"/>
  <c r="AE86" i="3"/>
  <c r="AD86" i="3"/>
  <c r="AC86" i="3"/>
  <c r="AB86" i="3"/>
  <c r="AA86" i="3"/>
  <c r="Z86" i="3"/>
  <c r="Y85" i="5" s="1"/>
  <c r="Y86" i="3"/>
  <c r="X85" i="5" s="1"/>
  <c r="X86" i="3"/>
  <c r="W85" i="5" s="1"/>
  <c r="W86" i="3"/>
  <c r="V85" i="5" s="1"/>
  <c r="V86" i="3"/>
  <c r="U85" i="5" s="1"/>
  <c r="U86" i="3"/>
  <c r="T85" i="5" s="1"/>
  <c r="T86" i="3"/>
  <c r="S85" i="5" s="1"/>
  <c r="S86" i="3"/>
  <c r="R85" i="5" s="1"/>
  <c r="R86" i="3"/>
  <c r="Q85" i="5" s="1"/>
  <c r="Q86" i="3"/>
  <c r="P85" i="5" s="1"/>
  <c r="P86" i="3"/>
  <c r="O85" i="5" s="1"/>
  <c r="AQ85" i="3"/>
  <c r="AP85" i="3"/>
  <c r="AO85" i="3"/>
  <c r="AN85" i="3"/>
  <c r="AM85" i="3"/>
  <c r="AL85" i="3"/>
  <c r="AK85" i="3"/>
  <c r="AJ85" i="3"/>
  <c r="AI85" i="3"/>
  <c r="AH85" i="3"/>
  <c r="AG85" i="3"/>
  <c r="AF85" i="3"/>
  <c r="AE85" i="3"/>
  <c r="AD85" i="3"/>
  <c r="AC85" i="3"/>
  <c r="AB85" i="3"/>
  <c r="AA85" i="3"/>
  <c r="Z85" i="3"/>
  <c r="Y84" i="5" s="1"/>
  <c r="Y85" i="3"/>
  <c r="X84" i="5" s="1"/>
  <c r="X85" i="3"/>
  <c r="W84" i="5" s="1"/>
  <c r="W85" i="3"/>
  <c r="V84" i="5" s="1"/>
  <c r="V85" i="3"/>
  <c r="U84" i="5" s="1"/>
  <c r="U85" i="3"/>
  <c r="T84" i="5" s="1"/>
  <c r="T85" i="3"/>
  <c r="S84" i="5" s="1"/>
  <c r="S85" i="3"/>
  <c r="R84" i="5" s="1"/>
  <c r="R85" i="3"/>
  <c r="Q84" i="5" s="1"/>
  <c r="Q85" i="3"/>
  <c r="P84" i="5" s="1"/>
  <c r="P85" i="3"/>
  <c r="O84" i="5" s="1"/>
  <c r="AQ84" i="3"/>
  <c r="AP84" i="3"/>
  <c r="AO84" i="3"/>
  <c r="AN84" i="3"/>
  <c r="AM84" i="3"/>
  <c r="AL84" i="3"/>
  <c r="AK84" i="3"/>
  <c r="AJ84" i="3"/>
  <c r="AI84" i="3"/>
  <c r="AH84" i="3"/>
  <c r="AG84" i="3"/>
  <c r="AF84" i="3"/>
  <c r="AE84" i="3"/>
  <c r="AD84" i="3"/>
  <c r="AC84" i="3"/>
  <c r="AB84" i="3"/>
  <c r="AA84" i="3"/>
  <c r="Z84" i="3"/>
  <c r="Y83" i="5" s="1"/>
  <c r="Y84" i="3"/>
  <c r="X83" i="5" s="1"/>
  <c r="X84" i="3"/>
  <c r="W83" i="5" s="1"/>
  <c r="W84" i="3"/>
  <c r="V83" i="5" s="1"/>
  <c r="V84" i="3"/>
  <c r="U83" i="5" s="1"/>
  <c r="U84" i="3"/>
  <c r="T83" i="5" s="1"/>
  <c r="T84" i="3"/>
  <c r="S83" i="5" s="1"/>
  <c r="S84" i="3"/>
  <c r="R83" i="5" s="1"/>
  <c r="R84" i="3"/>
  <c r="Q83" i="5" s="1"/>
  <c r="Q84" i="3"/>
  <c r="P83" i="5" s="1"/>
  <c r="P84" i="3"/>
  <c r="O83" i="5" s="1"/>
  <c r="AQ83" i="3"/>
  <c r="AP83" i="3"/>
  <c r="AO83" i="3"/>
  <c r="AN83" i="3"/>
  <c r="AM83" i="3"/>
  <c r="AL83" i="3"/>
  <c r="AK83" i="3"/>
  <c r="AJ83" i="3"/>
  <c r="AI83" i="3"/>
  <c r="AH83" i="3"/>
  <c r="AG83" i="3"/>
  <c r="AF83" i="3"/>
  <c r="AE83" i="3"/>
  <c r="AD83" i="3"/>
  <c r="AC83" i="3"/>
  <c r="AB83" i="3"/>
  <c r="AA83" i="3"/>
  <c r="Z83" i="3"/>
  <c r="Y82" i="5" s="1"/>
  <c r="Y83" i="3"/>
  <c r="X82" i="5" s="1"/>
  <c r="X83" i="3"/>
  <c r="W82" i="5" s="1"/>
  <c r="W83" i="3"/>
  <c r="V82" i="5" s="1"/>
  <c r="V83" i="3"/>
  <c r="U82" i="5" s="1"/>
  <c r="U83" i="3"/>
  <c r="T82" i="5" s="1"/>
  <c r="T83" i="3"/>
  <c r="S82" i="5" s="1"/>
  <c r="S83" i="3"/>
  <c r="R82" i="5" s="1"/>
  <c r="R83" i="3"/>
  <c r="Q82" i="5" s="1"/>
  <c r="Q83" i="3"/>
  <c r="P82" i="5" s="1"/>
  <c r="P83" i="3"/>
  <c r="O82" i="5" s="1"/>
  <c r="AQ82" i="3"/>
  <c r="AP82" i="3"/>
  <c r="AO82" i="3"/>
  <c r="AN82" i="3"/>
  <c r="AM82" i="3"/>
  <c r="AL82" i="3"/>
  <c r="AK82" i="3"/>
  <c r="AJ82" i="3"/>
  <c r="AI82" i="3"/>
  <c r="AH82" i="3"/>
  <c r="AG82" i="3"/>
  <c r="AF82" i="3"/>
  <c r="AE82" i="3"/>
  <c r="AD82" i="3"/>
  <c r="AC82" i="3"/>
  <c r="AB82" i="3"/>
  <c r="AA82" i="3"/>
  <c r="Z82" i="3"/>
  <c r="Y81" i="5" s="1"/>
  <c r="Y82" i="3"/>
  <c r="X81" i="5" s="1"/>
  <c r="X82" i="3"/>
  <c r="W81" i="5" s="1"/>
  <c r="W82" i="3"/>
  <c r="V81" i="5" s="1"/>
  <c r="V82" i="3"/>
  <c r="U81" i="5" s="1"/>
  <c r="U82" i="3"/>
  <c r="T81" i="5" s="1"/>
  <c r="T82" i="3"/>
  <c r="S81" i="5" s="1"/>
  <c r="S82" i="3"/>
  <c r="R81" i="5" s="1"/>
  <c r="R82" i="3"/>
  <c r="Q81" i="5" s="1"/>
  <c r="Q82" i="3"/>
  <c r="P81" i="5" s="1"/>
  <c r="P82" i="3"/>
  <c r="O81" i="5" s="1"/>
  <c r="AQ81" i="3"/>
  <c r="AP81" i="3"/>
  <c r="AO81" i="3"/>
  <c r="AN81" i="3"/>
  <c r="AM81" i="3"/>
  <c r="AL81" i="3"/>
  <c r="AK81" i="3"/>
  <c r="AJ81" i="3"/>
  <c r="AI81" i="3"/>
  <c r="AH81" i="3"/>
  <c r="AG81" i="3"/>
  <c r="AF81" i="3"/>
  <c r="AE81" i="3"/>
  <c r="AD81" i="3"/>
  <c r="AC81" i="3"/>
  <c r="AB81" i="3"/>
  <c r="AA81" i="3"/>
  <c r="Z81" i="3"/>
  <c r="Y80" i="5" s="1"/>
  <c r="Y81" i="3"/>
  <c r="X80" i="5" s="1"/>
  <c r="X81" i="3"/>
  <c r="W80" i="5" s="1"/>
  <c r="W81" i="3"/>
  <c r="V80" i="5" s="1"/>
  <c r="V81" i="3"/>
  <c r="U80" i="5" s="1"/>
  <c r="U81" i="3"/>
  <c r="T80" i="5" s="1"/>
  <c r="T81" i="3"/>
  <c r="S80" i="5" s="1"/>
  <c r="S81" i="3"/>
  <c r="R80" i="5" s="1"/>
  <c r="R81" i="3"/>
  <c r="Q80" i="5" s="1"/>
  <c r="Q81" i="3"/>
  <c r="P80" i="5" s="1"/>
  <c r="P81" i="3"/>
  <c r="O80" i="5" s="1"/>
  <c r="AQ80" i="3"/>
  <c r="AP80" i="3"/>
  <c r="AO80" i="3"/>
  <c r="AN80" i="3"/>
  <c r="AM80" i="3"/>
  <c r="AL80" i="3"/>
  <c r="AK80" i="3"/>
  <c r="AJ80" i="3"/>
  <c r="AI80" i="3"/>
  <c r="AH80" i="3"/>
  <c r="AG80" i="3"/>
  <c r="AF80" i="3"/>
  <c r="AE80" i="3"/>
  <c r="AD80" i="3"/>
  <c r="AC80" i="3"/>
  <c r="AB80" i="3"/>
  <c r="AA80" i="3"/>
  <c r="Z80" i="3"/>
  <c r="Y79" i="5" s="1"/>
  <c r="Y80" i="3"/>
  <c r="X79" i="5" s="1"/>
  <c r="X80" i="3"/>
  <c r="W79" i="5" s="1"/>
  <c r="W80" i="3"/>
  <c r="V79" i="5" s="1"/>
  <c r="V80" i="3"/>
  <c r="U79" i="5" s="1"/>
  <c r="U80" i="3"/>
  <c r="T79" i="5" s="1"/>
  <c r="T80" i="3"/>
  <c r="S79" i="5" s="1"/>
  <c r="S80" i="3"/>
  <c r="R79" i="5" s="1"/>
  <c r="R80" i="3"/>
  <c r="Q79" i="5" s="1"/>
  <c r="Q80" i="3"/>
  <c r="P79" i="5" s="1"/>
  <c r="P80" i="3"/>
  <c r="O79" i="5" s="1"/>
  <c r="AQ79" i="3"/>
  <c r="AP79" i="3"/>
  <c r="AO79" i="3"/>
  <c r="AN79" i="3"/>
  <c r="AM79" i="3"/>
  <c r="AL79" i="3"/>
  <c r="AK79" i="3"/>
  <c r="AJ79" i="3"/>
  <c r="AI79" i="3"/>
  <c r="AH79" i="3"/>
  <c r="AG79" i="3"/>
  <c r="AF79" i="3"/>
  <c r="AE79" i="3"/>
  <c r="AD79" i="3"/>
  <c r="AC79" i="3"/>
  <c r="AB79" i="3"/>
  <c r="AA79" i="3"/>
  <c r="Z79" i="3"/>
  <c r="Y78" i="5" s="1"/>
  <c r="Y79" i="3"/>
  <c r="X78" i="5" s="1"/>
  <c r="X79" i="3"/>
  <c r="W78" i="5" s="1"/>
  <c r="W79" i="3"/>
  <c r="V78" i="5" s="1"/>
  <c r="V79" i="3"/>
  <c r="U78" i="5" s="1"/>
  <c r="U79" i="3"/>
  <c r="T78" i="5" s="1"/>
  <c r="T79" i="3"/>
  <c r="S78" i="5" s="1"/>
  <c r="S79" i="3"/>
  <c r="R78" i="5" s="1"/>
  <c r="R79" i="3"/>
  <c r="Q78" i="5" s="1"/>
  <c r="Q79" i="3"/>
  <c r="P78" i="5" s="1"/>
  <c r="P79" i="3"/>
  <c r="O78" i="5" s="1"/>
  <c r="AQ78" i="3"/>
  <c r="AP78" i="3"/>
  <c r="AO78" i="3"/>
  <c r="AN78" i="3"/>
  <c r="AM78" i="3"/>
  <c r="AL78" i="3"/>
  <c r="AK78" i="3"/>
  <c r="AJ78" i="3"/>
  <c r="AI78" i="3"/>
  <c r="AH78" i="3"/>
  <c r="AG78" i="3"/>
  <c r="AF78" i="3"/>
  <c r="AE78" i="3"/>
  <c r="AD78" i="3"/>
  <c r="AC78" i="3"/>
  <c r="AB78" i="3"/>
  <c r="AA78" i="3"/>
  <c r="Z78" i="3"/>
  <c r="Y77" i="5" s="1"/>
  <c r="Y78" i="3"/>
  <c r="X77" i="5" s="1"/>
  <c r="X78" i="3"/>
  <c r="W77" i="5" s="1"/>
  <c r="W78" i="3"/>
  <c r="V77" i="5" s="1"/>
  <c r="V78" i="3"/>
  <c r="U77" i="5" s="1"/>
  <c r="U78" i="3"/>
  <c r="T77" i="5" s="1"/>
  <c r="T78" i="3"/>
  <c r="S77" i="5" s="1"/>
  <c r="S78" i="3"/>
  <c r="R77" i="5" s="1"/>
  <c r="R78" i="3"/>
  <c r="Q77" i="5" s="1"/>
  <c r="Q78" i="3"/>
  <c r="P77" i="5" s="1"/>
  <c r="P78" i="3"/>
  <c r="O77" i="5" s="1"/>
  <c r="AQ77" i="3"/>
  <c r="AP77" i="3"/>
  <c r="AO77" i="3"/>
  <c r="AN77" i="3"/>
  <c r="AM77" i="3"/>
  <c r="AL77" i="3"/>
  <c r="AK77" i="3"/>
  <c r="AJ77" i="3"/>
  <c r="AI77" i="3"/>
  <c r="AH77" i="3"/>
  <c r="AG77" i="3"/>
  <c r="AF77" i="3"/>
  <c r="AE77" i="3"/>
  <c r="AD77" i="3"/>
  <c r="AC77" i="3"/>
  <c r="AB77" i="3"/>
  <c r="AA77" i="3"/>
  <c r="Z77" i="3"/>
  <c r="Y76" i="5" s="1"/>
  <c r="Y77" i="3"/>
  <c r="X76" i="5" s="1"/>
  <c r="X77" i="3"/>
  <c r="W76" i="5" s="1"/>
  <c r="W77" i="3"/>
  <c r="V76" i="5" s="1"/>
  <c r="V77" i="3"/>
  <c r="U76" i="5" s="1"/>
  <c r="U77" i="3"/>
  <c r="T76" i="5" s="1"/>
  <c r="T77" i="3"/>
  <c r="S76" i="5" s="1"/>
  <c r="S77" i="3"/>
  <c r="R76" i="5" s="1"/>
  <c r="R77" i="3"/>
  <c r="Q76" i="5" s="1"/>
  <c r="Q77" i="3"/>
  <c r="P76" i="5" s="1"/>
  <c r="P77" i="3"/>
  <c r="O76" i="5" s="1"/>
  <c r="AQ76" i="3"/>
  <c r="AP76" i="3"/>
  <c r="AO76" i="3"/>
  <c r="AN76" i="3"/>
  <c r="AM76" i="3"/>
  <c r="AL76" i="3"/>
  <c r="AK76" i="3"/>
  <c r="AJ76" i="3"/>
  <c r="AI76" i="3"/>
  <c r="AH76" i="3"/>
  <c r="AG76" i="3"/>
  <c r="AF76" i="3"/>
  <c r="AE76" i="3"/>
  <c r="AD76" i="3"/>
  <c r="AC76" i="3"/>
  <c r="AB76" i="3"/>
  <c r="AA76" i="3"/>
  <c r="Z76" i="3"/>
  <c r="Y75" i="5" s="1"/>
  <c r="Y76" i="3"/>
  <c r="X75" i="5" s="1"/>
  <c r="X76" i="3"/>
  <c r="W75" i="5" s="1"/>
  <c r="W76" i="3"/>
  <c r="V75" i="5" s="1"/>
  <c r="V76" i="3"/>
  <c r="U75" i="5" s="1"/>
  <c r="U76" i="3"/>
  <c r="T75" i="5" s="1"/>
  <c r="T76" i="3"/>
  <c r="S75" i="5" s="1"/>
  <c r="S76" i="3"/>
  <c r="R75" i="5" s="1"/>
  <c r="R76" i="3"/>
  <c r="Q75" i="5" s="1"/>
  <c r="Q76" i="3"/>
  <c r="P75" i="5" s="1"/>
  <c r="P76" i="3"/>
  <c r="O75" i="5" s="1"/>
  <c r="AQ75" i="3"/>
  <c r="AP75" i="3"/>
  <c r="AO75" i="3"/>
  <c r="AN75" i="3"/>
  <c r="AM75" i="3"/>
  <c r="AL75" i="3"/>
  <c r="AK75" i="3"/>
  <c r="AJ75" i="3"/>
  <c r="AI75" i="3"/>
  <c r="AH75" i="3"/>
  <c r="AG75" i="3"/>
  <c r="AF75" i="3"/>
  <c r="AE75" i="3"/>
  <c r="AD75" i="3"/>
  <c r="AC75" i="3"/>
  <c r="AB75" i="3"/>
  <c r="AA75" i="3"/>
  <c r="Z75" i="3"/>
  <c r="Y74" i="5" s="1"/>
  <c r="Y75" i="3"/>
  <c r="X74" i="5" s="1"/>
  <c r="X75" i="3"/>
  <c r="W74" i="5" s="1"/>
  <c r="W75" i="3"/>
  <c r="V74" i="5" s="1"/>
  <c r="V75" i="3"/>
  <c r="U74" i="5" s="1"/>
  <c r="U75" i="3"/>
  <c r="T74" i="5" s="1"/>
  <c r="T75" i="3"/>
  <c r="S74" i="5" s="1"/>
  <c r="S75" i="3"/>
  <c r="R74" i="5" s="1"/>
  <c r="R75" i="3"/>
  <c r="Q74" i="5" s="1"/>
  <c r="Q75" i="3"/>
  <c r="P74" i="5" s="1"/>
  <c r="P75" i="3"/>
  <c r="O74" i="5" s="1"/>
  <c r="AQ74" i="3"/>
  <c r="AP74" i="3"/>
  <c r="AO74" i="3"/>
  <c r="AN74" i="3"/>
  <c r="AM74" i="3"/>
  <c r="AL74" i="3"/>
  <c r="AK74" i="3"/>
  <c r="AJ74" i="3"/>
  <c r="AI74" i="3"/>
  <c r="AH74" i="3"/>
  <c r="AG74" i="3"/>
  <c r="AF74" i="3"/>
  <c r="AE74" i="3"/>
  <c r="AD74" i="3"/>
  <c r="AC74" i="3"/>
  <c r="AB74" i="3"/>
  <c r="AA74" i="3"/>
  <c r="Z74" i="3"/>
  <c r="Y73" i="5" s="1"/>
  <c r="Y74" i="3"/>
  <c r="X73" i="5" s="1"/>
  <c r="X74" i="3"/>
  <c r="W73" i="5" s="1"/>
  <c r="W74" i="3"/>
  <c r="V73" i="5" s="1"/>
  <c r="V74" i="3"/>
  <c r="U73" i="5" s="1"/>
  <c r="U74" i="3"/>
  <c r="T73" i="5" s="1"/>
  <c r="T74" i="3"/>
  <c r="S73" i="5" s="1"/>
  <c r="S74" i="3"/>
  <c r="R73" i="5" s="1"/>
  <c r="R74" i="3"/>
  <c r="Q73" i="5" s="1"/>
  <c r="Q74" i="3"/>
  <c r="P73" i="5" s="1"/>
  <c r="P74" i="3"/>
  <c r="O73" i="5" s="1"/>
  <c r="AQ73" i="3"/>
  <c r="AP73" i="3"/>
  <c r="AO73" i="3"/>
  <c r="AN73" i="3"/>
  <c r="AM73" i="3"/>
  <c r="AL73" i="3"/>
  <c r="AK73" i="3"/>
  <c r="AJ73" i="3"/>
  <c r="AI73" i="3"/>
  <c r="AH73" i="3"/>
  <c r="AG73" i="3"/>
  <c r="AF73" i="3"/>
  <c r="AE73" i="3"/>
  <c r="AD73" i="3"/>
  <c r="AC73" i="3"/>
  <c r="AB73" i="3"/>
  <c r="AA73" i="3"/>
  <c r="Z73" i="3"/>
  <c r="Y72" i="5" s="1"/>
  <c r="Y73" i="3"/>
  <c r="X72" i="5" s="1"/>
  <c r="X73" i="3"/>
  <c r="W72" i="5" s="1"/>
  <c r="W73" i="3"/>
  <c r="V72" i="5" s="1"/>
  <c r="V73" i="3"/>
  <c r="U72" i="5" s="1"/>
  <c r="U73" i="3"/>
  <c r="T72" i="5" s="1"/>
  <c r="T73" i="3"/>
  <c r="S72" i="5" s="1"/>
  <c r="S73" i="3"/>
  <c r="R72" i="5" s="1"/>
  <c r="R73" i="3"/>
  <c r="Q72" i="5" s="1"/>
  <c r="Q73" i="3"/>
  <c r="P72" i="5" s="1"/>
  <c r="P73" i="3"/>
  <c r="O72" i="5" s="1"/>
  <c r="AQ72" i="3"/>
  <c r="AP72" i="3"/>
  <c r="AO72" i="3"/>
  <c r="AN72" i="3"/>
  <c r="AM72" i="3"/>
  <c r="AL72" i="3"/>
  <c r="AK72" i="3"/>
  <c r="AJ72" i="3"/>
  <c r="AI72" i="3"/>
  <c r="AH72" i="3"/>
  <c r="AG72" i="3"/>
  <c r="AF72" i="3"/>
  <c r="AE72" i="3"/>
  <c r="AD72" i="3"/>
  <c r="AC72" i="3"/>
  <c r="AB72" i="3"/>
  <c r="AA72" i="3"/>
  <c r="Z72" i="3"/>
  <c r="Y71" i="5" s="1"/>
  <c r="Y72" i="3"/>
  <c r="X71" i="5" s="1"/>
  <c r="X72" i="3"/>
  <c r="W71" i="5" s="1"/>
  <c r="W72" i="3"/>
  <c r="V71" i="5" s="1"/>
  <c r="V72" i="3"/>
  <c r="U71" i="5" s="1"/>
  <c r="U72" i="3"/>
  <c r="T71" i="5" s="1"/>
  <c r="T72" i="3"/>
  <c r="S71" i="5" s="1"/>
  <c r="S72" i="3"/>
  <c r="R71" i="5" s="1"/>
  <c r="R72" i="3"/>
  <c r="Q71" i="5" s="1"/>
  <c r="Q72" i="3"/>
  <c r="P71" i="5" s="1"/>
  <c r="P72" i="3"/>
  <c r="O71" i="5" s="1"/>
  <c r="AQ71" i="3"/>
  <c r="AP71" i="3"/>
  <c r="AO71" i="3"/>
  <c r="AN71" i="3"/>
  <c r="AM71" i="3"/>
  <c r="AL71" i="3"/>
  <c r="AK71" i="3"/>
  <c r="AJ71" i="3"/>
  <c r="AI71" i="3"/>
  <c r="AH71" i="3"/>
  <c r="AG71" i="3"/>
  <c r="AF71" i="3"/>
  <c r="AE71" i="3"/>
  <c r="AD71" i="3"/>
  <c r="AC71" i="3"/>
  <c r="AB71" i="3"/>
  <c r="AA71" i="3"/>
  <c r="Z71" i="3"/>
  <c r="Y70" i="5" s="1"/>
  <c r="Y71" i="3"/>
  <c r="X70" i="5" s="1"/>
  <c r="X71" i="3"/>
  <c r="W70" i="5" s="1"/>
  <c r="W71" i="3"/>
  <c r="V70" i="5" s="1"/>
  <c r="V71" i="3"/>
  <c r="U70" i="5" s="1"/>
  <c r="U71" i="3"/>
  <c r="T70" i="5" s="1"/>
  <c r="T71" i="3"/>
  <c r="S70" i="5" s="1"/>
  <c r="S71" i="3"/>
  <c r="R70" i="5" s="1"/>
  <c r="R71" i="3"/>
  <c r="Q70" i="5" s="1"/>
  <c r="Q71" i="3"/>
  <c r="P70" i="5" s="1"/>
  <c r="P71" i="3"/>
  <c r="O70" i="5" s="1"/>
  <c r="AQ70" i="3"/>
  <c r="AP70" i="3"/>
  <c r="AO70" i="3"/>
  <c r="AN70" i="3"/>
  <c r="AM70" i="3"/>
  <c r="AL70" i="3"/>
  <c r="AK70" i="3"/>
  <c r="AJ70" i="3"/>
  <c r="AI70" i="3"/>
  <c r="AH70" i="3"/>
  <c r="AG70" i="3"/>
  <c r="AF70" i="3"/>
  <c r="AE70" i="3"/>
  <c r="AD70" i="3"/>
  <c r="AC70" i="3"/>
  <c r="AB70" i="3"/>
  <c r="AA70" i="3"/>
  <c r="Z70" i="3"/>
  <c r="Y69" i="5" s="1"/>
  <c r="Y70" i="3"/>
  <c r="X69" i="5" s="1"/>
  <c r="X70" i="3"/>
  <c r="W69" i="5" s="1"/>
  <c r="W70" i="3"/>
  <c r="V69" i="5" s="1"/>
  <c r="V70" i="3"/>
  <c r="U69" i="5" s="1"/>
  <c r="U70" i="3"/>
  <c r="T69" i="5" s="1"/>
  <c r="T70" i="3"/>
  <c r="S69" i="5" s="1"/>
  <c r="S70" i="3"/>
  <c r="R69" i="5" s="1"/>
  <c r="R70" i="3"/>
  <c r="Q69" i="5" s="1"/>
  <c r="Q70" i="3"/>
  <c r="P69" i="5" s="1"/>
  <c r="P70" i="3"/>
  <c r="O69" i="5" s="1"/>
  <c r="AQ69" i="3"/>
  <c r="AP69" i="3"/>
  <c r="AO69" i="3"/>
  <c r="AN69" i="3"/>
  <c r="AM69" i="3"/>
  <c r="AL69" i="3"/>
  <c r="AK69" i="3"/>
  <c r="AJ69" i="3"/>
  <c r="AI69" i="3"/>
  <c r="AH69" i="3"/>
  <c r="AG69" i="3"/>
  <c r="AF69" i="3"/>
  <c r="AE69" i="3"/>
  <c r="AD69" i="3"/>
  <c r="AC69" i="3"/>
  <c r="AB69" i="3"/>
  <c r="AA69" i="3"/>
  <c r="Z69" i="3"/>
  <c r="Y68" i="5" s="1"/>
  <c r="Y69" i="3"/>
  <c r="X68" i="5" s="1"/>
  <c r="X69" i="3"/>
  <c r="W68" i="5" s="1"/>
  <c r="W69" i="3"/>
  <c r="V68" i="5" s="1"/>
  <c r="V69" i="3"/>
  <c r="U68" i="5" s="1"/>
  <c r="U69" i="3"/>
  <c r="T68" i="5" s="1"/>
  <c r="T69" i="3"/>
  <c r="S68" i="5" s="1"/>
  <c r="S69" i="3"/>
  <c r="R68" i="5" s="1"/>
  <c r="R69" i="3"/>
  <c r="Q69" i="3"/>
  <c r="P68" i="5" s="1"/>
  <c r="P69" i="3"/>
  <c r="O68" i="5" s="1"/>
  <c r="AQ68" i="3"/>
  <c r="AP68" i="3"/>
  <c r="AO68" i="3"/>
  <c r="AN68" i="3"/>
  <c r="AM68" i="3"/>
  <c r="AL68" i="3"/>
  <c r="AK68" i="3"/>
  <c r="AJ68" i="3"/>
  <c r="AI68" i="3"/>
  <c r="AH68" i="3"/>
  <c r="AG68" i="3"/>
  <c r="AF68" i="3"/>
  <c r="AE68" i="3"/>
  <c r="AD68" i="3"/>
  <c r="AC68" i="3"/>
  <c r="AB68" i="3"/>
  <c r="AA68" i="3"/>
  <c r="Z68" i="3"/>
  <c r="Y67" i="5" s="1"/>
  <c r="Y68" i="3"/>
  <c r="X67" i="5" s="1"/>
  <c r="X68" i="3"/>
  <c r="W67" i="5" s="1"/>
  <c r="W68" i="3"/>
  <c r="V67" i="5" s="1"/>
  <c r="V68" i="3"/>
  <c r="U67" i="5" s="1"/>
  <c r="U68" i="3"/>
  <c r="T67" i="5" s="1"/>
  <c r="T68" i="3"/>
  <c r="S67" i="5" s="1"/>
  <c r="S68" i="3"/>
  <c r="R67" i="5" s="1"/>
  <c r="R68" i="3"/>
  <c r="Q67" i="5" s="1"/>
  <c r="Q68" i="3"/>
  <c r="P67" i="5" s="1"/>
  <c r="P68" i="3"/>
  <c r="O67" i="5" s="1"/>
  <c r="AQ67" i="3"/>
  <c r="AP67" i="3"/>
  <c r="AO67" i="3"/>
  <c r="AN67" i="3"/>
  <c r="AM67" i="3"/>
  <c r="AL67" i="3"/>
  <c r="AK67" i="3"/>
  <c r="AJ67" i="3"/>
  <c r="AI67" i="3"/>
  <c r="AH67" i="3"/>
  <c r="AG67" i="3"/>
  <c r="AF67" i="3"/>
  <c r="AE67" i="3"/>
  <c r="AD67" i="3"/>
  <c r="AC67" i="3"/>
  <c r="AB67" i="3"/>
  <c r="AA67" i="3"/>
  <c r="Z67" i="3"/>
  <c r="Y66" i="5" s="1"/>
  <c r="Y67" i="3"/>
  <c r="X66" i="5" s="1"/>
  <c r="X67" i="3"/>
  <c r="W66" i="5" s="1"/>
  <c r="W67" i="3"/>
  <c r="V66" i="5" s="1"/>
  <c r="V67" i="3"/>
  <c r="U66" i="5" s="1"/>
  <c r="U67" i="3"/>
  <c r="T66" i="5" s="1"/>
  <c r="T67" i="3"/>
  <c r="S66" i="5" s="1"/>
  <c r="S67" i="3"/>
  <c r="R66" i="5" s="1"/>
  <c r="R67" i="3"/>
  <c r="Q66" i="5" s="1"/>
  <c r="Q67" i="3"/>
  <c r="P66" i="5" s="1"/>
  <c r="P67" i="3"/>
  <c r="O66" i="5" s="1"/>
  <c r="AQ66" i="3"/>
  <c r="AP66" i="3"/>
  <c r="AO66" i="3"/>
  <c r="AN66" i="3"/>
  <c r="AM66" i="3"/>
  <c r="AL66" i="3"/>
  <c r="AK66" i="3"/>
  <c r="AJ66" i="3"/>
  <c r="AI66" i="3"/>
  <c r="AH66" i="3"/>
  <c r="AG66" i="3"/>
  <c r="AF66" i="3"/>
  <c r="AE66" i="3"/>
  <c r="AD66" i="3"/>
  <c r="AC66" i="3"/>
  <c r="AB66" i="3"/>
  <c r="AA66" i="3"/>
  <c r="Z66" i="3"/>
  <c r="Y65" i="5" s="1"/>
  <c r="Y66" i="3"/>
  <c r="X65" i="5" s="1"/>
  <c r="X66" i="3"/>
  <c r="W65" i="5" s="1"/>
  <c r="W66" i="3"/>
  <c r="V65" i="5" s="1"/>
  <c r="V66" i="3"/>
  <c r="U65" i="5" s="1"/>
  <c r="U66" i="3"/>
  <c r="T65" i="5" s="1"/>
  <c r="T66" i="3"/>
  <c r="S65" i="5" s="1"/>
  <c r="S66" i="3"/>
  <c r="R65" i="5" s="1"/>
  <c r="R66" i="3"/>
  <c r="Q65" i="5" s="1"/>
  <c r="Q66" i="3"/>
  <c r="P65" i="5" s="1"/>
  <c r="P66" i="3"/>
  <c r="O65" i="5" s="1"/>
  <c r="AQ65" i="3"/>
  <c r="AP65" i="3"/>
  <c r="AO65" i="3"/>
  <c r="AN65" i="3"/>
  <c r="AM65" i="3"/>
  <c r="AL65" i="3"/>
  <c r="AK65" i="3"/>
  <c r="AJ65" i="3"/>
  <c r="AI65" i="3"/>
  <c r="AH65" i="3"/>
  <c r="AG65" i="3"/>
  <c r="AF65" i="3"/>
  <c r="AE65" i="3"/>
  <c r="AD65" i="3"/>
  <c r="AC65" i="3"/>
  <c r="AB65" i="3"/>
  <c r="AA65" i="3"/>
  <c r="Z65" i="3"/>
  <c r="Y64" i="5" s="1"/>
  <c r="Y65" i="3"/>
  <c r="X64" i="5" s="1"/>
  <c r="X65" i="3"/>
  <c r="W64" i="5" s="1"/>
  <c r="W65" i="3"/>
  <c r="V64" i="5" s="1"/>
  <c r="V65" i="3"/>
  <c r="U64" i="5" s="1"/>
  <c r="U65" i="3"/>
  <c r="T64" i="5" s="1"/>
  <c r="T65" i="3"/>
  <c r="S64" i="5" s="1"/>
  <c r="S65" i="3"/>
  <c r="R64" i="5" s="1"/>
  <c r="R65" i="3"/>
  <c r="Q64" i="5" s="1"/>
  <c r="Q65" i="3"/>
  <c r="P64" i="5" s="1"/>
  <c r="P65" i="3"/>
  <c r="O64" i="5" s="1"/>
  <c r="AQ64" i="3"/>
  <c r="AP64" i="3"/>
  <c r="AO64" i="3"/>
  <c r="AN64" i="3"/>
  <c r="AM64" i="3"/>
  <c r="AL64" i="3"/>
  <c r="AK64" i="3"/>
  <c r="AJ64" i="3"/>
  <c r="AI64" i="3"/>
  <c r="AH64" i="3"/>
  <c r="AG64" i="3"/>
  <c r="AF64" i="3"/>
  <c r="AE64" i="3"/>
  <c r="AD63" i="5" s="1"/>
  <c r="AD64" i="3"/>
  <c r="AC64" i="3"/>
  <c r="AB64" i="3"/>
  <c r="AA64" i="3"/>
  <c r="Z64" i="3"/>
  <c r="Y63" i="5" s="1"/>
  <c r="Y64" i="3"/>
  <c r="X63" i="5" s="1"/>
  <c r="X64" i="3"/>
  <c r="W63" i="5" s="1"/>
  <c r="W64" i="3"/>
  <c r="V63" i="5" s="1"/>
  <c r="V64" i="3"/>
  <c r="U63" i="5" s="1"/>
  <c r="U64" i="3"/>
  <c r="T63" i="5" s="1"/>
  <c r="T64" i="3"/>
  <c r="S63" i="5" s="1"/>
  <c r="S64" i="3"/>
  <c r="R63" i="5" s="1"/>
  <c r="R64" i="3"/>
  <c r="Q63" i="5" s="1"/>
  <c r="Q64" i="3"/>
  <c r="P63" i="5" s="1"/>
  <c r="P64" i="3"/>
  <c r="O63" i="5" s="1"/>
  <c r="AQ63" i="3"/>
  <c r="AP63" i="3"/>
  <c r="AO63" i="3"/>
  <c r="AN63" i="3"/>
  <c r="AM63" i="3"/>
  <c r="AL63" i="3"/>
  <c r="AK63" i="3"/>
  <c r="AJ63" i="3"/>
  <c r="AI63" i="3"/>
  <c r="AH63" i="3"/>
  <c r="AG63" i="3"/>
  <c r="AF63" i="3"/>
  <c r="AE63" i="3"/>
  <c r="AD63" i="3"/>
  <c r="AC63" i="3"/>
  <c r="AB63" i="3"/>
  <c r="AA63" i="3"/>
  <c r="Z63" i="3"/>
  <c r="Y62" i="5" s="1"/>
  <c r="Y63" i="3"/>
  <c r="X62" i="5" s="1"/>
  <c r="X63" i="3"/>
  <c r="W62" i="5" s="1"/>
  <c r="W63" i="3"/>
  <c r="V62" i="5" s="1"/>
  <c r="V63" i="3"/>
  <c r="U62" i="5" s="1"/>
  <c r="U63" i="3"/>
  <c r="T62" i="5" s="1"/>
  <c r="T63" i="3"/>
  <c r="S62" i="5" s="1"/>
  <c r="S63" i="3"/>
  <c r="R62" i="5" s="1"/>
  <c r="R63" i="3"/>
  <c r="Q62" i="5" s="1"/>
  <c r="Q63" i="3"/>
  <c r="P62" i="5" s="1"/>
  <c r="P63" i="3"/>
  <c r="O62" i="5" s="1"/>
  <c r="AQ62" i="3"/>
  <c r="AP62" i="3"/>
  <c r="AO62" i="3"/>
  <c r="AN62" i="3"/>
  <c r="AM62" i="3"/>
  <c r="AL62" i="3"/>
  <c r="AK62" i="3"/>
  <c r="AJ62" i="3"/>
  <c r="AI62" i="3"/>
  <c r="AH62" i="3"/>
  <c r="AG62" i="3"/>
  <c r="AF62" i="3"/>
  <c r="AE62" i="3"/>
  <c r="AD62" i="3"/>
  <c r="AC62" i="3"/>
  <c r="AB62" i="3"/>
  <c r="AA62" i="3"/>
  <c r="Z62" i="3"/>
  <c r="Y61" i="5" s="1"/>
  <c r="Y62" i="3"/>
  <c r="X61" i="5" s="1"/>
  <c r="X62" i="3"/>
  <c r="W61" i="5" s="1"/>
  <c r="W62" i="3"/>
  <c r="V61" i="5" s="1"/>
  <c r="V62" i="3"/>
  <c r="U61" i="5" s="1"/>
  <c r="U62" i="3"/>
  <c r="T61" i="5" s="1"/>
  <c r="T62" i="3"/>
  <c r="S61" i="5" s="1"/>
  <c r="S62" i="3"/>
  <c r="R61" i="5" s="1"/>
  <c r="R62" i="3"/>
  <c r="Q61" i="5" s="1"/>
  <c r="Q62" i="3"/>
  <c r="P61" i="5" s="1"/>
  <c r="P62" i="3"/>
  <c r="O61" i="5" s="1"/>
  <c r="AQ61" i="3"/>
  <c r="AP61" i="3"/>
  <c r="AO61" i="3"/>
  <c r="AN61" i="3"/>
  <c r="AM61" i="3"/>
  <c r="AL61" i="3"/>
  <c r="AK61" i="3"/>
  <c r="AJ61" i="3"/>
  <c r="AI61" i="3"/>
  <c r="AH61" i="3"/>
  <c r="AG61" i="3"/>
  <c r="AF61" i="3"/>
  <c r="AE61" i="3"/>
  <c r="AD61" i="3"/>
  <c r="AC61" i="3"/>
  <c r="AB61" i="3"/>
  <c r="AA61" i="3"/>
  <c r="Z61" i="3"/>
  <c r="Y60" i="5" s="1"/>
  <c r="Y61" i="3"/>
  <c r="X60" i="5" s="1"/>
  <c r="X61" i="3"/>
  <c r="W60" i="5" s="1"/>
  <c r="W61" i="3"/>
  <c r="V60" i="5" s="1"/>
  <c r="V61" i="3"/>
  <c r="U60" i="5" s="1"/>
  <c r="U61" i="3"/>
  <c r="T60" i="5" s="1"/>
  <c r="T61" i="3"/>
  <c r="S60" i="5" s="1"/>
  <c r="S61" i="3"/>
  <c r="R60" i="5" s="1"/>
  <c r="R61" i="3"/>
  <c r="Q60" i="5" s="1"/>
  <c r="Q61" i="3"/>
  <c r="P60" i="5" s="1"/>
  <c r="P61" i="3"/>
  <c r="O60" i="5" s="1"/>
  <c r="AQ60" i="3"/>
  <c r="AP60" i="3"/>
  <c r="AO60" i="3"/>
  <c r="AN60" i="3"/>
  <c r="AM60" i="3"/>
  <c r="AL60" i="3"/>
  <c r="AK60" i="3"/>
  <c r="AJ60" i="3"/>
  <c r="AI60" i="3"/>
  <c r="AH60" i="3"/>
  <c r="AG60" i="3"/>
  <c r="AF60" i="3"/>
  <c r="AE60" i="3"/>
  <c r="AD60" i="3"/>
  <c r="AC60" i="3"/>
  <c r="AB60" i="3"/>
  <c r="AA60" i="3"/>
  <c r="Z60" i="3"/>
  <c r="Y59" i="5" s="1"/>
  <c r="Y60" i="3"/>
  <c r="X59" i="5" s="1"/>
  <c r="X60" i="3"/>
  <c r="W59" i="5" s="1"/>
  <c r="W60" i="3"/>
  <c r="V59" i="5" s="1"/>
  <c r="V60" i="3"/>
  <c r="U59" i="5" s="1"/>
  <c r="U60" i="3"/>
  <c r="T59" i="5" s="1"/>
  <c r="T60" i="3"/>
  <c r="S59" i="5" s="1"/>
  <c r="S60" i="3"/>
  <c r="R59" i="5" s="1"/>
  <c r="R60" i="3"/>
  <c r="Q59" i="5" s="1"/>
  <c r="Q60" i="3"/>
  <c r="P59" i="5" s="1"/>
  <c r="P60" i="3"/>
  <c r="O59" i="5" s="1"/>
  <c r="AQ59" i="3"/>
  <c r="AP59" i="3"/>
  <c r="AO59" i="3"/>
  <c r="AN59" i="3"/>
  <c r="AM59" i="3"/>
  <c r="AL59" i="3"/>
  <c r="AK59" i="3"/>
  <c r="AJ59" i="3"/>
  <c r="AI59" i="3"/>
  <c r="AH59" i="3"/>
  <c r="AG59" i="3"/>
  <c r="AF59" i="3"/>
  <c r="AE59" i="3"/>
  <c r="AD59" i="3"/>
  <c r="AC59" i="3"/>
  <c r="AB59" i="3"/>
  <c r="AA59" i="3"/>
  <c r="Z59" i="3"/>
  <c r="Y58" i="5" s="1"/>
  <c r="Y59" i="3"/>
  <c r="X58" i="5" s="1"/>
  <c r="X59" i="3"/>
  <c r="W58" i="5" s="1"/>
  <c r="W59" i="3"/>
  <c r="V58" i="5" s="1"/>
  <c r="V59" i="3"/>
  <c r="U58" i="5" s="1"/>
  <c r="U59" i="3"/>
  <c r="T58" i="5" s="1"/>
  <c r="T59" i="3"/>
  <c r="S58" i="5" s="1"/>
  <c r="S59" i="3"/>
  <c r="R58" i="5" s="1"/>
  <c r="R59" i="3"/>
  <c r="Q58" i="5" s="1"/>
  <c r="Q59" i="3"/>
  <c r="P58" i="5" s="1"/>
  <c r="P59" i="3"/>
  <c r="O58" i="5" s="1"/>
  <c r="AQ58" i="3"/>
  <c r="AP58" i="3"/>
  <c r="AO58" i="3"/>
  <c r="AN58" i="3"/>
  <c r="AM58" i="3"/>
  <c r="AL58" i="3"/>
  <c r="AK58" i="3"/>
  <c r="AJ58" i="3"/>
  <c r="AI58" i="3"/>
  <c r="AH58" i="3"/>
  <c r="AG58" i="3"/>
  <c r="AF58" i="3"/>
  <c r="AE58" i="3"/>
  <c r="AD58" i="3"/>
  <c r="AC58" i="3"/>
  <c r="AB58" i="3"/>
  <c r="AA58" i="3"/>
  <c r="Z58" i="3"/>
  <c r="Y57" i="5" s="1"/>
  <c r="Y58" i="3"/>
  <c r="X57" i="5" s="1"/>
  <c r="X58" i="3"/>
  <c r="W57" i="5" s="1"/>
  <c r="W58" i="3"/>
  <c r="V57" i="5" s="1"/>
  <c r="V58" i="3"/>
  <c r="U57" i="5" s="1"/>
  <c r="U58" i="3"/>
  <c r="T57" i="5" s="1"/>
  <c r="T58" i="3"/>
  <c r="S57" i="5" s="1"/>
  <c r="S58" i="3"/>
  <c r="R57" i="5" s="1"/>
  <c r="R58" i="3"/>
  <c r="Q57" i="5" s="1"/>
  <c r="Q58" i="3"/>
  <c r="P57" i="5" s="1"/>
  <c r="P58" i="3"/>
  <c r="O57" i="5" s="1"/>
  <c r="AQ57" i="3"/>
  <c r="AP57" i="3"/>
  <c r="AO57" i="3"/>
  <c r="AN57" i="3"/>
  <c r="AM57" i="3"/>
  <c r="AL57" i="3"/>
  <c r="AK57" i="3"/>
  <c r="AJ57" i="3"/>
  <c r="AI57" i="3"/>
  <c r="AH57" i="3"/>
  <c r="AG57" i="3"/>
  <c r="AF57" i="3"/>
  <c r="AE57" i="3"/>
  <c r="AD56" i="5" s="1"/>
  <c r="AD57" i="3"/>
  <c r="AC57" i="3"/>
  <c r="AB57" i="3"/>
  <c r="AA57" i="3"/>
  <c r="Z57" i="3"/>
  <c r="Y56" i="5" s="1"/>
  <c r="Y57" i="3"/>
  <c r="X56" i="5" s="1"/>
  <c r="X57" i="3"/>
  <c r="W56" i="5" s="1"/>
  <c r="W57" i="3"/>
  <c r="V56" i="5" s="1"/>
  <c r="V57" i="3"/>
  <c r="U56" i="5" s="1"/>
  <c r="U57" i="3"/>
  <c r="T56" i="5" s="1"/>
  <c r="T57" i="3"/>
  <c r="S56" i="5" s="1"/>
  <c r="S57" i="3"/>
  <c r="R56" i="5" s="1"/>
  <c r="R57" i="3"/>
  <c r="Q56" i="5" s="1"/>
  <c r="Q57" i="3"/>
  <c r="P56" i="5" s="1"/>
  <c r="P57" i="3"/>
  <c r="O56" i="5" s="1"/>
  <c r="AQ56" i="3"/>
  <c r="AP56" i="3"/>
  <c r="AO56" i="3"/>
  <c r="AN56" i="3"/>
  <c r="AM56" i="3"/>
  <c r="AL56" i="3"/>
  <c r="AK56" i="3"/>
  <c r="AJ56" i="3"/>
  <c r="AI56" i="3"/>
  <c r="AH56" i="3"/>
  <c r="AG56" i="3"/>
  <c r="AF56" i="3"/>
  <c r="AE56" i="3"/>
  <c r="AD56" i="3"/>
  <c r="AC56" i="3"/>
  <c r="AB56" i="3"/>
  <c r="AA56" i="3"/>
  <c r="Z56" i="3"/>
  <c r="Y55" i="5" s="1"/>
  <c r="Y56" i="3"/>
  <c r="X55" i="5" s="1"/>
  <c r="X56" i="3"/>
  <c r="W55" i="5" s="1"/>
  <c r="W56" i="3"/>
  <c r="V55" i="5" s="1"/>
  <c r="V56" i="3"/>
  <c r="U55" i="5" s="1"/>
  <c r="U56" i="3"/>
  <c r="T55" i="5" s="1"/>
  <c r="T56" i="3"/>
  <c r="S55" i="5" s="1"/>
  <c r="S56" i="3"/>
  <c r="R55" i="5" s="1"/>
  <c r="R56" i="3"/>
  <c r="Q55" i="5" s="1"/>
  <c r="Q56" i="3"/>
  <c r="P55" i="5" s="1"/>
  <c r="P56" i="3"/>
  <c r="O55" i="5" s="1"/>
  <c r="AQ55" i="3"/>
  <c r="AP55" i="3"/>
  <c r="AO55" i="3"/>
  <c r="AN55" i="3"/>
  <c r="AM55" i="3"/>
  <c r="AL55" i="3"/>
  <c r="AK55" i="3"/>
  <c r="AJ55" i="3"/>
  <c r="AI55" i="3"/>
  <c r="AH55" i="3"/>
  <c r="AG55" i="3"/>
  <c r="AF55" i="3"/>
  <c r="AE55" i="3"/>
  <c r="AD55" i="3"/>
  <c r="AC55" i="3"/>
  <c r="AB55" i="3"/>
  <c r="AA55" i="3"/>
  <c r="Z55" i="3"/>
  <c r="Y54" i="5" s="1"/>
  <c r="Y55" i="3"/>
  <c r="X54" i="5" s="1"/>
  <c r="X55" i="3"/>
  <c r="W54" i="5" s="1"/>
  <c r="W55" i="3"/>
  <c r="V54" i="5" s="1"/>
  <c r="V55" i="3"/>
  <c r="U54" i="5" s="1"/>
  <c r="U55" i="3"/>
  <c r="T54" i="5" s="1"/>
  <c r="T55" i="3"/>
  <c r="S54" i="5" s="1"/>
  <c r="S55" i="3"/>
  <c r="R54" i="5" s="1"/>
  <c r="R55" i="3"/>
  <c r="Q55" i="3"/>
  <c r="P54" i="5" s="1"/>
  <c r="P55" i="3"/>
  <c r="O54" i="5" s="1"/>
  <c r="AQ54" i="3"/>
  <c r="AP54" i="3"/>
  <c r="AO54" i="3"/>
  <c r="AN54" i="3"/>
  <c r="AM54" i="3"/>
  <c r="AL54" i="3"/>
  <c r="AK54" i="3"/>
  <c r="AJ54" i="3"/>
  <c r="AI54" i="3"/>
  <c r="AH54" i="3"/>
  <c r="AG54" i="3"/>
  <c r="AF54" i="3"/>
  <c r="AE54" i="3"/>
  <c r="AD54" i="3"/>
  <c r="AC54" i="3"/>
  <c r="AB54" i="3"/>
  <c r="AA54" i="3"/>
  <c r="Z54" i="3"/>
  <c r="Y53" i="5" s="1"/>
  <c r="Y54" i="3"/>
  <c r="X53" i="5" s="1"/>
  <c r="X54" i="3"/>
  <c r="W53" i="5" s="1"/>
  <c r="W54" i="3"/>
  <c r="V53" i="5" s="1"/>
  <c r="V54" i="3"/>
  <c r="U53" i="5" s="1"/>
  <c r="U54" i="3"/>
  <c r="T53" i="5" s="1"/>
  <c r="T54" i="3"/>
  <c r="S53" i="5" s="1"/>
  <c r="S54" i="3"/>
  <c r="R53" i="5" s="1"/>
  <c r="R54" i="3"/>
  <c r="Q53" i="5" s="1"/>
  <c r="Q54" i="3"/>
  <c r="P53" i="5" s="1"/>
  <c r="P54" i="3"/>
  <c r="O53" i="5" s="1"/>
  <c r="AQ53" i="3"/>
  <c r="AP53" i="3"/>
  <c r="AO53" i="3"/>
  <c r="AN53" i="3"/>
  <c r="AM53" i="3"/>
  <c r="AL53" i="3"/>
  <c r="AK53" i="3"/>
  <c r="AJ53" i="3"/>
  <c r="AI53" i="3"/>
  <c r="AH53" i="3"/>
  <c r="AG53" i="3"/>
  <c r="AF53" i="3"/>
  <c r="AE53" i="3"/>
  <c r="AD53" i="3"/>
  <c r="AC53" i="3"/>
  <c r="AB53" i="3"/>
  <c r="AA53" i="3"/>
  <c r="Z53" i="3"/>
  <c r="Y52" i="5" s="1"/>
  <c r="Y53" i="3"/>
  <c r="X52" i="5" s="1"/>
  <c r="X53" i="3"/>
  <c r="W52" i="5" s="1"/>
  <c r="W53" i="3"/>
  <c r="V52" i="5" s="1"/>
  <c r="V53" i="3"/>
  <c r="U52" i="5" s="1"/>
  <c r="U53" i="3"/>
  <c r="T52" i="5" s="1"/>
  <c r="T53" i="3"/>
  <c r="S52" i="5" s="1"/>
  <c r="S53" i="3"/>
  <c r="R52" i="5" s="1"/>
  <c r="R53" i="3"/>
  <c r="Q52" i="5" s="1"/>
  <c r="Q53" i="3"/>
  <c r="P52" i="5" s="1"/>
  <c r="P53" i="3"/>
  <c r="O52" i="5" s="1"/>
  <c r="AQ52" i="3"/>
  <c r="AP52" i="3"/>
  <c r="AO52" i="3"/>
  <c r="AN52" i="3"/>
  <c r="AM52" i="3"/>
  <c r="AL52" i="3"/>
  <c r="AK52" i="3"/>
  <c r="AJ52" i="3"/>
  <c r="AI52" i="3"/>
  <c r="AH52" i="3"/>
  <c r="AG52" i="3"/>
  <c r="AF52" i="3"/>
  <c r="AE52" i="3"/>
  <c r="AD52" i="3"/>
  <c r="AC52" i="3"/>
  <c r="AB52" i="3"/>
  <c r="AA52" i="3"/>
  <c r="Z52" i="3"/>
  <c r="Y51" i="5" s="1"/>
  <c r="Y52" i="3"/>
  <c r="X51" i="5" s="1"/>
  <c r="X52" i="3"/>
  <c r="W51" i="5" s="1"/>
  <c r="W52" i="3"/>
  <c r="V51" i="5" s="1"/>
  <c r="V52" i="3"/>
  <c r="U51" i="5" s="1"/>
  <c r="U52" i="3"/>
  <c r="T51" i="5" s="1"/>
  <c r="T52" i="3"/>
  <c r="S51" i="5" s="1"/>
  <c r="S52" i="3"/>
  <c r="R51" i="5" s="1"/>
  <c r="R52" i="3"/>
  <c r="Q51" i="5" s="1"/>
  <c r="Q52" i="3"/>
  <c r="P51" i="5" s="1"/>
  <c r="P52" i="3"/>
  <c r="O51" i="5" s="1"/>
  <c r="AQ51" i="3"/>
  <c r="AP51" i="3"/>
  <c r="AO51" i="3"/>
  <c r="AN51" i="3"/>
  <c r="AM51" i="3"/>
  <c r="AL51" i="3"/>
  <c r="AK51" i="3"/>
  <c r="AJ51" i="3"/>
  <c r="AI51" i="3"/>
  <c r="AH51" i="3"/>
  <c r="AG51" i="3"/>
  <c r="AF51" i="3"/>
  <c r="AE51" i="3"/>
  <c r="AD51" i="3"/>
  <c r="AC51" i="3"/>
  <c r="AB51" i="3"/>
  <c r="AA51" i="3"/>
  <c r="Z51" i="3"/>
  <c r="Y50" i="5" s="1"/>
  <c r="Y51" i="3"/>
  <c r="X50" i="5" s="1"/>
  <c r="X51" i="3"/>
  <c r="W50" i="5" s="1"/>
  <c r="W51" i="3"/>
  <c r="V50" i="5" s="1"/>
  <c r="V51" i="3"/>
  <c r="U50" i="5" s="1"/>
  <c r="U51" i="3"/>
  <c r="T50" i="5" s="1"/>
  <c r="T51" i="3"/>
  <c r="S50" i="5" s="1"/>
  <c r="S51" i="3"/>
  <c r="R50" i="5" s="1"/>
  <c r="R51" i="3"/>
  <c r="Q50" i="5" s="1"/>
  <c r="Q51" i="3"/>
  <c r="P50" i="5" s="1"/>
  <c r="P51" i="3"/>
  <c r="O50" i="5" s="1"/>
  <c r="AQ50" i="3"/>
  <c r="AP50" i="3"/>
  <c r="AO50" i="3"/>
  <c r="AN50" i="3"/>
  <c r="AM50" i="3"/>
  <c r="AL50" i="3"/>
  <c r="AK50" i="3"/>
  <c r="AJ50" i="3"/>
  <c r="AI50" i="3"/>
  <c r="AH50" i="3"/>
  <c r="AG50" i="3"/>
  <c r="AF50" i="3"/>
  <c r="AE50" i="3"/>
  <c r="AD49" i="5" s="1"/>
  <c r="AD50" i="3"/>
  <c r="AC50" i="3"/>
  <c r="AB50" i="3"/>
  <c r="AA50" i="3"/>
  <c r="Z50" i="3"/>
  <c r="Y49" i="5" s="1"/>
  <c r="Y50" i="3"/>
  <c r="X49" i="5" s="1"/>
  <c r="X50" i="3"/>
  <c r="W49" i="5" s="1"/>
  <c r="W50" i="3"/>
  <c r="V49" i="5" s="1"/>
  <c r="V50" i="3"/>
  <c r="U49" i="5" s="1"/>
  <c r="U50" i="3"/>
  <c r="T49" i="5" s="1"/>
  <c r="T50" i="3"/>
  <c r="S49" i="5" s="1"/>
  <c r="S50" i="3"/>
  <c r="R49" i="5" s="1"/>
  <c r="R50" i="3"/>
  <c r="Q49" i="5" s="1"/>
  <c r="Q50" i="3"/>
  <c r="P49" i="5" s="1"/>
  <c r="P50" i="3"/>
  <c r="O49" i="5" s="1"/>
  <c r="AQ49" i="3"/>
  <c r="AP49" i="3"/>
  <c r="AO49" i="3"/>
  <c r="AN49" i="3"/>
  <c r="AM49" i="3"/>
  <c r="AL49" i="3"/>
  <c r="AK49" i="3"/>
  <c r="AJ49" i="3"/>
  <c r="AI49" i="3"/>
  <c r="AH49" i="3"/>
  <c r="AG49" i="3"/>
  <c r="AF49" i="3"/>
  <c r="AE49" i="3"/>
  <c r="AD49" i="3"/>
  <c r="AC49" i="3"/>
  <c r="AB49" i="3"/>
  <c r="AA49" i="3"/>
  <c r="Z49" i="3"/>
  <c r="Y48" i="5" s="1"/>
  <c r="Y49" i="3"/>
  <c r="X48" i="5" s="1"/>
  <c r="X49" i="3"/>
  <c r="W48" i="5" s="1"/>
  <c r="W49" i="3"/>
  <c r="V48" i="5" s="1"/>
  <c r="V49" i="3"/>
  <c r="U48" i="5" s="1"/>
  <c r="U49" i="3"/>
  <c r="T48" i="5" s="1"/>
  <c r="T49" i="3"/>
  <c r="S48" i="5" s="1"/>
  <c r="S49" i="3"/>
  <c r="R48" i="5" s="1"/>
  <c r="R49" i="3"/>
  <c r="Q48" i="5" s="1"/>
  <c r="Q49" i="3"/>
  <c r="P48" i="5" s="1"/>
  <c r="P49" i="3"/>
  <c r="O48" i="5" s="1"/>
  <c r="AQ48" i="3"/>
  <c r="AP48" i="3"/>
  <c r="AO48" i="3"/>
  <c r="AN48" i="3"/>
  <c r="AM48" i="3"/>
  <c r="AL48" i="3"/>
  <c r="AK48" i="3"/>
  <c r="AJ48" i="3"/>
  <c r="AI48" i="3"/>
  <c r="AH48" i="3"/>
  <c r="AG48" i="3"/>
  <c r="AF48" i="3"/>
  <c r="AE48" i="3"/>
  <c r="AD48" i="3"/>
  <c r="AC48" i="3"/>
  <c r="AB48" i="3"/>
  <c r="AA48" i="3"/>
  <c r="Z48" i="3"/>
  <c r="Y47" i="5" s="1"/>
  <c r="Y48" i="3"/>
  <c r="X47" i="5" s="1"/>
  <c r="X48" i="3"/>
  <c r="W47" i="5" s="1"/>
  <c r="W48" i="3"/>
  <c r="V47" i="5" s="1"/>
  <c r="V48" i="3"/>
  <c r="U47" i="5" s="1"/>
  <c r="U48" i="3"/>
  <c r="T47" i="5" s="1"/>
  <c r="T48" i="3"/>
  <c r="S47" i="5" s="1"/>
  <c r="S48" i="3"/>
  <c r="R47" i="5" s="1"/>
  <c r="R48" i="3"/>
  <c r="Q47" i="5" s="1"/>
  <c r="Q48" i="3"/>
  <c r="P47" i="5" s="1"/>
  <c r="P48" i="3"/>
  <c r="O47" i="5" s="1"/>
  <c r="AQ47" i="3"/>
  <c r="AP47" i="3"/>
  <c r="AO47" i="3"/>
  <c r="AN47" i="3"/>
  <c r="AM47" i="3"/>
  <c r="AL47" i="3"/>
  <c r="AK47" i="3"/>
  <c r="AJ47" i="3"/>
  <c r="AI47" i="3"/>
  <c r="AH47" i="3"/>
  <c r="AG47" i="3"/>
  <c r="AF47" i="3"/>
  <c r="AE47" i="3"/>
  <c r="AD47" i="3"/>
  <c r="AC47" i="3"/>
  <c r="AB47" i="3"/>
  <c r="AA47" i="3"/>
  <c r="Z47" i="3"/>
  <c r="Y46" i="5" s="1"/>
  <c r="Y47" i="3"/>
  <c r="X46" i="5" s="1"/>
  <c r="X47" i="3"/>
  <c r="W46" i="5" s="1"/>
  <c r="W47" i="3"/>
  <c r="V46" i="5" s="1"/>
  <c r="V47" i="3"/>
  <c r="U46" i="5" s="1"/>
  <c r="U47" i="3"/>
  <c r="T46" i="5" s="1"/>
  <c r="T47" i="3"/>
  <c r="S46" i="5" s="1"/>
  <c r="S47" i="3"/>
  <c r="R46" i="5" s="1"/>
  <c r="R47" i="3"/>
  <c r="Q46" i="5" s="1"/>
  <c r="Q47" i="3"/>
  <c r="P46" i="5" s="1"/>
  <c r="P47" i="3"/>
  <c r="O46" i="5" s="1"/>
  <c r="AQ46" i="3"/>
  <c r="AP46" i="3"/>
  <c r="AO46" i="3"/>
  <c r="AN46" i="3"/>
  <c r="AM46" i="3"/>
  <c r="AL46" i="3"/>
  <c r="AK46" i="3"/>
  <c r="AJ46" i="3"/>
  <c r="AI46" i="3"/>
  <c r="AH46" i="3"/>
  <c r="AG46" i="3"/>
  <c r="AF46" i="3"/>
  <c r="AE46" i="3"/>
  <c r="AD46" i="3"/>
  <c r="AC46" i="3"/>
  <c r="AB46" i="3"/>
  <c r="AA46" i="3"/>
  <c r="Z46" i="3"/>
  <c r="Y45" i="5" s="1"/>
  <c r="Y46" i="3"/>
  <c r="X45" i="5" s="1"/>
  <c r="X46" i="3"/>
  <c r="W45" i="5" s="1"/>
  <c r="W46" i="3"/>
  <c r="V45" i="5" s="1"/>
  <c r="V46" i="3"/>
  <c r="U45" i="5" s="1"/>
  <c r="U46" i="3"/>
  <c r="T45" i="5" s="1"/>
  <c r="T46" i="3"/>
  <c r="S45" i="5" s="1"/>
  <c r="S46" i="3"/>
  <c r="R45" i="5" s="1"/>
  <c r="R46" i="3"/>
  <c r="Q45" i="5" s="1"/>
  <c r="Q46" i="3"/>
  <c r="P45" i="5" s="1"/>
  <c r="P46" i="3"/>
  <c r="O45" i="5" s="1"/>
  <c r="AQ45" i="3"/>
  <c r="AP45" i="3"/>
  <c r="AO45" i="3"/>
  <c r="AN45" i="3"/>
  <c r="AM45" i="3"/>
  <c r="AL45" i="3"/>
  <c r="AK45" i="3"/>
  <c r="AJ45" i="3"/>
  <c r="AI45" i="3"/>
  <c r="AH45" i="3"/>
  <c r="AG45" i="3"/>
  <c r="AF45" i="3"/>
  <c r="AE45" i="3"/>
  <c r="AD45" i="3"/>
  <c r="AC45" i="3"/>
  <c r="AB45" i="3"/>
  <c r="AA45" i="3"/>
  <c r="Z45" i="3"/>
  <c r="Y44" i="5" s="1"/>
  <c r="Y45" i="3"/>
  <c r="X44" i="5" s="1"/>
  <c r="X45" i="3"/>
  <c r="W44" i="5" s="1"/>
  <c r="W45" i="3"/>
  <c r="V44" i="5" s="1"/>
  <c r="V45" i="3"/>
  <c r="U44" i="5" s="1"/>
  <c r="U45" i="3"/>
  <c r="T44" i="5" s="1"/>
  <c r="T45" i="3"/>
  <c r="S44" i="5" s="1"/>
  <c r="S45" i="3"/>
  <c r="R44" i="5" s="1"/>
  <c r="R45" i="3"/>
  <c r="Q44" i="5" s="1"/>
  <c r="Q45" i="3"/>
  <c r="P44" i="5" s="1"/>
  <c r="P45" i="3"/>
  <c r="O44" i="5" s="1"/>
  <c r="AQ44" i="3"/>
  <c r="AP44" i="3"/>
  <c r="AO44" i="3"/>
  <c r="AN44" i="3"/>
  <c r="AM44" i="3"/>
  <c r="AL44" i="3"/>
  <c r="AK44" i="3"/>
  <c r="AJ44" i="3"/>
  <c r="AI44" i="3"/>
  <c r="AH44" i="3"/>
  <c r="AG44" i="3"/>
  <c r="AF44" i="3"/>
  <c r="AE44" i="3"/>
  <c r="AD44" i="3"/>
  <c r="AC44" i="3"/>
  <c r="AB44" i="3"/>
  <c r="AA44" i="3"/>
  <c r="Z44" i="3"/>
  <c r="Y43" i="5" s="1"/>
  <c r="Y44" i="3"/>
  <c r="X43" i="5" s="1"/>
  <c r="X44" i="3"/>
  <c r="W43" i="5" s="1"/>
  <c r="W44" i="3"/>
  <c r="V43" i="5" s="1"/>
  <c r="V44" i="3"/>
  <c r="U43" i="5" s="1"/>
  <c r="U44" i="3"/>
  <c r="T43" i="5" s="1"/>
  <c r="T44" i="3"/>
  <c r="S43" i="5" s="1"/>
  <c r="S44" i="3"/>
  <c r="R43" i="5" s="1"/>
  <c r="R44" i="3"/>
  <c r="Q43" i="5" s="1"/>
  <c r="Q44" i="3"/>
  <c r="P43" i="5" s="1"/>
  <c r="P44" i="3"/>
  <c r="O43" i="5" s="1"/>
  <c r="AQ43" i="3"/>
  <c r="AP43" i="3"/>
  <c r="AO43" i="3"/>
  <c r="AN43" i="3"/>
  <c r="AM43" i="3"/>
  <c r="AL43" i="3"/>
  <c r="AK43" i="3"/>
  <c r="AJ43" i="3"/>
  <c r="AI43" i="3"/>
  <c r="AH43" i="3"/>
  <c r="AG43" i="3"/>
  <c r="AF43" i="3"/>
  <c r="AE43" i="3"/>
  <c r="AD42" i="5" s="1"/>
  <c r="AD43" i="3"/>
  <c r="AC43" i="3"/>
  <c r="AB43" i="3"/>
  <c r="AA43" i="3"/>
  <c r="Z43" i="3"/>
  <c r="Y42" i="5" s="1"/>
  <c r="Y43" i="3"/>
  <c r="X42" i="5" s="1"/>
  <c r="X43" i="3"/>
  <c r="W42" i="5" s="1"/>
  <c r="W43" i="3"/>
  <c r="V42" i="5" s="1"/>
  <c r="V43" i="3"/>
  <c r="U42" i="5" s="1"/>
  <c r="U43" i="3"/>
  <c r="T42" i="5" s="1"/>
  <c r="T43" i="3"/>
  <c r="S42" i="5" s="1"/>
  <c r="S43" i="3"/>
  <c r="R42" i="5" s="1"/>
  <c r="R43" i="3"/>
  <c r="Q42" i="5" s="1"/>
  <c r="Q43" i="3"/>
  <c r="P42" i="5" s="1"/>
  <c r="P43" i="3"/>
  <c r="O42" i="5" s="1"/>
  <c r="AQ42" i="3"/>
  <c r="AP42" i="3"/>
  <c r="AO42" i="3"/>
  <c r="AN42" i="3"/>
  <c r="AM42" i="3"/>
  <c r="AL42" i="3"/>
  <c r="AK42" i="3"/>
  <c r="AJ42" i="3"/>
  <c r="AI42" i="3"/>
  <c r="AH42" i="3"/>
  <c r="AG42" i="3"/>
  <c r="AF42" i="3"/>
  <c r="AE42" i="3"/>
  <c r="AD42" i="3"/>
  <c r="AC42" i="3"/>
  <c r="AB42" i="3"/>
  <c r="AA42" i="3"/>
  <c r="Z42" i="3"/>
  <c r="Y41" i="5" s="1"/>
  <c r="Y42" i="3"/>
  <c r="X41" i="5" s="1"/>
  <c r="X42" i="3"/>
  <c r="W41" i="5" s="1"/>
  <c r="W42" i="3"/>
  <c r="V41" i="5" s="1"/>
  <c r="V42" i="3"/>
  <c r="U41" i="5" s="1"/>
  <c r="U42" i="3"/>
  <c r="T41" i="5" s="1"/>
  <c r="T42" i="3"/>
  <c r="S41" i="5" s="1"/>
  <c r="S42" i="3"/>
  <c r="R41" i="5" s="1"/>
  <c r="R42" i="3"/>
  <c r="Q41" i="5" s="1"/>
  <c r="Q42" i="3"/>
  <c r="P41" i="5" s="1"/>
  <c r="P42" i="3"/>
  <c r="O41" i="5" s="1"/>
  <c r="AQ41" i="3"/>
  <c r="AP41" i="3"/>
  <c r="AO41" i="3"/>
  <c r="AN41" i="3"/>
  <c r="AM41" i="3"/>
  <c r="AL41" i="3"/>
  <c r="AK41" i="3"/>
  <c r="AJ41" i="3"/>
  <c r="AI41" i="3"/>
  <c r="AH41" i="3"/>
  <c r="AG41" i="3"/>
  <c r="AF41" i="3"/>
  <c r="AE41" i="3"/>
  <c r="AD41" i="3"/>
  <c r="AC41" i="3"/>
  <c r="AB41" i="3"/>
  <c r="AA41" i="3"/>
  <c r="Z41" i="3"/>
  <c r="Y40" i="5" s="1"/>
  <c r="Y41" i="3"/>
  <c r="X40" i="5" s="1"/>
  <c r="X41" i="3"/>
  <c r="W40" i="5" s="1"/>
  <c r="W41" i="3"/>
  <c r="V40" i="5" s="1"/>
  <c r="V41" i="3"/>
  <c r="U40" i="5" s="1"/>
  <c r="U41" i="3"/>
  <c r="T40" i="5" s="1"/>
  <c r="T41" i="3"/>
  <c r="S40" i="5" s="1"/>
  <c r="S41" i="3"/>
  <c r="R40" i="5" s="1"/>
  <c r="R41" i="3"/>
  <c r="Q40" i="5" s="1"/>
  <c r="Q41" i="3"/>
  <c r="P40" i="5" s="1"/>
  <c r="P41" i="3"/>
  <c r="O40" i="5" s="1"/>
  <c r="AQ40" i="3"/>
  <c r="AP40" i="3"/>
  <c r="AO40" i="3"/>
  <c r="AN40" i="3"/>
  <c r="AM40" i="3"/>
  <c r="AL40" i="3"/>
  <c r="AK40" i="3"/>
  <c r="AJ40" i="3"/>
  <c r="AI40" i="3"/>
  <c r="AH40" i="3"/>
  <c r="AG40" i="3"/>
  <c r="AF40" i="3"/>
  <c r="AE40" i="3"/>
  <c r="AD40" i="3"/>
  <c r="AC40" i="3"/>
  <c r="AB40" i="3"/>
  <c r="AA40" i="3"/>
  <c r="Z40" i="3"/>
  <c r="Y39" i="5" s="1"/>
  <c r="Y40" i="3"/>
  <c r="X39" i="5" s="1"/>
  <c r="X40" i="3"/>
  <c r="W39" i="5" s="1"/>
  <c r="W40" i="3"/>
  <c r="V39" i="5" s="1"/>
  <c r="V40" i="3"/>
  <c r="U39" i="5" s="1"/>
  <c r="U40" i="3"/>
  <c r="T39" i="5" s="1"/>
  <c r="T40" i="3"/>
  <c r="S39" i="5" s="1"/>
  <c r="S40" i="3"/>
  <c r="R39" i="5" s="1"/>
  <c r="R40" i="3"/>
  <c r="Q39" i="5" s="1"/>
  <c r="Q40" i="3"/>
  <c r="P39" i="5" s="1"/>
  <c r="P40" i="3"/>
  <c r="O39" i="5" s="1"/>
  <c r="AQ39" i="3"/>
  <c r="AP39" i="3"/>
  <c r="AO39" i="3"/>
  <c r="AN39" i="3"/>
  <c r="AM39" i="3"/>
  <c r="AL39" i="3"/>
  <c r="AK39" i="3"/>
  <c r="AJ39" i="3"/>
  <c r="AI39" i="3"/>
  <c r="AH39" i="3"/>
  <c r="AG39" i="3"/>
  <c r="AF39" i="3"/>
  <c r="AE39" i="3"/>
  <c r="AD39" i="3"/>
  <c r="AC39" i="3"/>
  <c r="AB39" i="3"/>
  <c r="AA39" i="3"/>
  <c r="Z39" i="3"/>
  <c r="Y38" i="5" s="1"/>
  <c r="Y39" i="3"/>
  <c r="X38" i="5" s="1"/>
  <c r="X39" i="3"/>
  <c r="W38" i="5" s="1"/>
  <c r="W39" i="3"/>
  <c r="V38" i="5" s="1"/>
  <c r="V39" i="3"/>
  <c r="U38" i="5" s="1"/>
  <c r="U39" i="3"/>
  <c r="T38" i="5" s="1"/>
  <c r="T39" i="3"/>
  <c r="S38" i="5" s="1"/>
  <c r="S39" i="3"/>
  <c r="R38" i="5" s="1"/>
  <c r="R39" i="3"/>
  <c r="Q38" i="5" s="1"/>
  <c r="Q39" i="3"/>
  <c r="P38" i="5" s="1"/>
  <c r="P39" i="3"/>
  <c r="O38" i="5" s="1"/>
  <c r="AQ38" i="3"/>
  <c r="AP38" i="3"/>
  <c r="AO38" i="3"/>
  <c r="AN38" i="3"/>
  <c r="AM38" i="3"/>
  <c r="AL38" i="3"/>
  <c r="AK38" i="3"/>
  <c r="AJ38" i="3"/>
  <c r="AI38" i="3"/>
  <c r="AH38" i="3"/>
  <c r="AG38" i="3"/>
  <c r="AF38" i="3"/>
  <c r="AE38" i="3"/>
  <c r="AD38" i="3"/>
  <c r="AC38" i="3"/>
  <c r="AB38" i="3"/>
  <c r="AA38" i="3"/>
  <c r="Z38" i="3"/>
  <c r="Y37" i="5" s="1"/>
  <c r="Y38" i="3"/>
  <c r="X37" i="5" s="1"/>
  <c r="X38" i="3"/>
  <c r="W37" i="5" s="1"/>
  <c r="W38" i="3"/>
  <c r="V37" i="5" s="1"/>
  <c r="V38" i="3"/>
  <c r="U37" i="5" s="1"/>
  <c r="U38" i="3"/>
  <c r="T37" i="5" s="1"/>
  <c r="T38" i="3"/>
  <c r="S37" i="5" s="1"/>
  <c r="S38" i="3"/>
  <c r="R37" i="5" s="1"/>
  <c r="R38" i="3"/>
  <c r="Q37" i="5" s="1"/>
  <c r="Q38" i="3"/>
  <c r="P37" i="5" s="1"/>
  <c r="P38" i="3"/>
  <c r="O37" i="5" s="1"/>
  <c r="AQ37" i="3"/>
  <c r="AP37" i="3"/>
  <c r="AO37" i="3"/>
  <c r="AN37" i="3"/>
  <c r="AM37" i="3"/>
  <c r="AL37" i="3"/>
  <c r="AK37" i="3"/>
  <c r="AJ37" i="3"/>
  <c r="AI37" i="3"/>
  <c r="AH37" i="3"/>
  <c r="AG37" i="3"/>
  <c r="AF37" i="3"/>
  <c r="AE37" i="3"/>
  <c r="AD37" i="3"/>
  <c r="AC37" i="3"/>
  <c r="AB37" i="3"/>
  <c r="AA37" i="3"/>
  <c r="Z37" i="3"/>
  <c r="Y36" i="5" s="1"/>
  <c r="Y37" i="3"/>
  <c r="X36" i="5" s="1"/>
  <c r="X37" i="3"/>
  <c r="W36" i="5" s="1"/>
  <c r="W37" i="3"/>
  <c r="V36" i="5" s="1"/>
  <c r="V37" i="3"/>
  <c r="U36" i="5" s="1"/>
  <c r="U37" i="3"/>
  <c r="T36" i="5" s="1"/>
  <c r="T37" i="3"/>
  <c r="S36" i="5" s="1"/>
  <c r="S37" i="3"/>
  <c r="R36" i="5" s="1"/>
  <c r="R37" i="3"/>
  <c r="Q36" i="5" s="1"/>
  <c r="Q37" i="3"/>
  <c r="P36" i="5" s="1"/>
  <c r="P37" i="3"/>
  <c r="O36" i="5" s="1"/>
  <c r="AQ36" i="3"/>
  <c r="AP36" i="3"/>
  <c r="AO36" i="3"/>
  <c r="AN36" i="3"/>
  <c r="AM36" i="3"/>
  <c r="AL36" i="3"/>
  <c r="AK36" i="3"/>
  <c r="AJ36" i="3"/>
  <c r="AI36" i="3"/>
  <c r="AH36" i="3"/>
  <c r="AG36" i="3"/>
  <c r="AF36" i="3"/>
  <c r="AE36" i="3"/>
  <c r="AD35" i="5" s="1"/>
  <c r="AD36" i="3"/>
  <c r="AC36" i="3"/>
  <c r="AB36" i="3"/>
  <c r="AA36" i="3"/>
  <c r="Z36" i="3"/>
  <c r="Y35" i="5" s="1"/>
  <c r="Y36" i="3"/>
  <c r="X35" i="5" s="1"/>
  <c r="X36" i="3"/>
  <c r="W35" i="5" s="1"/>
  <c r="W36" i="3"/>
  <c r="V35" i="5" s="1"/>
  <c r="V36" i="3"/>
  <c r="U35" i="5" s="1"/>
  <c r="U36" i="3"/>
  <c r="T35" i="5" s="1"/>
  <c r="T36" i="3"/>
  <c r="S35" i="5" s="1"/>
  <c r="S36" i="3"/>
  <c r="R35" i="5" s="1"/>
  <c r="R36" i="3"/>
  <c r="Q35" i="5" s="1"/>
  <c r="Q36" i="3"/>
  <c r="P35" i="5" s="1"/>
  <c r="P36" i="3"/>
  <c r="O35" i="5" s="1"/>
  <c r="AQ35" i="3"/>
  <c r="AP35" i="3"/>
  <c r="AO35" i="3"/>
  <c r="AN35" i="3"/>
  <c r="AM35" i="3"/>
  <c r="AL35" i="3"/>
  <c r="AK35" i="3"/>
  <c r="AJ35" i="3"/>
  <c r="AI35" i="3"/>
  <c r="AH35" i="3"/>
  <c r="AG35" i="3"/>
  <c r="AF35" i="3"/>
  <c r="AE35" i="3"/>
  <c r="AD35" i="3"/>
  <c r="AC35" i="3"/>
  <c r="AB35" i="3"/>
  <c r="AA35" i="3"/>
  <c r="Z35" i="3"/>
  <c r="Y34" i="5" s="1"/>
  <c r="Y35" i="3"/>
  <c r="X34" i="5" s="1"/>
  <c r="X35" i="3"/>
  <c r="W34" i="5" s="1"/>
  <c r="W35" i="3"/>
  <c r="V34" i="5" s="1"/>
  <c r="V35" i="3"/>
  <c r="U34" i="5" s="1"/>
  <c r="U35" i="3"/>
  <c r="T34" i="5" s="1"/>
  <c r="T35" i="3"/>
  <c r="S34" i="5" s="1"/>
  <c r="S35" i="3"/>
  <c r="R34" i="5" s="1"/>
  <c r="R35" i="3"/>
  <c r="Q34" i="5" s="1"/>
  <c r="Q35" i="3"/>
  <c r="P34" i="5" s="1"/>
  <c r="P35" i="3"/>
  <c r="O34" i="5" s="1"/>
  <c r="AQ34" i="3"/>
  <c r="AP34" i="3"/>
  <c r="AO34" i="3"/>
  <c r="AN34" i="3"/>
  <c r="AM34" i="3"/>
  <c r="AL34" i="3"/>
  <c r="AK34" i="3"/>
  <c r="AJ34" i="3"/>
  <c r="AI34" i="3"/>
  <c r="AH34" i="3"/>
  <c r="AG34" i="3"/>
  <c r="AF34" i="3"/>
  <c r="AE34" i="3"/>
  <c r="AD34" i="3"/>
  <c r="AC34" i="3"/>
  <c r="AB34" i="3"/>
  <c r="AA34" i="3"/>
  <c r="Z34" i="3"/>
  <c r="Y33" i="5" s="1"/>
  <c r="Y34" i="3"/>
  <c r="X33" i="5" s="1"/>
  <c r="X34" i="3"/>
  <c r="W33" i="5" s="1"/>
  <c r="W34" i="3"/>
  <c r="V33" i="5" s="1"/>
  <c r="V34" i="3"/>
  <c r="U33" i="5" s="1"/>
  <c r="U34" i="3"/>
  <c r="T33" i="5" s="1"/>
  <c r="T34" i="3"/>
  <c r="S33" i="5" s="1"/>
  <c r="S34" i="3"/>
  <c r="R33" i="5" s="1"/>
  <c r="R34" i="3"/>
  <c r="Q33" i="5" s="1"/>
  <c r="Q34" i="3"/>
  <c r="P33" i="5" s="1"/>
  <c r="P34" i="3"/>
  <c r="O33" i="5" s="1"/>
  <c r="AQ33" i="3"/>
  <c r="AP33" i="3"/>
  <c r="AO33" i="3"/>
  <c r="AN33" i="3"/>
  <c r="AM33" i="3"/>
  <c r="AL33" i="3"/>
  <c r="AK33" i="3"/>
  <c r="AJ33" i="3"/>
  <c r="AI33" i="3"/>
  <c r="AH33" i="3"/>
  <c r="AG33" i="3"/>
  <c r="AF33" i="3"/>
  <c r="AE33" i="3"/>
  <c r="AD33" i="3"/>
  <c r="AC33" i="3"/>
  <c r="AB33" i="3"/>
  <c r="AA33" i="3"/>
  <c r="Z33" i="3"/>
  <c r="Y32" i="5" s="1"/>
  <c r="Y33" i="3"/>
  <c r="X32" i="5" s="1"/>
  <c r="X33" i="3"/>
  <c r="W32" i="5" s="1"/>
  <c r="W33" i="3"/>
  <c r="V32" i="5" s="1"/>
  <c r="V33" i="3"/>
  <c r="U32" i="5" s="1"/>
  <c r="U33" i="3"/>
  <c r="T32" i="5" s="1"/>
  <c r="T33" i="3"/>
  <c r="S32" i="5" s="1"/>
  <c r="S33" i="3"/>
  <c r="R32" i="5" s="1"/>
  <c r="R33" i="3"/>
  <c r="Q32" i="5" s="1"/>
  <c r="Q33" i="3"/>
  <c r="P32" i="5" s="1"/>
  <c r="P33" i="3"/>
  <c r="O32" i="5" s="1"/>
  <c r="AQ32" i="3"/>
  <c r="AP32" i="3"/>
  <c r="AO32" i="3"/>
  <c r="AN32" i="3"/>
  <c r="AM32" i="3"/>
  <c r="AL32" i="3"/>
  <c r="AK32" i="3"/>
  <c r="AJ32" i="3"/>
  <c r="AI32" i="3"/>
  <c r="AH32" i="3"/>
  <c r="AG32" i="3"/>
  <c r="AF32" i="3"/>
  <c r="AE32" i="3"/>
  <c r="AD32" i="3"/>
  <c r="AC32" i="3"/>
  <c r="AB32" i="3"/>
  <c r="AA32" i="3"/>
  <c r="Z32" i="3"/>
  <c r="Y31" i="5" s="1"/>
  <c r="Y32" i="3"/>
  <c r="X31" i="5" s="1"/>
  <c r="X32" i="3"/>
  <c r="W31" i="5" s="1"/>
  <c r="W32" i="3"/>
  <c r="V31" i="5" s="1"/>
  <c r="V32" i="3"/>
  <c r="U31" i="5" s="1"/>
  <c r="U32" i="3"/>
  <c r="T31" i="5" s="1"/>
  <c r="T32" i="3"/>
  <c r="S31" i="5" s="1"/>
  <c r="S32" i="3"/>
  <c r="R31" i="5" s="1"/>
  <c r="R32" i="3"/>
  <c r="Q31" i="5" s="1"/>
  <c r="Q32" i="3"/>
  <c r="P31" i="5" s="1"/>
  <c r="P32" i="3"/>
  <c r="O31" i="5" s="1"/>
  <c r="AQ31" i="3"/>
  <c r="AP31" i="3"/>
  <c r="AO31" i="3"/>
  <c r="AN31" i="3"/>
  <c r="AM31" i="3"/>
  <c r="AL31" i="3"/>
  <c r="AK31" i="3"/>
  <c r="AJ31" i="3"/>
  <c r="AI31" i="3"/>
  <c r="AH31" i="3"/>
  <c r="AG31" i="3"/>
  <c r="AF31" i="3"/>
  <c r="AE31" i="3"/>
  <c r="AD31" i="3"/>
  <c r="AC31" i="3"/>
  <c r="AB31" i="3"/>
  <c r="AA31" i="3"/>
  <c r="Z31" i="3"/>
  <c r="Y30" i="5" s="1"/>
  <c r="Y31" i="3"/>
  <c r="X30" i="5" s="1"/>
  <c r="X31" i="3"/>
  <c r="W30" i="5" s="1"/>
  <c r="W31" i="3"/>
  <c r="V30" i="5" s="1"/>
  <c r="V31" i="3"/>
  <c r="U30" i="5" s="1"/>
  <c r="U31" i="3"/>
  <c r="T30" i="5" s="1"/>
  <c r="T31" i="3"/>
  <c r="S30" i="5" s="1"/>
  <c r="S31" i="3"/>
  <c r="R30" i="5" s="1"/>
  <c r="R31" i="3"/>
  <c r="Q30" i="5" s="1"/>
  <c r="Q31" i="3"/>
  <c r="P30" i="5" s="1"/>
  <c r="P31" i="3"/>
  <c r="O30" i="5" s="1"/>
  <c r="AQ30" i="3"/>
  <c r="AP30" i="3"/>
  <c r="AO30" i="3"/>
  <c r="AN30" i="3"/>
  <c r="AM30" i="3"/>
  <c r="AL30" i="3"/>
  <c r="AK30" i="3"/>
  <c r="AJ30" i="3"/>
  <c r="AI30" i="3"/>
  <c r="AH30" i="3"/>
  <c r="AG30" i="3"/>
  <c r="AF30" i="3"/>
  <c r="AE30" i="3"/>
  <c r="AD30" i="3"/>
  <c r="AC30" i="3"/>
  <c r="AB30" i="3"/>
  <c r="AA30" i="3"/>
  <c r="Z30" i="3"/>
  <c r="Y29" i="5" s="1"/>
  <c r="Y30" i="3"/>
  <c r="X29" i="5" s="1"/>
  <c r="X30" i="3"/>
  <c r="W29" i="5" s="1"/>
  <c r="W30" i="3"/>
  <c r="V29" i="5" s="1"/>
  <c r="V30" i="3"/>
  <c r="U29" i="5" s="1"/>
  <c r="U30" i="3"/>
  <c r="T29" i="5" s="1"/>
  <c r="T30" i="3"/>
  <c r="S29" i="5" s="1"/>
  <c r="S30" i="3"/>
  <c r="R29" i="5" s="1"/>
  <c r="R30" i="3"/>
  <c r="Q29" i="5" s="1"/>
  <c r="Q30" i="3"/>
  <c r="P29" i="5" s="1"/>
  <c r="P30" i="3"/>
  <c r="O29" i="5" s="1"/>
  <c r="AQ29" i="3"/>
  <c r="AP29" i="3"/>
  <c r="AO29" i="3"/>
  <c r="AN29" i="3"/>
  <c r="AM29" i="3"/>
  <c r="AL29" i="3"/>
  <c r="AK29" i="3"/>
  <c r="AJ29" i="3"/>
  <c r="AI29" i="3"/>
  <c r="AH29" i="3"/>
  <c r="AG29" i="3"/>
  <c r="AF29" i="3"/>
  <c r="AE29" i="3"/>
  <c r="AD28" i="5" s="1"/>
  <c r="AD29" i="3"/>
  <c r="AC29" i="3"/>
  <c r="AB29" i="3"/>
  <c r="AA29" i="3"/>
  <c r="Z29" i="3"/>
  <c r="Y28" i="5" s="1"/>
  <c r="Y29" i="3"/>
  <c r="X28" i="5" s="1"/>
  <c r="X29" i="3"/>
  <c r="W28" i="5" s="1"/>
  <c r="W29" i="3"/>
  <c r="V28" i="5" s="1"/>
  <c r="V29" i="3"/>
  <c r="U28" i="5" s="1"/>
  <c r="U29" i="3"/>
  <c r="T28" i="5" s="1"/>
  <c r="T29" i="3"/>
  <c r="S28" i="5" s="1"/>
  <c r="S29" i="3"/>
  <c r="R28" i="5" s="1"/>
  <c r="R29" i="3"/>
  <c r="Q28" i="5" s="1"/>
  <c r="Q29" i="3"/>
  <c r="P28" i="5" s="1"/>
  <c r="P29" i="3"/>
  <c r="O28" i="5" s="1"/>
  <c r="AQ28" i="3"/>
  <c r="AP28" i="3"/>
  <c r="AO28" i="3"/>
  <c r="AN28" i="3"/>
  <c r="AM28" i="3"/>
  <c r="AL28" i="3"/>
  <c r="AK28" i="3"/>
  <c r="AJ28" i="3"/>
  <c r="AI28" i="3"/>
  <c r="AH28" i="3"/>
  <c r="AG28" i="3"/>
  <c r="AF28" i="3"/>
  <c r="AE28" i="3"/>
  <c r="AD28" i="3"/>
  <c r="AC28" i="3"/>
  <c r="AB28" i="3"/>
  <c r="AA28" i="3"/>
  <c r="Z28" i="3"/>
  <c r="Y27" i="5" s="1"/>
  <c r="Y28" i="3"/>
  <c r="X27" i="5" s="1"/>
  <c r="X28" i="3"/>
  <c r="W27" i="5" s="1"/>
  <c r="W28" i="3"/>
  <c r="V27" i="5" s="1"/>
  <c r="V28" i="3"/>
  <c r="U27" i="5" s="1"/>
  <c r="U28" i="3"/>
  <c r="T27" i="5" s="1"/>
  <c r="T28" i="3"/>
  <c r="S27" i="5" s="1"/>
  <c r="S28" i="3"/>
  <c r="R27" i="5" s="1"/>
  <c r="R28" i="3"/>
  <c r="Q27" i="5" s="1"/>
  <c r="Q28" i="3"/>
  <c r="P27" i="5" s="1"/>
  <c r="P28" i="3"/>
  <c r="O27" i="5" s="1"/>
  <c r="AQ27" i="3"/>
  <c r="AP27" i="3"/>
  <c r="AO27" i="3"/>
  <c r="AN27" i="3"/>
  <c r="AM27" i="3"/>
  <c r="AL27" i="3"/>
  <c r="AK27" i="3"/>
  <c r="AJ27" i="3"/>
  <c r="AI27" i="3"/>
  <c r="AH27" i="3"/>
  <c r="AG27" i="3"/>
  <c r="AF27" i="3"/>
  <c r="AE27" i="3"/>
  <c r="AD27" i="3"/>
  <c r="AC27" i="3"/>
  <c r="AB27" i="3"/>
  <c r="AA27" i="3"/>
  <c r="Z27" i="3"/>
  <c r="Y26" i="5" s="1"/>
  <c r="Y27" i="3"/>
  <c r="X26" i="5" s="1"/>
  <c r="X27" i="3"/>
  <c r="W26" i="5" s="1"/>
  <c r="W27" i="3"/>
  <c r="V26" i="5" s="1"/>
  <c r="V27" i="3"/>
  <c r="U26" i="5" s="1"/>
  <c r="U27" i="3"/>
  <c r="T26" i="5" s="1"/>
  <c r="T27" i="3"/>
  <c r="S26" i="5" s="1"/>
  <c r="S27" i="3"/>
  <c r="R26" i="5" s="1"/>
  <c r="R27" i="3"/>
  <c r="Q27" i="3"/>
  <c r="P26" i="5" s="1"/>
  <c r="P27" i="3"/>
  <c r="O26" i="5" s="1"/>
  <c r="AQ26" i="3"/>
  <c r="AP26" i="3"/>
  <c r="AO26" i="3"/>
  <c r="AN26" i="3"/>
  <c r="AM26" i="3"/>
  <c r="AL26" i="3"/>
  <c r="AK26" i="3"/>
  <c r="AJ26" i="3"/>
  <c r="AI26" i="3"/>
  <c r="AH26" i="3"/>
  <c r="AG26" i="3"/>
  <c r="AF26" i="3"/>
  <c r="AE26" i="3"/>
  <c r="AD26" i="3"/>
  <c r="AC26" i="3"/>
  <c r="AB26" i="3"/>
  <c r="AA26" i="3"/>
  <c r="Z26" i="3"/>
  <c r="Y25" i="5" s="1"/>
  <c r="Y26" i="3"/>
  <c r="X25" i="5" s="1"/>
  <c r="X26" i="3"/>
  <c r="W25" i="5" s="1"/>
  <c r="W26" i="3"/>
  <c r="V25" i="5" s="1"/>
  <c r="V26" i="3"/>
  <c r="U25" i="5" s="1"/>
  <c r="U26" i="3"/>
  <c r="T25" i="5" s="1"/>
  <c r="T26" i="3"/>
  <c r="S25" i="5" s="1"/>
  <c r="S26" i="3"/>
  <c r="R25" i="5" s="1"/>
  <c r="R26" i="3"/>
  <c r="Q25" i="5" s="1"/>
  <c r="Q26" i="3"/>
  <c r="P25" i="5" s="1"/>
  <c r="P26" i="3"/>
  <c r="O25" i="5" s="1"/>
  <c r="AQ25" i="3"/>
  <c r="AP25" i="3"/>
  <c r="AO25" i="3"/>
  <c r="AN25" i="3"/>
  <c r="AM25" i="3"/>
  <c r="AL25" i="3"/>
  <c r="AK25" i="3"/>
  <c r="AJ25" i="3"/>
  <c r="AI25" i="3"/>
  <c r="AH25" i="3"/>
  <c r="AG25" i="3"/>
  <c r="AF25" i="3"/>
  <c r="AE25" i="3"/>
  <c r="AD25" i="3"/>
  <c r="AC25" i="3"/>
  <c r="AB25" i="3"/>
  <c r="AA25" i="3"/>
  <c r="Z25" i="3"/>
  <c r="Y24" i="5" s="1"/>
  <c r="Y25" i="3"/>
  <c r="X24" i="5" s="1"/>
  <c r="X25" i="3"/>
  <c r="W24" i="5" s="1"/>
  <c r="W25" i="3"/>
  <c r="V24" i="5" s="1"/>
  <c r="V25" i="3"/>
  <c r="U24" i="5" s="1"/>
  <c r="U25" i="3"/>
  <c r="T24" i="5" s="1"/>
  <c r="T25" i="3"/>
  <c r="S24" i="5" s="1"/>
  <c r="S25" i="3"/>
  <c r="R24" i="5" s="1"/>
  <c r="R25" i="3"/>
  <c r="Q24" i="5" s="1"/>
  <c r="Q25" i="3"/>
  <c r="P24" i="5" s="1"/>
  <c r="P25" i="3"/>
  <c r="O24" i="5" s="1"/>
  <c r="AQ24" i="3"/>
  <c r="AP24" i="3"/>
  <c r="AO24" i="3"/>
  <c r="AN24" i="3"/>
  <c r="AM24" i="3"/>
  <c r="AL24" i="3"/>
  <c r="AK24" i="3"/>
  <c r="AJ24" i="3"/>
  <c r="AI24" i="3"/>
  <c r="AH24" i="3"/>
  <c r="AG24" i="3"/>
  <c r="AF24" i="3"/>
  <c r="AE24" i="3"/>
  <c r="AD24" i="3"/>
  <c r="AC24" i="3"/>
  <c r="AB24" i="3"/>
  <c r="AA24" i="3"/>
  <c r="Z24" i="3"/>
  <c r="Y23" i="5" s="1"/>
  <c r="Y24" i="3"/>
  <c r="X23" i="5" s="1"/>
  <c r="X24" i="3"/>
  <c r="W23" i="5" s="1"/>
  <c r="W24" i="3"/>
  <c r="V23" i="5" s="1"/>
  <c r="V24" i="3"/>
  <c r="U23" i="5" s="1"/>
  <c r="U24" i="3"/>
  <c r="T23" i="5" s="1"/>
  <c r="T24" i="3"/>
  <c r="S23" i="5" s="1"/>
  <c r="S24" i="3"/>
  <c r="R23" i="5" s="1"/>
  <c r="R24" i="3"/>
  <c r="Q23" i="5" s="1"/>
  <c r="Q24" i="3"/>
  <c r="P23" i="5" s="1"/>
  <c r="P24" i="3"/>
  <c r="O23" i="5" s="1"/>
  <c r="AQ23" i="3"/>
  <c r="AP23" i="3"/>
  <c r="AO23" i="3"/>
  <c r="AN23" i="3"/>
  <c r="AM23" i="3"/>
  <c r="AL23" i="3"/>
  <c r="AK23" i="3"/>
  <c r="AJ23" i="3"/>
  <c r="AI23" i="3"/>
  <c r="AH23" i="3"/>
  <c r="AG23" i="3"/>
  <c r="AF23" i="3"/>
  <c r="AE23" i="3"/>
  <c r="AD23" i="3"/>
  <c r="AC23" i="3"/>
  <c r="AB23" i="3"/>
  <c r="AA23" i="3"/>
  <c r="Z23" i="3"/>
  <c r="Y22" i="5" s="1"/>
  <c r="Y23" i="3"/>
  <c r="X22" i="5" s="1"/>
  <c r="X23" i="3"/>
  <c r="W22" i="5" s="1"/>
  <c r="W23" i="3"/>
  <c r="V22" i="5" s="1"/>
  <c r="V23" i="3"/>
  <c r="U22" i="5" s="1"/>
  <c r="U23" i="3"/>
  <c r="T22" i="5" s="1"/>
  <c r="T23" i="3"/>
  <c r="S22" i="5" s="1"/>
  <c r="S23" i="3"/>
  <c r="R22" i="5" s="1"/>
  <c r="R23" i="3"/>
  <c r="Q22" i="5" s="1"/>
  <c r="Q23" i="3"/>
  <c r="P22" i="5" s="1"/>
  <c r="P23" i="3"/>
  <c r="O22" i="5" s="1"/>
  <c r="AQ22" i="3"/>
  <c r="AP22" i="3"/>
  <c r="AO22" i="3"/>
  <c r="AN22" i="3"/>
  <c r="AM22" i="3"/>
  <c r="AL22" i="3"/>
  <c r="AK22" i="3"/>
  <c r="AJ22" i="3"/>
  <c r="AI22" i="3"/>
  <c r="AH22" i="3"/>
  <c r="AG22" i="3"/>
  <c r="AF22" i="3"/>
  <c r="AE22" i="3"/>
  <c r="AD21" i="5" s="1"/>
  <c r="AD22" i="3"/>
  <c r="AC22" i="3"/>
  <c r="AB22" i="3"/>
  <c r="AA22" i="3"/>
  <c r="Z22" i="3"/>
  <c r="Y21" i="5" s="1"/>
  <c r="Y22" i="3"/>
  <c r="X21" i="5" s="1"/>
  <c r="X22" i="3"/>
  <c r="W21" i="5" s="1"/>
  <c r="W22" i="3"/>
  <c r="V21" i="5" s="1"/>
  <c r="V22" i="3"/>
  <c r="U21" i="5" s="1"/>
  <c r="U22" i="3"/>
  <c r="T21" i="5" s="1"/>
  <c r="T22" i="3"/>
  <c r="S21" i="5" s="1"/>
  <c r="S22" i="3"/>
  <c r="R21" i="5" s="1"/>
  <c r="R22" i="3"/>
  <c r="Q21" i="5" s="1"/>
  <c r="Q22" i="3"/>
  <c r="P21" i="5" s="1"/>
  <c r="P22" i="3"/>
  <c r="O21" i="5" s="1"/>
  <c r="AQ21" i="3"/>
  <c r="AP21" i="3"/>
  <c r="AO21" i="3"/>
  <c r="AN21" i="3"/>
  <c r="AM21" i="3"/>
  <c r="AL21" i="3"/>
  <c r="AK21" i="3"/>
  <c r="AJ21" i="3"/>
  <c r="AI21" i="3"/>
  <c r="AH21" i="3"/>
  <c r="AG21" i="3"/>
  <c r="AF21" i="3"/>
  <c r="AE21" i="3"/>
  <c r="AD21" i="3"/>
  <c r="AC21" i="3"/>
  <c r="AB21" i="3"/>
  <c r="AA21" i="3"/>
  <c r="Z21" i="3"/>
  <c r="Y20" i="5" s="1"/>
  <c r="Y21" i="3"/>
  <c r="X20" i="5" s="1"/>
  <c r="X21" i="3"/>
  <c r="W20" i="5" s="1"/>
  <c r="W21" i="3"/>
  <c r="V20" i="5" s="1"/>
  <c r="V21" i="3"/>
  <c r="U20" i="5" s="1"/>
  <c r="U21" i="3"/>
  <c r="T20" i="5" s="1"/>
  <c r="T21" i="3"/>
  <c r="S20" i="5" s="1"/>
  <c r="S21" i="3"/>
  <c r="R20" i="5" s="1"/>
  <c r="R21" i="3"/>
  <c r="Q20" i="5" s="1"/>
  <c r="Q21" i="3"/>
  <c r="P20" i="5" s="1"/>
  <c r="P21" i="3"/>
  <c r="O20" i="5" s="1"/>
  <c r="AQ20" i="3"/>
  <c r="AP20" i="3"/>
  <c r="AO20" i="3"/>
  <c r="AN20" i="3"/>
  <c r="AM20" i="3"/>
  <c r="AL20" i="3"/>
  <c r="AK20" i="3"/>
  <c r="AJ20" i="3"/>
  <c r="AI20" i="3"/>
  <c r="AH20" i="3"/>
  <c r="AG20" i="3"/>
  <c r="AF20" i="3"/>
  <c r="AE20" i="3"/>
  <c r="AD20" i="3"/>
  <c r="AC20" i="3"/>
  <c r="AB20" i="3"/>
  <c r="AA20" i="3"/>
  <c r="Z20" i="3"/>
  <c r="Y19" i="5" s="1"/>
  <c r="Y20" i="3"/>
  <c r="X19" i="5" s="1"/>
  <c r="X20" i="3"/>
  <c r="W19" i="5" s="1"/>
  <c r="W20" i="3"/>
  <c r="V19" i="5" s="1"/>
  <c r="V20" i="3"/>
  <c r="U19" i="5" s="1"/>
  <c r="U20" i="3"/>
  <c r="T19" i="5" s="1"/>
  <c r="T20" i="3"/>
  <c r="S19" i="5" s="1"/>
  <c r="S20" i="3"/>
  <c r="R19" i="5" s="1"/>
  <c r="R20" i="3"/>
  <c r="Q19" i="5" s="1"/>
  <c r="Q20" i="3"/>
  <c r="P19" i="5" s="1"/>
  <c r="P20" i="3"/>
  <c r="O19" i="5" s="1"/>
  <c r="AQ19" i="3"/>
  <c r="AP19" i="3"/>
  <c r="AO19" i="3"/>
  <c r="AN19" i="3"/>
  <c r="AM19" i="3"/>
  <c r="AL19" i="3"/>
  <c r="AK19" i="3"/>
  <c r="AJ19" i="3"/>
  <c r="AI19" i="3"/>
  <c r="AH19" i="3"/>
  <c r="AG19" i="3"/>
  <c r="AF19" i="3"/>
  <c r="AE19" i="3"/>
  <c r="AD19" i="3"/>
  <c r="AC19" i="3"/>
  <c r="AB19" i="3"/>
  <c r="AA19" i="3"/>
  <c r="Z19" i="3"/>
  <c r="Y18" i="5" s="1"/>
  <c r="Y19" i="3"/>
  <c r="X18" i="5" s="1"/>
  <c r="X19" i="3"/>
  <c r="W18" i="5" s="1"/>
  <c r="W19" i="3"/>
  <c r="V18" i="5" s="1"/>
  <c r="V19" i="3"/>
  <c r="U18" i="5" s="1"/>
  <c r="U19" i="3"/>
  <c r="T18" i="5" s="1"/>
  <c r="T19" i="3"/>
  <c r="S18" i="5" s="1"/>
  <c r="S19" i="3"/>
  <c r="R18" i="5" s="1"/>
  <c r="R19" i="3"/>
  <c r="Q18" i="5" s="1"/>
  <c r="Q19" i="3"/>
  <c r="P18" i="5" s="1"/>
  <c r="P19" i="3"/>
  <c r="O18" i="5" s="1"/>
  <c r="AQ18" i="3"/>
  <c r="AP18" i="3"/>
  <c r="AO18" i="3"/>
  <c r="AN18" i="3"/>
  <c r="AM18" i="3"/>
  <c r="AL18" i="3"/>
  <c r="AK18" i="3"/>
  <c r="AJ18" i="3"/>
  <c r="AI18" i="3"/>
  <c r="AH18" i="3"/>
  <c r="AG18" i="3"/>
  <c r="AF18" i="3"/>
  <c r="AE18" i="3"/>
  <c r="AD18" i="3"/>
  <c r="AC18" i="3"/>
  <c r="AB18" i="3"/>
  <c r="AA18" i="3"/>
  <c r="Z18" i="3"/>
  <c r="Y17" i="5" s="1"/>
  <c r="Y18" i="3"/>
  <c r="X17" i="5" s="1"/>
  <c r="X18" i="3"/>
  <c r="W17" i="5" s="1"/>
  <c r="W18" i="3"/>
  <c r="V17" i="5" s="1"/>
  <c r="V18" i="3"/>
  <c r="U17" i="5" s="1"/>
  <c r="U18" i="3"/>
  <c r="T17" i="5" s="1"/>
  <c r="T18" i="3"/>
  <c r="S17" i="5" s="1"/>
  <c r="S18" i="3"/>
  <c r="R17" i="5" s="1"/>
  <c r="R18" i="3"/>
  <c r="Q17" i="5" s="1"/>
  <c r="Q18" i="3"/>
  <c r="P17" i="5" s="1"/>
  <c r="P18" i="3"/>
  <c r="O17" i="5" s="1"/>
  <c r="AQ17" i="3"/>
  <c r="AP17" i="3"/>
  <c r="AO17" i="3"/>
  <c r="AN17" i="3"/>
  <c r="AM17" i="3"/>
  <c r="AL17" i="3"/>
  <c r="AK17" i="3"/>
  <c r="AJ17" i="3"/>
  <c r="AI17" i="3"/>
  <c r="AH17" i="3"/>
  <c r="AG17" i="3"/>
  <c r="AF17" i="3"/>
  <c r="AE17" i="3"/>
  <c r="AD17" i="3"/>
  <c r="AC17" i="3"/>
  <c r="AB17" i="3"/>
  <c r="AA17" i="3"/>
  <c r="Z17" i="3"/>
  <c r="Y16" i="5" s="1"/>
  <c r="Y17" i="3"/>
  <c r="X16" i="5" s="1"/>
  <c r="X17" i="3"/>
  <c r="W16" i="5" s="1"/>
  <c r="W17" i="3"/>
  <c r="V16" i="5" s="1"/>
  <c r="V17" i="3"/>
  <c r="U16" i="5" s="1"/>
  <c r="U17" i="3"/>
  <c r="T16" i="5" s="1"/>
  <c r="T17" i="3"/>
  <c r="S16" i="5" s="1"/>
  <c r="S17" i="3"/>
  <c r="R16" i="5" s="1"/>
  <c r="R17" i="3"/>
  <c r="Q16" i="5" s="1"/>
  <c r="Q17" i="3"/>
  <c r="P16" i="5" s="1"/>
  <c r="P17" i="3"/>
  <c r="O16" i="5" s="1"/>
  <c r="AQ16" i="3"/>
  <c r="AP16" i="3"/>
  <c r="AO16" i="3"/>
  <c r="AN16" i="3"/>
  <c r="AM16" i="3"/>
  <c r="AL16" i="3"/>
  <c r="AK16" i="3"/>
  <c r="AJ16" i="3"/>
  <c r="AI16" i="3"/>
  <c r="AH16" i="3"/>
  <c r="AG16" i="3"/>
  <c r="AF16" i="3"/>
  <c r="AE16" i="3"/>
  <c r="AD16" i="3"/>
  <c r="AC16" i="3"/>
  <c r="AB16" i="3"/>
  <c r="AA16" i="3"/>
  <c r="Z16" i="3"/>
  <c r="Y15" i="5" s="1"/>
  <c r="Y16" i="3"/>
  <c r="X15" i="5" s="1"/>
  <c r="X16" i="3"/>
  <c r="W15" i="5" s="1"/>
  <c r="W16" i="3"/>
  <c r="V15" i="5" s="1"/>
  <c r="V16" i="3"/>
  <c r="U15" i="5" s="1"/>
  <c r="U16" i="3"/>
  <c r="T15" i="5" s="1"/>
  <c r="T16" i="3"/>
  <c r="S15" i="5" s="1"/>
  <c r="S16" i="3"/>
  <c r="R15" i="5" s="1"/>
  <c r="R16" i="3"/>
  <c r="Q15" i="5" s="1"/>
  <c r="Q16" i="3"/>
  <c r="P15" i="5" s="1"/>
  <c r="P16" i="3"/>
  <c r="O15" i="5" s="1"/>
  <c r="AQ15" i="3"/>
  <c r="AP15" i="3"/>
  <c r="AO15" i="3"/>
  <c r="AN15" i="3"/>
  <c r="AM15" i="3"/>
  <c r="AL15" i="3"/>
  <c r="AK15" i="3"/>
  <c r="AJ15" i="3"/>
  <c r="AI15" i="3"/>
  <c r="AH15" i="3"/>
  <c r="AG15" i="3"/>
  <c r="AF15" i="3"/>
  <c r="AE15" i="3"/>
  <c r="AD14" i="5" s="1"/>
  <c r="AD15" i="3"/>
  <c r="AC15" i="3"/>
  <c r="AB15" i="3"/>
  <c r="AA15" i="3"/>
  <c r="Z15" i="3"/>
  <c r="Y14" i="5" s="1"/>
  <c r="Y15" i="3"/>
  <c r="X14" i="5" s="1"/>
  <c r="X15" i="3"/>
  <c r="W14" i="5" s="1"/>
  <c r="W15" i="3"/>
  <c r="V14" i="5" s="1"/>
  <c r="V15" i="3"/>
  <c r="U14" i="5" s="1"/>
  <c r="U15" i="3"/>
  <c r="T14" i="5" s="1"/>
  <c r="T15" i="3"/>
  <c r="S14" i="5" s="1"/>
  <c r="S15" i="3"/>
  <c r="R14" i="5" s="1"/>
  <c r="R15" i="3"/>
  <c r="Q14" i="5" s="1"/>
  <c r="Q15" i="3"/>
  <c r="P14" i="5" s="1"/>
  <c r="P15" i="3"/>
  <c r="O14" i="5" s="1"/>
  <c r="AQ14" i="3"/>
  <c r="AP14" i="3"/>
  <c r="AO14" i="3"/>
  <c r="AN14" i="3"/>
  <c r="AM14" i="3"/>
  <c r="AL14" i="3"/>
  <c r="AK14" i="3"/>
  <c r="AJ14" i="3"/>
  <c r="AI14" i="3"/>
  <c r="AH14" i="3"/>
  <c r="AG14" i="3"/>
  <c r="AF14" i="3"/>
  <c r="AE14" i="3"/>
  <c r="AD14" i="3"/>
  <c r="AC14" i="3"/>
  <c r="AB14" i="3"/>
  <c r="AA14" i="3"/>
  <c r="Z14" i="3"/>
  <c r="Y13" i="5" s="1"/>
  <c r="Y14" i="3"/>
  <c r="X13" i="5" s="1"/>
  <c r="X14" i="3"/>
  <c r="W13" i="5" s="1"/>
  <c r="W14" i="3"/>
  <c r="V13" i="5" s="1"/>
  <c r="V14" i="3"/>
  <c r="U13" i="5" s="1"/>
  <c r="U14" i="3"/>
  <c r="T13" i="5" s="1"/>
  <c r="T14" i="3"/>
  <c r="S13" i="5" s="1"/>
  <c r="S14" i="3"/>
  <c r="R13" i="5" s="1"/>
  <c r="R14" i="3"/>
  <c r="Q13" i="5" s="1"/>
  <c r="Q14" i="3"/>
  <c r="P13" i="5" s="1"/>
  <c r="P14" i="3"/>
  <c r="O13" i="5" s="1"/>
  <c r="AQ13" i="3"/>
  <c r="AP13" i="3"/>
  <c r="AO13" i="3"/>
  <c r="AN13" i="3"/>
  <c r="AM13" i="3"/>
  <c r="AL13" i="3"/>
  <c r="AK13" i="3"/>
  <c r="AJ13" i="3"/>
  <c r="AI13" i="3"/>
  <c r="AH13" i="3"/>
  <c r="AG13" i="3"/>
  <c r="AF13" i="3"/>
  <c r="AE13" i="3"/>
  <c r="AD13" i="3"/>
  <c r="AC13" i="3"/>
  <c r="AB13" i="3"/>
  <c r="AA13" i="3"/>
  <c r="Z13" i="3"/>
  <c r="Y12" i="5" s="1"/>
  <c r="Y13" i="3"/>
  <c r="X12" i="5" s="1"/>
  <c r="X13" i="3"/>
  <c r="W12" i="5" s="1"/>
  <c r="W13" i="3"/>
  <c r="V12" i="5" s="1"/>
  <c r="V13" i="3"/>
  <c r="U12" i="5" s="1"/>
  <c r="T12" i="5"/>
  <c r="S12" i="5"/>
  <c r="R12" i="5"/>
  <c r="Q12" i="5"/>
  <c r="P12" i="5"/>
  <c r="O12" i="5"/>
  <c r="AQ12" i="3"/>
  <c r="AP12" i="3"/>
  <c r="AO12" i="3"/>
  <c r="AN12" i="3"/>
  <c r="AM12" i="3"/>
  <c r="AL12" i="3"/>
  <c r="AK12" i="3"/>
  <c r="AJ12" i="3"/>
  <c r="AI12" i="3"/>
  <c r="AH12" i="3"/>
  <c r="AG12" i="3"/>
  <c r="AF12" i="3"/>
  <c r="AE12" i="3"/>
  <c r="AD12" i="3"/>
  <c r="AC12" i="3"/>
  <c r="AB12" i="3"/>
  <c r="AA12" i="3"/>
  <c r="Z12" i="3"/>
  <c r="Y11" i="5" s="1"/>
  <c r="Y12" i="3"/>
  <c r="X11" i="5" s="1"/>
  <c r="X12" i="3"/>
  <c r="W11" i="5" s="1"/>
  <c r="W12" i="3"/>
  <c r="V11" i="5" s="1"/>
  <c r="V12" i="3"/>
  <c r="U11" i="5" s="1"/>
  <c r="U12" i="3"/>
  <c r="T11" i="5" s="1"/>
  <c r="T12" i="3"/>
  <c r="S11" i="5" s="1"/>
  <c r="S12" i="3"/>
  <c r="R11" i="5" s="1"/>
  <c r="R12" i="3"/>
  <c r="Q11" i="5" s="1"/>
  <c r="Q12" i="3"/>
  <c r="P11" i="5" s="1"/>
  <c r="P12" i="3"/>
  <c r="O11" i="5" s="1"/>
  <c r="AQ11" i="3"/>
  <c r="AP11" i="3"/>
  <c r="AO11" i="3"/>
  <c r="AN11" i="3"/>
  <c r="AM11" i="3"/>
  <c r="AL11" i="3"/>
  <c r="AK11" i="3"/>
  <c r="AJ11" i="3"/>
  <c r="AI11" i="3"/>
  <c r="AH11" i="3"/>
  <c r="AG11" i="3"/>
  <c r="AF11" i="3"/>
  <c r="AE11" i="3"/>
  <c r="AD11" i="3"/>
  <c r="AC11" i="3"/>
  <c r="AB11" i="3"/>
  <c r="AA11" i="3"/>
  <c r="Z11" i="3"/>
  <c r="Y10" i="5" s="1"/>
  <c r="Y11" i="3"/>
  <c r="X10" i="5" s="1"/>
  <c r="X11" i="3"/>
  <c r="W10" i="5" s="1"/>
  <c r="W11" i="3"/>
  <c r="V10" i="5" s="1"/>
  <c r="V11" i="3"/>
  <c r="U10" i="5" s="1"/>
  <c r="U11" i="3"/>
  <c r="T10" i="5" s="1"/>
  <c r="T11" i="3"/>
  <c r="S10" i="5" s="1"/>
  <c r="S11" i="3"/>
  <c r="R10" i="5" s="1"/>
  <c r="R11" i="3"/>
  <c r="Q10" i="5" s="1"/>
  <c r="Q11" i="3"/>
  <c r="P10" i="5" s="1"/>
  <c r="P11" i="3"/>
  <c r="O10" i="5" s="1"/>
  <c r="AQ10" i="3"/>
  <c r="AP10" i="3"/>
  <c r="AO10" i="3"/>
  <c r="AN10" i="3"/>
  <c r="AM10" i="3"/>
  <c r="AL10" i="3"/>
  <c r="AK9" i="5" s="1"/>
  <c r="AK10" i="3"/>
  <c r="AJ10" i="3"/>
  <c r="AI10" i="3"/>
  <c r="AH10" i="3"/>
  <c r="AG10" i="3"/>
  <c r="AF10" i="3"/>
  <c r="AE10" i="3"/>
  <c r="AD10" i="3"/>
  <c r="AC10" i="3"/>
  <c r="AB10" i="3"/>
  <c r="AA10" i="3"/>
  <c r="Z9" i="5" s="1"/>
  <c r="Z10" i="3"/>
  <c r="Y9" i="5" s="1"/>
  <c r="Y10" i="3"/>
  <c r="X9" i="5" s="1"/>
  <c r="X10" i="3"/>
  <c r="W9" i="5" s="1"/>
  <c r="W10" i="3"/>
  <c r="V9" i="5" s="1"/>
  <c r="V10" i="3"/>
  <c r="U9" i="5" s="1"/>
  <c r="T9" i="5"/>
  <c r="S9" i="5"/>
  <c r="R9" i="5"/>
  <c r="Q9" i="5"/>
  <c r="P9" i="5"/>
  <c r="AQ9" i="3"/>
  <c r="AP9" i="3"/>
  <c r="AO9" i="3"/>
  <c r="AN9" i="3"/>
  <c r="AM9" i="3"/>
  <c r="AL9" i="3"/>
  <c r="AK9" i="3"/>
  <c r="AJ9" i="3"/>
  <c r="AI9" i="3"/>
  <c r="AH9" i="3"/>
  <c r="AG9" i="3"/>
  <c r="AF9" i="3"/>
  <c r="AE9" i="3"/>
  <c r="AD9" i="3"/>
  <c r="AC9" i="3"/>
  <c r="AB9" i="3"/>
  <c r="AA9" i="3"/>
  <c r="Z9" i="3"/>
  <c r="Y8" i="5" s="1"/>
  <c r="Y9" i="3"/>
  <c r="X8" i="5" s="1"/>
  <c r="X9" i="3"/>
  <c r="W8" i="5" s="1"/>
  <c r="W9" i="3"/>
  <c r="V8" i="5" s="1"/>
  <c r="V9" i="3"/>
  <c r="U8" i="5" s="1"/>
  <c r="T8" i="5"/>
  <c r="S8" i="5"/>
  <c r="R8" i="5"/>
  <c r="Q8" i="5"/>
  <c r="P8" i="5"/>
  <c r="O8" i="5"/>
  <c r="AQ8" i="3"/>
  <c r="AP8" i="3"/>
  <c r="AO8" i="3"/>
  <c r="AN8" i="3"/>
  <c r="AM8" i="3"/>
  <c r="AL8" i="3"/>
  <c r="AK8" i="3"/>
  <c r="AJ8" i="3"/>
  <c r="AI8" i="3"/>
  <c r="AH8" i="3"/>
  <c r="AG8" i="3"/>
  <c r="AF7" i="5" s="1"/>
  <c r="AF8" i="3"/>
  <c r="AE8" i="3"/>
  <c r="AD8" i="3"/>
  <c r="AC8" i="3"/>
  <c r="AB7" i="5" s="1"/>
  <c r="AB8" i="3"/>
  <c r="AA8" i="3"/>
  <c r="Z8" i="3"/>
  <c r="Y7" i="5" s="1"/>
  <c r="Y8" i="3"/>
  <c r="X7" i="5" s="1"/>
  <c r="X8" i="3"/>
  <c r="W7" i="5" s="1"/>
  <c r="W8" i="3"/>
  <c r="V7" i="5" s="1"/>
  <c r="V8" i="3"/>
  <c r="U7" i="5" s="1"/>
  <c r="T7" i="5"/>
  <c r="S7" i="5"/>
  <c r="R7" i="5"/>
  <c r="Q7" i="5"/>
  <c r="P7" i="5"/>
  <c r="AQ6" i="3"/>
  <c r="AP6" i="3"/>
  <c r="AO6" i="3"/>
  <c r="AN6" i="3"/>
  <c r="AM6" i="3"/>
  <c r="AL6" i="3"/>
  <c r="AK6" i="3"/>
  <c r="AJ6" i="3"/>
  <c r="AI6" i="3"/>
  <c r="AH6" i="3"/>
  <c r="AG6" i="3"/>
  <c r="AF6" i="3"/>
  <c r="AE6" i="3"/>
  <c r="AD6" i="3"/>
  <c r="AC6" i="3"/>
  <c r="AB6" i="3"/>
  <c r="AA6" i="3"/>
  <c r="Z6" i="3"/>
  <c r="Y6" i="3"/>
  <c r="X6" i="3"/>
  <c r="W6" i="3"/>
  <c r="V6" i="3"/>
  <c r="U6" i="3"/>
  <c r="T6" i="3"/>
  <c r="S6" i="3"/>
  <c r="R6" i="3"/>
  <c r="Q6" i="3"/>
  <c r="P6" i="3"/>
  <c r="AI375" i="2"/>
  <c r="AH375" i="2"/>
  <c r="AG375" i="2"/>
  <c r="AF375" i="2"/>
  <c r="AE375" i="2"/>
  <c r="AD375" i="2"/>
  <c r="AC375" i="2"/>
  <c r="AB375" i="2"/>
  <c r="AA375" i="2"/>
  <c r="Z375" i="2"/>
  <c r="Y375" i="2"/>
  <c r="H374" i="2"/>
  <c r="G373" i="2"/>
  <c r="AI372" i="2"/>
  <c r="AH372" i="2"/>
  <c r="AG372" i="2"/>
  <c r="AF372" i="2"/>
  <c r="AE372" i="2"/>
  <c r="AD372" i="2"/>
  <c r="AC372" i="2"/>
  <c r="AB372" i="2"/>
  <c r="AA372" i="2"/>
  <c r="Z372" i="2"/>
  <c r="Y372" i="2"/>
  <c r="H371" i="2"/>
  <c r="G370" i="2"/>
  <c r="AI368" i="2"/>
  <c r="AI377" i="2" s="1"/>
  <c r="AH368" i="2"/>
  <c r="AH377" i="2" s="1"/>
  <c r="AG368" i="2"/>
  <c r="AF368" i="2"/>
  <c r="AF377" i="2" s="1"/>
  <c r="AE368" i="2"/>
  <c r="AE377" i="2" s="1"/>
  <c r="AD368" i="2"/>
  <c r="AD377" i="2" s="1"/>
  <c r="AC368" i="2"/>
  <c r="AC377" i="2" s="1"/>
  <c r="AB368" i="2"/>
  <c r="AB377" i="2" s="1"/>
  <c r="AA368" i="2"/>
  <c r="AA377" i="2" s="1"/>
  <c r="Z368" i="2"/>
  <c r="Z377" i="2" s="1"/>
  <c r="Y368" i="2"/>
  <c r="Y377" i="2" s="1"/>
  <c r="AZ9" i="2"/>
  <c r="AZ11" i="2" s="1"/>
  <c r="AY9" i="2"/>
  <c r="AY11" i="2" s="1"/>
  <c r="AX9" i="2"/>
  <c r="AX11" i="2" s="1"/>
  <c r="AV9" i="2"/>
  <c r="AV11" i="2" s="1"/>
  <c r="AR9" i="2"/>
  <c r="AR11" i="2" s="1"/>
  <c r="AK9" i="2"/>
  <c r="AK11" i="2" s="1"/>
  <c r="AJ9" i="2"/>
  <c r="AJ11" i="2" s="1"/>
  <c r="AI367" i="2"/>
  <c r="AG367" i="2"/>
  <c r="AG376" i="2" s="1"/>
  <c r="AG9" i="2" s="1"/>
  <c r="AG11" i="2" s="1"/>
  <c r="AF367" i="2"/>
  <c r="AF376" i="2" s="1"/>
  <c r="AE367" i="2"/>
  <c r="AE376" i="2" s="1"/>
  <c r="AD367" i="2"/>
  <c r="AD376" i="2" s="1"/>
  <c r="AD9" i="2" s="1"/>
  <c r="AD11" i="2" s="1"/>
  <c r="AC367" i="2"/>
  <c r="AC376" i="2" s="1"/>
  <c r="AB367" i="2"/>
  <c r="AB376" i="2" s="1"/>
  <c r="AA367" i="2"/>
  <c r="AA376" i="2" s="1"/>
  <c r="Z367" i="2"/>
  <c r="Z376" i="2" s="1"/>
  <c r="Y367" i="2"/>
  <c r="Y376" i="2" s="1"/>
  <c r="AI365" i="2"/>
  <c r="AH365" i="2"/>
  <c r="AH380" i="2" s="1"/>
  <c r="AG365" i="2"/>
  <c r="AG380" i="2" s="1"/>
  <c r="AF365" i="2"/>
  <c r="AF380" i="2" s="1"/>
  <c r="AE365" i="2"/>
  <c r="AE380" i="2" s="1"/>
  <c r="AD365" i="2"/>
  <c r="AD380" i="2" s="1"/>
  <c r="AC365" i="2"/>
  <c r="AC380" i="2" s="1"/>
  <c r="AB365" i="2"/>
  <c r="AB380" i="2" s="1"/>
  <c r="AA365" i="2"/>
  <c r="AA380" i="2" s="1"/>
  <c r="Z365" i="2"/>
  <c r="Z380" i="2" s="1"/>
  <c r="Y365" i="2"/>
  <c r="Y380" i="2" s="1"/>
  <c r="AZ12" i="2"/>
  <c r="AZ14" i="2" s="1"/>
  <c r="AW12" i="2"/>
  <c r="AW14" i="2" s="1"/>
  <c r="AV12" i="2"/>
  <c r="AV14" i="2" s="1"/>
  <c r="AU12" i="2"/>
  <c r="AU14" i="2" s="1"/>
  <c r="AT12" i="2"/>
  <c r="AT14" i="2" s="1"/>
  <c r="AS12" i="2"/>
  <c r="AS14" i="2" s="1"/>
  <c r="AR12" i="2"/>
  <c r="AR14" i="2" s="1"/>
  <c r="AQ12" i="2"/>
  <c r="AQ14" i="2" s="1"/>
  <c r="AP12" i="2"/>
  <c r="AP14" i="2" s="1"/>
  <c r="AO12" i="2"/>
  <c r="AO14" i="2" s="1"/>
  <c r="AM12" i="2"/>
  <c r="AM14" i="2" s="1"/>
  <c r="AL12" i="2"/>
  <c r="AL14" i="2" s="1"/>
  <c r="AI364" i="2"/>
  <c r="AI379" i="2" s="1"/>
  <c r="AI12" i="2" s="1"/>
  <c r="AI14" i="2" s="1"/>
  <c r="AH364" i="2"/>
  <c r="AH379" i="2" s="1"/>
  <c r="AH12" i="2" s="1"/>
  <c r="AH14" i="2" s="1"/>
  <c r="AG364" i="2"/>
  <c r="AG379" i="2" s="1"/>
  <c r="AG12" i="2" s="1"/>
  <c r="AG14" i="2" s="1"/>
  <c r="AF364" i="2"/>
  <c r="AF379" i="2" s="1"/>
  <c r="AF12" i="2" s="1"/>
  <c r="AF14" i="2" s="1"/>
  <c r="AE364" i="2"/>
  <c r="AE379" i="2" s="1"/>
  <c r="AE12" i="2" s="1"/>
  <c r="AE14" i="2" s="1"/>
  <c r="AD364" i="2"/>
  <c r="AD379" i="2" s="1"/>
  <c r="AD12" i="2" s="1"/>
  <c r="AD14" i="2" s="1"/>
  <c r="AC364" i="2"/>
  <c r="AC379" i="2" s="1"/>
  <c r="AC12" i="2" s="1"/>
  <c r="AC14" i="2" s="1"/>
  <c r="AB364" i="2"/>
  <c r="AB379" i="2" s="1"/>
  <c r="AB12" i="2" s="1"/>
  <c r="AB14" i="2" s="1"/>
  <c r="AA364" i="2"/>
  <c r="AA379" i="2" s="1"/>
  <c r="AA12" i="2" s="1"/>
  <c r="AA14" i="2" s="1"/>
  <c r="Z364" i="2"/>
  <c r="Y364" i="2"/>
  <c r="Y379" i="2" s="1"/>
  <c r="Y12" i="2" s="1"/>
  <c r="Y14" i="2" s="1"/>
  <c r="AI362" i="2"/>
  <c r="AH362" i="2"/>
  <c r="AG362" i="2"/>
  <c r="AF362" i="2"/>
  <c r="AE362" i="2"/>
  <c r="AD362" i="2"/>
  <c r="AC362" i="2"/>
  <c r="AB362" i="2"/>
  <c r="AA362" i="2"/>
  <c r="Z362" i="2"/>
  <c r="Y362" i="2"/>
  <c r="H359" i="2"/>
  <c r="G359" i="2"/>
  <c r="AI358" i="2"/>
  <c r="AH358" i="2"/>
  <c r="AG358" i="2"/>
  <c r="AF358" i="2"/>
  <c r="AE358" i="2"/>
  <c r="AD358" i="2"/>
  <c r="AC358" i="2"/>
  <c r="AB358" i="2"/>
  <c r="AA358" i="2"/>
  <c r="Z358" i="2"/>
  <c r="Y358" i="2"/>
  <c r="H356" i="2"/>
  <c r="G356" i="2"/>
  <c r="AI355" i="2"/>
  <c r="AH355" i="2"/>
  <c r="AG355" i="2"/>
  <c r="AF355" i="2"/>
  <c r="AE355" i="2"/>
  <c r="AD355" i="2"/>
  <c r="AC355" i="2"/>
  <c r="AB355" i="2"/>
  <c r="AA355" i="2"/>
  <c r="Z355" i="2"/>
  <c r="Y355" i="2"/>
  <c r="H352" i="2"/>
  <c r="G352" i="2"/>
  <c r="AI351" i="2"/>
  <c r="AH351" i="2"/>
  <c r="AG351" i="2"/>
  <c r="AF351" i="2"/>
  <c r="AE351" i="2"/>
  <c r="AD351" i="2"/>
  <c r="AC351" i="2"/>
  <c r="AB351" i="2"/>
  <c r="AA351" i="2"/>
  <c r="Z351" i="2"/>
  <c r="Y351" i="2"/>
  <c r="H348" i="2"/>
  <c r="G348" i="2"/>
  <c r="AI347" i="2"/>
  <c r="AH347" i="2"/>
  <c r="AG347" i="2"/>
  <c r="AF347" i="2"/>
  <c r="AE347" i="2"/>
  <c r="AD347" i="2"/>
  <c r="AC347" i="2"/>
  <c r="AB347" i="2"/>
  <c r="AA347" i="2"/>
  <c r="Z347" i="2"/>
  <c r="Y347" i="2"/>
  <c r="H344" i="2"/>
  <c r="G344" i="2"/>
  <c r="AI343" i="2"/>
  <c r="AH343" i="2"/>
  <c r="AG343" i="2"/>
  <c r="AF343" i="2"/>
  <c r="AE343" i="2"/>
  <c r="AD343" i="2"/>
  <c r="AC343" i="2"/>
  <c r="AB343" i="2"/>
  <c r="AA343" i="2"/>
  <c r="Z343" i="2"/>
  <c r="Y343" i="2"/>
  <c r="H340" i="2"/>
  <c r="G340" i="2"/>
  <c r="AI339" i="2"/>
  <c r="AH339" i="2"/>
  <c r="AG339" i="2"/>
  <c r="AF339" i="2"/>
  <c r="AE339" i="2"/>
  <c r="AD339" i="2"/>
  <c r="AC339" i="2"/>
  <c r="AB339" i="2"/>
  <c r="AA339" i="2"/>
  <c r="Z339" i="2"/>
  <c r="Y339" i="2"/>
  <c r="H336" i="2"/>
  <c r="G336" i="2"/>
  <c r="AI335" i="2"/>
  <c r="AH335" i="2"/>
  <c r="AG335" i="2"/>
  <c r="AF335" i="2"/>
  <c r="AE335" i="2"/>
  <c r="AD335" i="2"/>
  <c r="AC335" i="2"/>
  <c r="AB335" i="2"/>
  <c r="AA335" i="2"/>
  <c r="Z335" i="2"/>
  <c r="Y335" i="2"/>
  <c r="H332" i="2"/>
  <c r="G332" i="2"/>
  <c r="AI331" i="2"/>
  <c r="AH331" i="2"/>
  <c r="AG331" i="2"/>
  <c r="AF331" i="2"/>
  <c r="AE331" i="2"/>
  <c r="AD331" i="2"/>
  <c r="AC331" i="2"/>
  <c r="AB331" i="2"/>
  <c r="AA331" i="2"/>
  <c r="Z331" i="2"/>
  <c r="Y331" i="2"/>
  <c r="H328" i="2"/>
  <c r="G328" i="2"/>
  <c r="AI327" i="2"/>
  <c r="AH327" i="2"/>
  <c r="AG327" i="2"/>
  <c r="AF327" i="2"/>
  <c r="AE327" i="2"/>
  <c r="AD327" i="2"/>
  <c r="AC327" i="2"/>
  <c r="AB327" i="2"/>
  <c r="AA327" i="2"/>
  <c r="Z327" i="2"/>
  <c r="Y327" i="2"/>
  <c r="H324" i="2"/>
  <c r="G324" i="2"/>
  <c r="AI323" i="2"/>
  <c r="AH323" i="2"/>
  <c r="AG323" i="2"/>
  <c r="AF323" i="2"/>
  <c r="AE323" i="2"/>
  <c r="AD323" i="2"/>
  <c r="AC323" i="2"/>
  <c r="AB323" i="2"/>
  <c r="AA323" i="2"/>
  <c r="Z323" i="2"/>
  <c r="Y323" i="2"/>
  <c r="H320" i="2"/>
  <c r="G320" i="2"/>
  <c r="AI319" i="2"/>
  <c r="AH319" i="2"/>
  <c r="AG319" i="2"/>
  <c r="AF319" i="2"/>
  <c r="AE319" i="2"/>
  <c r="AD319" i="2"/>
  <c r="AC319" i="2"/>
  <c r="AB319" i="2"/>
  <c r="AA319" i="2"/>
  <c r="Z319" i="2"/>
  <c r="Y319" i="2"/>
  <c r="H317" i="2"/>
  <c r="G317" i="2"/>
  <c r="AI316" i="2"/>
  <c r="AH316" i="2"/>
  <c r="AG316" i="2"/>
  <c r="AF316" i="2"/>
  <c r="AE316" i="2"/>
  <c r="AD316" i="2"/>
  <c r="AC316" i="2"/>
  <c r="AB316" i="2"/>
  <c r="AA316" i="2"/>
  <c r="Z316" i="2"/>
  <c r="Y316" i="2"/>
  <c r="H313" i="2"/>
  <c r="G313" i="2"/>
  <c r="AI312" i="2"/>
  <c r="AH312" i="2"/>
  <c r="AG312" i="2"/>
  <c r="AF312" i="2"/>
  <c r="AE312" i="2"/>
  <c r="AD312" i="2"/>
  <c r="AC312" i="2"/>
  <c r="AB312" i="2"/>
  <c r="AA312" i="2"/>
  <c r="Z312" i="2"/>
  <c r="Y312" i="2"/>
  <c r="H309" i="2"/>
  <c r="G309" i="2"/>
  <c r="AI308" i="2"/>
  <c r="AH308" i="2"/>
  <c r="AG308" i="2"/>
  <c r="AF308" i="2"/>
  <c r="AE308" i="2"/>
  <c r="AD308" i="2"/>
  <c r="AC308" i="2"/>
  <c r="AB308" i="2"/>
  <c r="AA308" i="2"/>
  <c r="Z308" i="2"/>
  <c r="Y308" i="2"/>
  <c r="H305" i="2"/>
  <c r="G305" i="2"/>
  <c r="AI304" i="2"/>
  <c r="AH304" i="2"/>
  <c r="AG304" i="2"/>
  <c r="AF304" i="2"/>
  <c r="AE304" i="2"/>
  <c r="AD304" i="2"/>
  <c r="AC304" i="2"/>
  <c r="AB304" i="2"/>
  <c r="AA304" i="2"/>
  <c r="Z304" i="2"/>
  <c r="Y304" i="2"/>
  <c r="H301" i="2"/>
  <c r="G301" i="2"/>
  <c r="AI300" i="2"/>
  <c r="AH300" i="2"/>
  <c r="AG300" i="2"/>
  <c r="AF300" i="2"/>
  <c r="AE300" i="2"/>
  <c r="AD300" i="2"/>
  <c r="AC300" i="2"/>
  <c r="AB300" i="2"/>
  <c r="AA300" i="2"/>
  <c r="Z300" i="2"/>
  <c r="Y300" i="2"/>
  <c r="H298" i="2"/>
  <c r="G298" i="2"/>
  <c r="AI297" i="2"/>
  <c r="AH297" i="2"/>
  <c r="AG297" i="2"/>
  <c r="AF297" i="2"/>
  <c r="AE297" i="2"/>
  <c r="AD297" i="2"/>
  <c r="AC297" i="2"/>
  <c r="AB297" i="2"/>
  <c r="AA297" i="2"/>
  <c r="Z297" i="2"/>
  <c r="Y297" i="2"/>
  <c r="H294" i="2"/>
  <c r="G294" i="2"/>
  <c r="AI293" i="2"/>
  <c r="AH293" i="2"/>
  <c r="AG293" i="2"/>
  <c r="AF293" i="2"/>
  <c r="AE293" i="2"/>
  <c r="AD293" i="2"/>
  <c r="AC293" i="2"/>
  <c r="AB293" i="2"/>
  <c r="AA293" i="2"/>
  <c r="Z293" i="2"/>
  <c r="Y293" i="2"/>
  <c r="H290" i="2"/>
  <c r="G290" i="2"/>
  <c r="AI289" i="2"/>
  <c r="AH289" i="2"/>
  <c r="AG289" i="2"/>
  <c r="AF289" i="2"/>
  <c r="AE289" i="2"/>
  <c r="AD289" i="2"/>
  <c r="AC289" i="2"/>
  <c r="AB289" i="2"/>
  <c r="AA289" i="2"/>
  <c r="Z289" i="2"/>
  <c r="Y289" i="2"/>
  <c r="H286" i="2"/>
  <c r="G286" i="2"/>
  <c r="AI285" i="2"/>
  <c r="AH285" i="2"/>
  <c r="AG285" i="2"/>
  <c r="AF285" i="2"/>
  <c r="AE285" i="2"/>
  <c r="AD285" i="2"/>
  <c r="AC285" i="2"/>
  <c r="AB285" i="2"/>
  <c r="AA285" i="2"/>
  <c r="Z285" i="2"/>
  <c r="Y285" i="2"/>
  <c r="H282" i="2"/>
  <c r="G282" i="2"/>
  <c r="AI281" i="2"/>
  <c r="AH281" i="2"/>
  <c r="AG281" i="2"/>
  <c r="AF281" i="2"/>
  <c r="AE281" i="2"/>
  <c r="AD281" i="2"/>
  <c r="AC281" i="2"/>
  <c r="AB281" i="2"/>
  <c r="AA281" i="2"/>
  <c r="Z281" i="2"/>
  <c r="Y281" i="2"/>
  <c r="H278" i="2"/>
  <c r="G278" i="2"/>
  <c r="AI277" i="2"/>
  <c r="AH277" i="2"/>
  <c r="AG277" i="2"/>
  <c r="AF277" i="2"/>
  <c r="AE277" i="2"/>
  <c r="AD277" i="2"/>
  <c r="AC277" i="2"/>
  <c r="AB277" i="2"/>
  <c r="AA277" i="2"/>
  <c r="Z277" i="2"/>
  <c r="Y277" i="2"/>
  <c r="H274" i="2"/>
  <c r="G274" i="2"/>
  <c r="AI273" i="2"/>
  <c r="AH273" i="2"/>
  <c r="AG273" i="2"/>
  <c r="AF273" i="2"/>
  <c r="AE273" i="2"/>
  <c r="AD273" i="2"/>
  <c r="AC273" i="2"/>
  <c r="AB273" i="2"/>
  <c r="AA273" i="2"/>
  <c r="Z273" i="2"/>
  <c r="Y273" i="2"/>
  <c r="H270" i="2"/>
  <c r="G270" i="2"/>
  <c r="AI269" i="2"/>
  <c r="AH269" i="2"/>
  <c r="AG269" i="2"/>
  <c r="AF269" i="2"/>
  <c r="AE269" i="2"/>
  <c r="AD269" i="2"/>
  <c r="AC269" i="2"/>
  <c r="AB269" i="2"/>
  <c r="AA269" i="2"/>
  <c r="Z269" i="2"/>
  <c r="Y269" i="2"/>
  <c r="H266" i="2"/>
  <c r="G266" i="2"/>
  <c r="AI265" i="2"/>
  <c r="AH265" i="2"/>
  <c r="AG265" i="2"/>
  <c r="AF265" i="2"/>
  <c r="AE265" i="2"/>
  <c r="AD265" i="2"/>
  <c r="AC265" i="2"/>
  <c r="AB265" i="2"/>
  <c r="AA265" i="2"/>
  <c r="Z265" i="2"/>
  <c r="Y265" i="2"/>
  <c r="H262" i="2"/>
  <c r="G262" i="2"/>
  <c r="AI261" i="2"/>
  <c r="AH261" i="2"/>
  <c r="AG261" i="2"/>
  <c r="AF261" i="2"/>
  <c r="AE261" i="2"/>
  <c r="AD261" i="2"/>
  <c r="AC261" i="2"/>
  <c r="AB261" i="2"/>
  <c r="AA261" i="2"/>
  <c r="Z261" i="2"/>
  <c r="Y261" i="2"/>
  <c r="H259" i="2"/>
  <c r="G259" i="2"/>
  <c r="AI258" i="2"/>
  <c r="AH258" i="2"/>
  <c r="AG258" i="2"/>
  <c r="AF258" i="2"/>
  <c r="AE258" i="2"/>
  <c r="AD258" i="2"/>
  <c r="AC258" i="2"/>
  <c r="AB258" i="2"/>
  <c r="AA258" i="2"/>
  <c r="Z258" i="2"/>
  <c r="Y258" i="2"/>
  <c r="H255" i="2"/>
  <c r="G255" i="2"/>
  <c r="AI254" i="2"/>
  <c r="AH254" i="2"/>
  <c r="AG254" i="2"/>
  <c r="AF254" i="2"/>
  <c r="AE254" i="2"/>
  <c r="AD254" i="2"/>
  <c r="AC254" i="2"/>
  <c r="AB254" i="2"/>
  <c r="AA254" i="2"/>
  <c r="Z254" i="2"/>
  <c r="Y254" i="2"/>
  <c r="H251" i="2"/>
  <c r="G251" i="2"/>
  <c r="AI250" i="2"/>
  <c r="AH250" i="2"/>
  <c r="AG250" i="2"/>
  <c r="AF250" i="2"/>
  <c r="AE250" i="2"/>
  <c r="AD250" i="2"/>
  <c r="AC250" i="2"/>
  <c r="AB250" i="2"/>
  <c r="AA250" i="2"/>
  <c r="Z250" i="2"/>
  <c r="Y250" i="2"/>
  <c r="H247" i="2"/>
  <c r="G247" i="2"/>
  <c r="AI246" i="2"/>
  <c r="AH246" i="2"/>
  <c r="AG246" i="2"/>
  <c r="AF246" i="2"/>
  <c r="AE246" i="2"/>
  <c r="AD246" i="2"/>
  <c r="AC246" i="2"/>
  <c r="AB246" i="2"/>
  <c r="AA246" i="2"/>
  <c r="Z246" i="2"/>
  <c r="Y246" i="2"/>
  <c r="H244" i="2"/>
  <c r="G244" i="2"/>
  <c r="AI243" i="2"/>
  <c r="AH243" i="2"/>
  <c r="AG243" i="2"/>
  <c r="AF243" i="2"/>
  <c r="AE243" i="2"/>
  <c r="AD243" i="2"/>
  <c r="AC243" i="2"/>
  <c r="AB243" i="2"/>
  <c r="AA243" i="2"/>
  <c r="Z243" i="2"/>
  <c r="Y243" i="2"/>
  <c r="H241" i="2"/>
  <c r="G241" i="2"/>
  <c r="AI240" i="2"/>
  <c r="AH240" i="2"/>
  <c r="AG240" i="2"/>
  <c r="AF240" i="2"/>
  <c r="AE240" i="2"/>
  <c r="AD240" i="2"/>
  <c r="AC240" i="2"/>
  <c r="AB240" i="2"/>
  <c r="AA240" i="2"/>
  <c r="Z240" i="2"/>
  <c r="Y240" i="2"/>
  <c r="H237" i="2"/>
  <c r="G237" i="2"/>
  <c r="AI236" i="2"/>
  <c r="AH236" i="2"/>
  <c r="AG236" i="2"/>
  <c r="AF236" i="2"/>
  <c r="AE236" i="2"/>
  <c r="AD236" i="2"/>
  <c r="AC236" i="2"/>
  <c r="AB236" i="2"/>
  <c r="AA236" i="2"/>
  <c r="Z236" i="2"/>
  <c r="Y236" i="2"/>
  <c r="H233" i="2"/>
  <c r="G233" i="2"/>
  <c r="AI232" i="2"/>
  <c r="AH232" i="2"/>
  <c r="AG232" i="2"/>
  <c r="AF232" i="2"/>
  <c r="AE232" i="2"/>
  <c r="AD232" i="2"/>
  <c r="AC232" i="2"/>
  <c r="AB232" i="2"/>
  <c r="AA232" i="2"/>
  <c r="Z232" i="2"/>
  <c r="Y232" i="2"/>
  <c r="H230" i="2"/>
  <c r="G230" i="2"/>
  <c r="AI229" i="2"/>
  <c r="AH229" i="2"/>
  <c r="AG229" i="2"/>
  <c r="AF229" i="2"/>
  <c r="AE229" i="2"/>
  <c r="AD229" i="2"/>
  <c r="AC229" i="2"/>
  <c r="AB229" i="2"/>
  <c r="AA229" i="2"/>
  <c r="Z229" i="2"/>
  <c r="Y229" i="2"/>
  <c r="H227" i="2"/>
  <c r="G227" i="2"/>
  <c r="AI226" i="2"/>
  <c r="AH226" i="2"/>
  <c r="AG226" i="2"/>
  <c r="AF226" i="2"/>
  <c r="AE226" i="2"/>
  <c r="AD226" i="2"/>
  <c r="AC226" i="2"/>
  <c r="AB226" i="2"/>
  <c r="AA226" i="2"/>
  <c r="Z226" i="2"/>
  <c r="Y226" i="2"/>
  <c r="H224" i="2"/>
  <c r="G224" i="2"/>
  <c r="AI223" i="2"/>
  <c r="AH223" i="2"/>
  <c r="AG223" i="2"/>
  <c r="AF223" i="2"/>
  <c r="AE223" i="2"/>
  <c r="AD223" i="2"/>
  <c r="AC223" i="2"/>
  <c r="AB223" i="2"/>
  <c r="AA223" i="2"/>
  <c r="Z223" i="2"/>
  <c r="Y223" i="2"/>
  <c r="H221" i="2"/>
  <c r="G221" i="2"/>
  <c r="AI220" i="2"/>
  <c r="AH220" i="2"/>
  <c r="AG220" i="2"/>
  <c r="AF220" i="2"/>
  <c r="AE220" i="2"/>
  <c r="AD220" i="2"/>
  <c r="AC220" i="2"/>
  <c r="AB220" i="2"/>
  <c r="AA220" i="2"/>
  <c r="Z220" i="2"/>
  <c r="Y220" i="2"/>
  <c r="H218" i="2"/>
  <c r="G218" i="2"/>
  <c r="AI217" i="2"/>
  <c r="AH217" i="2"/>
  <c r="AG217" i="2"/>
  <c r="AF217" i="2"/>
  <c r="AE217" i="2"/>
  <c r="AD217" i="2"/>
  <c r="AC217" i="2"/>
  <c r="AB217" i="2"/>
  <c r="AA217" i="2"/>
  <c r="Z217" i="2"/>
  <c r="Y217" i="2"/>
  <c r="H214" i="2"/>
  <c r="G214" i="2"/>
  <c r="AI213" i="2"/>
  <c r="AH213" i="2"/>
  <c r="AG213" i="2"/>
  <c r="AF213" i="2"/>
  <c r="AE213" i="2"/>
  <c r="AD213" i="2"/>
  <c r="AC213" i="2"/>
  <c r="AB213" i="2"/>
  <c r="AA213" i="2"/>
  <c r="Z213" i="2"/>
  <c r="Y213" i="2"/>
  <c r="H210" i="2"/>
  <c r="G210" i="2"/>
  <c r="AI209" i="2"/>
  <c r="AH209" i="2"/>
  <c r="AG209" i="2"/>
  <c r="AF209" i="2"/>
  <c r="AE209" i="2"/>
  <c r="AD209" i="2"/>
  <c r="AC209" i="2"/>
  <c r="AB209" i="2"/>
  <c r="AA209" i="2"/>
  <c r="Z209" i="2"/>
  <c r="Y209" i="2"/>
  <c r="H207" i="2"/>
  <c r="G207" i="2"/>
  <c r="AI206" i="2"/>
  <c r="AH206" i="2"/>
  <c r="AG206" i="2"/>
  <c r="AF206" i="2"/>
  <c r="AE206" i="2"/>
  <c r="AD206" i="2"/>
  <c r="AC206" i="2"/>
  <c r="AB206" i="2"/>
  <c r="AA206" i="2"/>
  <c r="Z206" i="2"/>
  <c r="Y206" i="2"/>
  <c r="H204" i="2"/>
  <c r="G204" i="2"/>
  <c r="AI203" i="2"/>
  <c r="AH203" i="2"/>
  <c r="AG203" i="2"/>
  <c r="AF203" i="2"/>
  <c r="AE203" i="2"/>
  <c r="AD203" i="2"/>
  <c r="AC203" i="2"/>
  <c r="AB203" i="2"/>
  <c r="AA203" i="2"/>
  <c r="Z203" i="2"/>
  <c r="Y203" i="2"/>
  <c r="H201" i="2"/>
  <c r="G201" i="2"/>
  <c r="AI200" i="2"/>
  <c r="AH200" i="2"/>
  <c r="AG200" i="2"/>
  <c r="AF200" i="2"/>
  <c r="AE200" i="2"/>
  <c r="AD200" i="2"/>
  <c r="AC200" i="2"/>
  <c r="AB200" i="2"/>
  <c r="AA200" i="2"/>
  <c r="Z200" i="2"/>
  <c r="Y200" i="2"/>
  <c r="H198" i="2"/>
  <c r="G198" i="2"/>
  <c r="AI197" i="2"/>
  <c r="AH197" i="2"/>
  <c r="AG197" i="2"/>
  <c r="AF197" i="2"/>
  <c r="AE197" i="2"/>
  <c r="AD197" i="2"/>
  <c r="AC197" i="2"/>
  <c r="AB197" i="2"/>
  <c r="AA197" i="2"/>
  <c r="Z197" i="2"/>
  <c r="Y197" i="2"/>
  <c r="H195" i="2"/>
  <c r="G195" i="2"/>
  <c r="AI194" i="2"/>
  <c r="AH194" i="2"/>
  <c r="AG194" i="2"/>
  <c r="AF194" i="2"/>
  <c r="AE194" i="2"/>
  <c r="AD194" i="2"/>
  <c r="AC194" i="2"/>
  <c r="AB194" i="2"/>
  <c r="AA194" i="2"/>
  <c r="Z194" i="2"/>
  <c r="Y194" i="2"/>
  <c r="H191" i="2"/>
  <c r="G191" i="2"/>
  <c r="AI190" i="2"/>
  <c r="AH190" i="2"/>
  <c r="AG190" i="2"/>
  <c r="AF190" i="2"/>
  <c r="AE190" i="2"/>
  <c r="AD190" i="2"/>
  <c r="AC190" i="2"/>
  <c r="AB190" i="2"/>
  <c r="AA190" i="2"/>
  <c r="Z190" i="2"/>
  <c r="Y190" i="2"/>
  <c r="H188" i="2"/>
  <c r="G188" i="2"/>
  <c r="AI187" i="2"/>
  <c r="AH187" i="2"/>
  <c r="AG187" i="2"/>
  <c r="AF187" i="2"/>
  <c r="AE187" i="2"/>
  <c r="AD187" i="2"/>
  <c r="AC187" i="2"/>
  <c r="AB187" i="2"/>
  <c r="AA187" i="2"/>
  <c r="Z187" i="2"/>
  <c r="Y187" i="2"/>
  <c r="H184" i="2"/>
  <c r="G184" i="2"/>
  <c r="AI183" i="2"/>
  <c r="AH183" i="2"/>
  <c r="AG183" i="2"/>
  <c r="AF183" i="2"/>
  <c r="AE183" i="2"/>
  <c r="AD183" i="2"/>
  <c r="AC183" i="2"/>
  <c r="AB183" i="2"/>
  <c r="AA183" i="2"/>
  <c r="Z183" i="2"/>
  <c r="Y183" i="2"/>
  <c r="H180" i="2"/>
  <c r="G180" i="2"/>
  <c r="AI179" i="2"/>
  <c r="AH179" i="2"/>
  <c r="AG179" i="2"/>
  <c r="AF179" i="2"/>
  <c r="AE179" i="2"/>
  <c r="AD179" i="2"/>
  <c r="AC179" i="2"/>
  <c r="AB179" i="2"/>
  <c r="AA179" i="2"/>
  <c r="Z179" i="2"/>
  <c r="Y179" i="2"/>
  <c r="H177" i="2"/>
  <c r="G177" i="2"/>
  <c r="AI176" i="2"/>
  <c r="AH176" i="2"/>
  <c r="AG176" i="2"/>
  <c r="AF176" i="2"/>
  <c r="AE176" i="2"/>
  <c r="AD176" i="2"/>
  <c r="AC176" i="2"/>
  <c r="AB176" i="2"/>
  <c r="AA176" i="2"/>
  <c r="Z176" i="2"/>
  <c r="Y176" i="2"/>
  <c r="H174" i="2"/>
  <c r="G174" i="2"/>
  <c r="AI173" i="2"/>
  <c r="AH173" i="2"/>
  <c r="AG173" i="2"/>
  <c r="AF173" i="2"/>
  <c r="AE173" i="2"/>
  <c r="AD173" i="2"/>
  <c r="AC173" i="2"/>
  <c r="AB173" i="2"/>
  <c r="AA173" i="2"/>
  <c r="Z173" i="2"/>
  <c r="Y173" i="2"/>
  <c r="H171" i="2"/>
  <c r="G171" i="2"/>
  <c r="AI170" i="2"/>
  <c r="AH170" i="2"/>
  <c r="AG170" i="2"/>
  <c r="AF170" i="2"/>
  <c r="AE170" i="2"/>
  <c r="AD170" i="2"/>
  <c r="AC170" i="2"/>
  <c r="AB170" i="2"/>
  <c r="AA170" i="2"/>
  <c r="Z170" i="2"/>
  <c r="Y170" i="2"/>
  <c r="H168" i="2"/>
  <c r="G168" i="2"/>
  <c r="AI167" i="2"/>
  <c r="AH167" i="2"/>
  <c r="AG167" i="2"/>
  <c r="AF167" i="2"/>
  <c r="AE167" i="2"/>
  <c r="AD167" i="2"/>
  <c r="AC167" i="2"/>
  <c r="AB167" i="2"/>
  <c r="AA167" i="2"/>
  <c r="Z167" i="2"/>
  <c r="Y167" i="2"/>
  <c r="H164" i="2"/>
  <c r="G164" i="2"/>
  <c r="AI163" i="2"/>
  <c r="AH163" i="2"/>
  <c r="AG163" i="2"/>
  <c r="AF163" i="2"/>
  <c r="AE163" i="2"/>
  <c r="AD163" i="2"/>
  <c r="AC163" i="2"/>
  <c r="AB163" i="2"/>
  <c r="AA163" i="2"/>
  <c r="Z163" i="2"/>
  <c r="Y163" i="2"/>
  <c r="H160" i="2"/>
  <c r="G160" i="2"/>
  <c r="AI159" i="2"/>
  <c r="AH159" i="2"/>
  <c r="AG159" i="2"/>
  <c r="AF159" i="2"/>
  <c r="AE159" i="2"/>
  <c r="AD159" i="2"/>
  <c r="AC159" i="2"/>
  <c r="AB159" i="2"/>
  <c r="AA159" i="2"/>
  <c r="Z159" i="2"/>
  <c r="Y159" i="2"/>
  <c r="H157" i="2"/>
  <c r="G157" i="2"/>
  <c r="AI156" i="2"/>
  <c r="AH156" i="2"/>
  <c r="AG156" i="2"/>
  <c r="AF156" i="2"/>
  <c r="AE156" i="2"/>
  <c r="AD156" i="2"/>
  <c r="AC156" i="2"/>
  <c r="AB156" i="2"/>
  <c r="AA156" i="2"/>
  <c r="Z156" i="2"/>
  <c r="Y156" i="2"/>
  <c r="H154" i="2"/>
  <c r="G154" i="2"/>
  <c r="AI153" i="2"/>
  <c r="AH153" i="2"/>
  <c r="AG153" i="2"/>
  <c r="AF153" i="2"/>
  <c r="AE153" i="2"/>
  <c r="AD153" i="2"/>
  <c r="AC153" i="2"/>
  <c r="AB153" i="2"/>
  <c r="AA153" i="2"/>
  <c r="Z153" i="2"/>
  <c r="Y153" i="2"/>
  <c r="H151" i="2"/>
  <c r="G151" i="2"/>
  <c r="AI150" i="2"/>
  <c r="AH150" i="2"/>
  <c r="AG150" i="2"/>
  <c r="AF150" i="2"/>
  <c r="AE150" i="2"/>
  <c r="AD150" i="2"/>
  <c r="AC150" i="2"/>
  <c r="AB150" i="2"/>
  <c r="AA150" i="2"/>
  <c r="Z150" i="2"/>
  <c r="Y150" i="2"/>
  <c r="H148" i="2"/>
  <c r="G148" i="2"/>
  <c r="AI147" i="2"/>
  <c r="AH147" i="2"/>
  <c r="AG147" i="2"/>
  <c r="AF147" i="2"/>
  <c r="AE147" i="2"/>
  <c r="AD147" i="2"/>
  <c r="AC147" i="2"/>
  <c r="AB147" i="2"/>
  <c r="AA147" i="2"/>
  <c r="Z147" i="2"/>
  <c r="Y147" i="2"/>
  <c r="H145" i="2"/>
  <c r="G145" i="2"/>
  <c r="AI144" i="2"/>
  <c r="AH144" i="2"/>
  <c r="AG144" i="2"/>
  <c r="AF144" i="2"/>
  <c r="AE144" i="2"/>
  <c r="AD144" i="2"/>
  <c r="AC144" i="2"/>
  <c r="AB144" i="2"/>
  <c r="AA144" i="2"/>
  <c r="Z144" i="2"/>
  <c r="Y144" i="2"/>
  <c r="H142" i="2"/>
  <c r="G142" i="2"/>
  <c r="AI141" i="2"/>
  <c r="AH141" i="2"/>
  <c r="AG141" i="2"/>
  <c r="AF141" i="2"/>
  <c r="AE141" i="2"/>
  <c r="AD141" i="2"/>
  <c r="AC141" i="2"/>
  <c r="AB141" i="2"/>
  <c r="AA141" i="2"/>
  <c r="Z141" i="2"/>
  <c r="Y141" i="2"/>
  <c r="H139" i="2"/>
  <c r="G139" i="2"/>
  <c r="AI138" i="2"/>
  <c r="AH138" i="2"/>
  <c r="AG138" i="2"/>
  <c r="AF138" i="2"/>
  <c r="AE138" i="2"/>
  <c r="AD138" i="2"/>
  <c r="AC138" i="2"/>
  <c r="AB138" i="2"/>
  <c r="AA138" i="2"/>
  <c r="Z138" i="2"/>
  <c r="Y138" i="2"/>
  <c r="H136" i="2"/>
  <c r="G136" i="2"/>
  <c r="AI135" i="2"/>
  <c r="AH135" i="2"/>
  <c r="AG135" i="2"/>
  <c r="AF135" i="2"/>
  <c r="AE135" i="2"/>
  <c r="AD135" i="2"/>
  <c r="AC135" i="2"/>
  <c r="AB135" i="2"/>
  <c r="AA135" i="2"/>
  <c r="Z135" i="2"/>
  <c r="Y135" i="2"/>
  <c r="H132" i="2"/>
  <c r="G132" i="2"/>
  <c r="AI131" i="2"/>
  <c r="AH131" i="2"/>
  <c r="AG131" i="2"/>
  <c r="AF131" i="2"/>
  <c r="AE131" i="2"/>
  <c r="AD131" i="2"/>
  <c r="AC131" i="2"/>
  <c r="AB131" i="2"/>
  <c r="AA131" i="2"/>
  <c r="Z131" i="2"/>
  <c r="Y131" i="2"/>
  <c r="H129" i="2"/>
  <c r="G129" i="2"/>
  <c r="AI128" i="2"/>
  <c r="AH128" i="2"/>
  <c r="AG128" i="2"/>
  <c r="AF128" i="2"/>
  <c r="AE128" i="2"/>
  <c r="AD128" i="2"/>
  <c r="AC128" i="2"/>
  <c r="AB128" i="2"/>
  <c r="AA128" i="2"/>
  <c r="Z128" i="2"/>
  <c r="Y128" i="2"/>
  <c r="H125" i="2"/>
  <c r="G125" i="2"/>
  <c r="AI124" i="2"/>
  <c r="AH124" i="2"/>
  <c r="AG124" i="2"/>
  <c r="AF124" i="2"/>
  <c r="AE124" i="2"/>
  <c r="AD124" i="2"/>
  <c r="AC124" i="2"/>
  <c r="AB124" i="2"/>
  <c r="AA124" i="2"/>
  <c r="Z124" i="2"/>
  <c r="Y124" i="2"/>
  <c r="H121" i="2"/>
  <c r="G121" i="2"/>
  <c r="AI120" i="2"/>
  <c r="AH120" i="2"/>
  <c r="AG120" i="2"/>
  <c r="AF120" i="2"/>
  <c r="AE120" i="2"/>
  <c r="AD120" i="2"/>
  <c r="AC120" i="2"/>
  <c r="AB120" i="2"/>
  <c r="AA120" i="2"/>
  <c r="Z120" i="2"/>
  <c r="Y120" i="2"/>
  <c r="H118" i="2"/>
  <c r="G118" i="2"/>
  <c r="AI117" i="2"/>
  <c r="AH117" i="2"/>
  <c r="AG117" i="2"/>
  <c r="AF117" i="2"/>
  <c r="AE117" i="2"/>
  <c r="AD117" i="2"/>
  <c r="AC117" i="2"/>
  <c r="AB117" i="2"/>
  <c r="AA117" i="2"/>
  <c r="Z117" i="2"/>
  <c r="Y117" i="2"/>
  <c r="H115" i="2"/>
  <c r="G115" i="2"/>
  <c r="AI114" i="2"/>
  <c r="AH114" i="2"/>
  <c r="AG114" i="2"/>
  <c r="AF114" i="2"/>
  <c r="AE114" i="2"/>
  <c r="AD114" i="2"/>
  <c r="AC114" i="2"/>
  <c r="AB114" i="2"/>
  <c r="AA114" i="2"/>
  <c r="Z114" i="2"/>
  <c r="Y114" i="2"/>
  <c r="H112" i="2"/>
  <c r="G112" i="2"/>
  <c r="AI111" i="2"/>
  <c r="AH111" i="2"/>
  <c r="AG111" i="2"/>
  <c r="AF111" i="2"/>
  <c r="AE111" i="2"/>
  <c r="AD111" i="2"/>
  <c r="AC111" i="2"/>
  <c r="AB111" i="2"/>
  <c r="AA111" i="2"/>
  <c r="Z111" i="2"/>
  <c r="Y111" i="2"/>
  <c r="H109" i="2"/>
  <c r="G109" i="2"/>
  <c r="AI108" i="2"/>
  <c r="AH108" i="2"/>
  <c r="AG108" i="2"/>
  <c r="AF108" i="2"/>
  <c r="AE108" i="2"/>
  <c r="AD108" i="2"/>
  <c r="AC108" i="2"/>
  <c r="AB108" i="2"/>
  <c r="AA108" i="2"/>
  <c r="Z108" i="2"/>
  <c r="Y108" i="2"/>
  <c r="H105" i="2"/>
  <c r="G105" i="2"/>
  <c r="AI104" i="2"/>
  <c r="AH104" i="2"/>
  <c r="AG104" i="2"/>
  <c r="AF104" i="2"/>
  <c r="AE104" i="2"/>
  <c r="AD104" i="2"/>
  <c r="AC104" i="2"/>
  <c r="AB104" i="2"/>
  <c r="AA104" i="2"/>
  <c r="Z104" i="2"/>
  <c r="Y104" i="2"/>
  <c r="H101" i="2"/>
  <c r="G101" i="2"/>
  <c r="AI100" i="2"/>
  <c r="AH100" i="2"/>
  <c r="AG100" i="2"/>
  <c r="AF100" i="2"/>
  <c r="AE100" i="2"/>
  <c r="AD100" i="2"/>
  <c r="AC100" i="2"/>
  <c r="AB100" i="2"/>
  <c r="AA100" i="2"/>
  <c r="Z100" i="2"/>
  <c r="Y100" i="2"/>
  <c r="H98" i="2"/>
  <c r="G98" i="2"/>
  <c r="AI97" i="2"/>
  <c r="AH97" i="2"/>
  <c r="AG97" i="2"/>
  <c r="AF97" i="2"/>
  <c r="AE97" i="2"/>
  <c r="AD97" i="2"/>
  <c r="AC97" i="2"/>
  <c r="AB97" i="2"/>
  <c r="AA97" i="2"/>
  <c r="Z97" i="2"/>
  <c r="Y97" i="2"/>
  <c r="H94" i="2"/>
  <c r="G94" i="2"/>
  <c r="AI93" i="2"/>
  <c r="AH93" i="2"/>
  <c r="AG93" i="2"/>
  <c r="AF93" i="2"/>
  <c r="AE93" i="2"/>
  <c r="AD93" i="2"/>
  <c r="AC93" i="2"/>
  <c r="AB93" i="2"/>
  <c r="AA93" i="2"/>
  <c r="Z93" i="2"/>
  <c r="Y93" i="2"/>
  <c r="H90" i="2"/>
  <c r="G90" i="2"/>
  <c r="AI89" i="2"/>
  <c r="AH89" i="2"/>
  <c r="AG89" i="2"/>
  <c r="AF89" i="2"/>
  <c r="AE89" i="2"/>
  <c r="AD89" i="2"/>
  <c r="AC89" i="2"/>
  <c r="AB89" i="2"/>
  <c r="AA89" i="2"/>
  <c r="Z89" i="2"/>
  <c r="Y89" i="2"/>
  <c r="H87" i="2"/>
  <c r="G87" i="2"/>
  <c r="AI86" i="2"/>
  <c r="AH86" i="2"/>
  <c r="AG86" i="2"/>
  <c r="AF86" i="2"/>
  <c r="AE86" i="2"/>
  <c r="AD86" i="2"/>
  <c r="AC86" i="2"/>
  <c r="AB86" i="2"/>
  <c r="AA86" i="2"/>
  <c r="Z86" i="2"/>
  <c r="Y86" i="2"/>
  <c r="H84" i="2"/>
  <c r="G84" i="2"/>
  <c r="AI83" i="2"/>
  <c r="AH83" i="2"/>
  <c r="AG83" i="2"/>
  <c r="AF83" i="2"/>
  <c r="AE83" i="2"/>
  <c r="AD83" i="2"/>
  <c r="AC83" i="2"/>
  <c r="AB83" i="2"/>
  <c r="AA83" i="2"/>
  <c r="Z83" i="2"/>
  <c r="Y83" i="2"/>
  <c r="H81" i="2"/>
  <c r="G81" i="2"/>
  <c r="AI80" i="2"/>
  <c r="AH80" i="2"/>
  <c r="AG80" i="2"/>
  <c r="AF80" i="2"/>
  <c r="AE80" i="2"/>
  <c r="AD80" i="2"/>
  <c r="AC80" i="2"/>
  <c r="AB80" i="2"/>
  <c r="AA80" i="2"/>
  <c r="Z80" i="2"/>
  <c r="Y80" i="2"/>
  <c r="H78" i="2"/>
  <c r="G78" i="2"/>
  <c r="AI77" i="2"/>
  <c r="AH77" i="2"/>
  <c r="AG77" i="2"/>
  <c r="AF77" i="2"/>
  <c r="AE77" i="2"/>
  <c r="AD77" i="2"/>
  <c r="AC77" i="2"/>
  <c r="AB77" i="2"/>
  <c r="AA77" i="2"/>
  <c r="Z77" i="2"/>
  <c r="Y77" i="2"/>
  <c r="H74" i="2"/>
  <c r="G74" i="2"/>
  <c r="AI73" i="2"/>
  <c r="AH73" i="2"/>
  <c r="AG73" i="2"/>
  <c r="AF73" i="2"/>
  <c r="AE73" i="2"/>
  <c r="AD73" i="2"/>
  <c r="AC73" i="2"/>
  <c r="AB73" i="2"/>
  <c r="AA73" i="2"/>
  <c r="Z73" i="2"/>
  <c r="Y73" i="2"/>
  <c r="H70" i="2"/>
  <c r="G70" i="2"/>
  <c r="AI69" i="2"/>
  <c r="AH69" i="2"/>
  <c r="AG69" i="2"/>
  <c r="AF69" i="2"/>
  <c r="AE69" i="2"/>
  <c r="AD69" i="2"/>
  <c r="AC69" i="2"/>
  <c r="AB69" i="2"/>
  <c r="AA69" i="2"/>
  <c r="Z69" i="2"/>
  <c r="Y69" i="2"/>
  <c r="H66" i="2"/>
  <c r="G66" i="2"/>
  <c r="AI65" i="2"/>
  <c r="AH65" i="2"/>
  <c r="AG65" i="2"/>
  <c r="AF65" i="2"/>
  <c r="AE65" i="2"/>
  <c r="AD65" i="2"/>
  <c r="AC65" i="2"/>
  <c r="AB65" i="2"/>
  <c r="AA65" i="2"/>
  <c r="Z65" i="2"/>
  <c r="Y65" i="2"/>
  <c r="H63" i="2"/>
  <c r="G63" i="2"/>
  <c r="AI62" i="2"/>
  <c r="AH62" i="2"/>
  <c r="AG62" i="2"/>
  <c r="AF62" i="2"/>
  <c r="AE62" i="2"/>
  <c r="AD62" i="2"/>
  <c r="AC62" i="2"/>
  <c r="AB62" i="2"/>
  <c r="AA62" i="2"/>
  <c r="Z62" i="2"/>
  <c r="Y62" i="2"/>
  <c r="H59" i="2"/>
  <c r="G59" i="2"/>
  <c r="AI58" i="2"/>
  <c r="AH58" i="2"/>
  <c r="AG58" i="2"/>
  <c r="AF58" i="2"/>
  <c r="AE58" i="2"/>
  <c r="AD58" i="2"/>
  <c r="AC58" i="2"/>
  <c r="AB58" i="2"/>
  <c r="AA58" i="2"/>
  <c r="Z58" i="2"/>
  <c r="Y58" i="2"/>
  <c r="H55" i="2"/>
  <c r="G55" i="2"/>
  <c r="AI54" i="2"/>
  <c r="AH54" i="2"/>
  <c r="AG54" i="2"/>
  <c r="AF54" i="2"/>
  <c r="AE54" i="2"/>
  <c r="AD54" i="2"/>
  <c r="AC54" i="2"/>
  <c r="AB54" i="2"/>
  <c r="AA54" i="2"/>
  <c r="Z54" i="2"/>
  <c r="Y54" i="2"/>
  <c r="H51" i="2"/>
  <c r="G51" i="2"/>
  <c r="AI50" i="2"/>
  <c r="AH50" i="2"/>
  <c r="AG50" i="2"/>
  <c r="AF50" i="2"/>
  <c r="AE50" i="2"/>
  <c r="AD50" i="2"/>
  <c r="AC50" i="2"/>
  <c r="AB50" i="2"/>
  <c r="AA50" i="2"/>
  <c r="Z50" i="2"/>
  <c r="Y50" i="2"/>
  <c r="H48" i="2"/>
  <c r="G48" i="2"/>
  <c r="AI47" i="2"/>
  <c r="AH47" i="2"/>
  <c r="AG47" i="2"/>
  <c r="AF47" i="2"/>
  <c r="AE47" i="2"/>
  <c r="AD47" i="2"/>
  <c r="AC47" i="2"/>
  <c r="AB47" i="2"/>
  <c r="AA47" i="2"/>
  <c r="Z47" i="2"/>
  <c r="Y47" i="2"/>
  <c r="H44" i="2"/>
  <c r="G44" i="2"/>
  <c r="AI43" i="2"/>
  <c r="AH43" i="2"/>
  <c r="AG43" i="2"/>
  <c r="AF43" i="2"/>
  <c r="AE43" i="2"/>
  <c r="AD43" i="2"/>
  <c r="AC43" i="2"/>
  <c r="AB43" i="2"/>
  <c r="AA43" i="2"/>
  <c r="Z43" i="2"/>
  <c r="Y43" i="2"/>
  <c r="H40" i="2"/>
  <c r="G40" i="2"/>
  <c r="AI39" i="2"/>
  <c r="AH39" i="2"/>
  <c r="AG39" i="2"/>
  <c r="AF39" i="2"/>
  <c r="AE39" i="2"/>
  <c r="AD39" i="2"/>
  <c r="AC39" i="2"/>
  <c r="AB39" i="2"/>
  <c r="AA39" i="2"/>
  <c r="Z39" i="2"/>
  <c r="Y39" i="2"/>
  <c r="H37" i="2"/>
  <c r="G37" i="2"/>
  <c r="AI36" i="2"/>
  <c r="AH36" i="2"/>
  <c r="AG36" i="2"/>
  <c r="AF36" i="2"/>
  <c r="AE36" i="2"/>
  <c r="AD36" i="2"/>
  <c r="AC36" i="2"/>
  <c r="AB36" i="2"/>
  <c r="AA36" i="2"/>
  <c r="Z36" i="2"/>
  <c r="Y36" i="2"/>
  <c r="H33" i="2"/>
  <c r="G33" i="2"/>
  <c r="AI32" i="2"/>
  <c r="AH32" i="2"/>
  <c r="AG32" i="2"/>
  <c r="AF32" i="2"/>
  <c r="AE32" i="2"/>
  <c r="AD32" i="2"/>
  <c r="AC32" i="2"/>
  <c r="AB32" i="2"/>
  <c r="AA32" i="2"/>
  <c r="Z32" i="2"/>
  <c r="Y32" i="2"/>
  <c r="H29" i="2"/>
  <c r="G29" i="2"/>
  <c r="AI28" i="2"/>
  <c r="AH28" i="2"/>
  <c r="AG28" i="2"/>
  <c r="AF28" i="2"/>
  <c r="AE28" i="2"/>
  <c r="AD28" i="2"/>
  <c r="AC28" i="2"/>
  <c r="AB28" i="2"/>
  <c r="AA28" i="2"/>
  <c r="Z28" i="2"/>
  <c r="Y28" i="2"/>
  <c r="H25" i="2"/>
  <c r="G25" i="2"/>
  <c r="AI24" i="2"/>
  <c r="AH24" i="2"/>
  <c r="AG24" i="2"/>
  <c r="AF24" i="2"/>
  <c r="AE24" i="2"/>
  <c r="AD24" i="2"/>
  <c r="AC24" i="2"/>
  <c r="AB24" i="2"/>
  <c r="AA24" i="2"/>
  <c r="Z24" i="2"/>
  <c r="Y24" i="2"/>
  <c r="H21" i="2"/>
  <c r="G21" i="2"/>
  <c r="AZ20" i="2"/>
  <c r="AY20" i="2"/>
  <c r="AX20" i="2"/>
  <c r="AW20" i="2"/>
  <c r="AV20" i="2"/>
  <c r="AU20" i="2"/>
  <c r="AT20" i="2"/>
  <c r="AS20" i="2"/>
  <c r="AR20" i="2"/>
  <c r="AQ20" i="2"/>
  <c r="AP20" i="2"/>
  <c r="AO20" i="2"/>
  <c r="AN20" i="2"/>
  <c r="AM20" i="2"/>
  <c r="AL20" i="2"/>
  <c r="AK20" i="2"/>
  <c r="AJ20" i="2"/>
  <c r="AI20" i="2"/>
  <c r="AH20" i="2"/>
  <c r="AG20" i="2"/>
  <c r="AF20" i="2"/>
  <c r="AE20" i="2"/>
  <c r="AD20" i="2"/>
  <c r="AC20" i="2"/>
  <c r="AB20" i="2"/>
  <c r="AA20" i="2"/>
  <c r="Z20" i="2"/>
  <c r="Y20" i="2"/>
  <c r="AZ15" i="2"/>
  <c r="AZ17" i="2" s="1"/>
  <c r="AY15" i="2"/>
  <c r="AY17" i="2" s="1"/>
  <c r="AX15" i="2"/>
  <c r="AX17" i="2" s="1"/>
  <c r="AW15" i="2"/>
  <c r="AW17" i="2" s="1"/>
  <c r="AV15" i="2"/>
  <c r="AV17" i="2" s="1"/>
  <c r="AU15" i="2"/>
  <c r="AU17" i="2" s="1"/>
  <c r="AT15" i="2"/>
  <c r="AT17" i="2" s="1"/>
  <c r="AS15" i="2"/>
  <c r="AS17" i="2" s="1"/>
  <c r="AR15" i="2"/>
  <c r="AR17" i="2" s="1"/>
  <c r="AQ15" i="2"/>
  <c r="AQ17" i="2" s="1"/>
  <c r="AP15" i="2"/>
  <c r="AP17" i="2" s="1"/>
  <c r="AO15" i="2"/>
  <c r="AO17" i="2" s="1"/>
  <c r="AN15" i="2"/>
  <c r="AN17" i="2" s="1"/>
  <c r="AM15" i="2"/>
  <c r="AM17" i="2" s="1"/>
  <c r="AL15" i="2"/>
  <c r="AL17" i="2" s="1"/>
  <c r="AK15" i="2"/>
  <c r="AK17" i="2" s="1"/>
  <c r="AJ15" i="2"/>
  <c r="AJ17" i="2" s="1"/>
  <c r="AI15" i="2"/>
  <c r="AI17" i="2" s="1"/>
  <c r="AH15" i="2"/>
  <c r="AH17" i="2" s="1"/>
  <c r="AG15" i="2"/>
  <c r="AG17" i="2" s="1"/>
  <c r="AF15" i="2"/>
  <c r="AF17" i="2" s="1"/>
  <c r="AE15" i="2"/>
  <c r="AE17" i="2" s="1"/>
  <c r="AD15" i="2"/>
  <c r="AD17" i="2" s="1"/>
  <c r="AC15" i="2"/>
  <c r="AC17" i="2" s="1"/>
  <c r="AB15" i="2"/>
  <c r="AB17" i="2" s="1"/>
  <c r="AA15" i="2"/>
  <c r="AA17" i="2" s="1"/>
  <c r="Z15" i="2"/>
  <c r="Z17" i="2" s="1"/>
  <c r="Y15" i="2"/>
  <c r="Y17" i="2" s="1"/>
  <c r="AZ7" i="2"/>
  <c r="AZ8" i="2" s="1"/>
  <c r="AY7" i="2"/>
  <c r="AY8" i="2" s="1"/>
  <c r="AX7" i="2"/>
  <c r="AX8" i="2" s="1"/>
  <c r="AW7" i="2"/>
  <c r="AW8" i="2" s="1"/>
  <c r="AV7" i="2"/>
  <c r="AV8" i="2" s="1"/>
  <c r="AU7" i="2"/>
  <c r="AU8" i="2" s="1"/>
  <c r="AT7" i="2"/>
  <c r="AT8" i="2" s="1"/>
  <c r="AS7" i="2"/>
  <c r="AS8" i="2" s="1"/>
  <c r="AR7" i="2"/>
  <c r="AR8" i="2" s="1"/>
  <c r="AQ7" i="2"/>
  <c r="AQ8" i="2" s="1"/>
  <c r="AP7" i="2"/>
  <c r="AP8" i="2" s="1"/>
  <c r="AO7" i="2"/>
  <c r="AO8" i="2" s="1"/>
  <c r="AN7" i="2"/>
  <c r="AN8" i="2" s="1"/>
  <c r="AM7" i="2"/>
  <c r="AM8" i="2" s="1"/>
  <c r="AL7" i="2"/>
  <c r="AL8" i="2" s="1"/>
  <c r="AK7" i="2"/>
  <c r="AK8" i="2" s="1"/>
  <c r="AJ7" i="2"/>
  <c r="AJ8" i="2" s="1"/>
  <c r="AI7" i="2"/>
  <c r="AI8" i="2" s="1"/>
  <c r="AH7" i="2"/>
  <c r="AH8" i="2" s="1"/>
  <c r="AG7" i="2"/>
  <c r="AG8" i="2" s="1"/>
  <c r="AF7" i="2"/>
  <c r="AF8" i="2" s="1"/>
  <c r="AE7" i="2"/>
  <c r="AE8" i="2" s="1"/>
  <c r="AD7" i="2"/>
  <c r="AD8" i="2" s="1"/>
  <c r="AC7" i="2"/>
  <c r="AC8" i="2" s="1"/>
  <c r="AB7" i="2"/>
  <c r="AB8" i="2" s="1"/>
  <c r="AA7" i="2"/>
  <c r="AA8" i="2" s="1"/>
  <c r="Z7" i="2"/>
  <c r="Z8" i="2" s="1"/>
  <c r="Y7" i="2"/>
  <c r="Y8" i="2" s="1"/>
  <c r="A28" i="1"/>
  <c r="A27" i="1"/>
  <c r="A26" i="1"/>
  <c r="A25" i="1"/>
  <c r="A24" i="1"/>
  <c r="A23" i="1"/>
  <c r="A22" i="1"/>
  <c r="A21" i="1"/>
  <c r="A20" i="1"/>
  <c r="A19" i="1"/>
  <c r="A18" i="1"/>
  <c r="A17" i="1"/>
  <c r="A16" i="1"/>
  <c r="A15" i="1"/>
  <c r="A14" i="1"/>
  <c r="A13" i="1"/>
  <c r="A12" i="1"/>
  <c r="A11" i="1"/>
  <c r="A10" i="1"/>
  <c r="A9" i="1"/>
  <c r="A8" i="1"/>
  <c r="A7" i="1"/>
  <c r="A6" i="1"/>
  <c r="A5" i="1"/>
  <c r="A4" i="1"/>
  <c r="A3" i="1"/>
  <c r="AD70" i="5" l="1"/>
  <c r="AD77" i="5"/>
  <c r="AD84" i="5"/>
  <c r="AD91" i="5"/>
  <c r="AD7" i="5"/>
  <c r="AE7" i="5"/>
  <c r="Z7" i="5"/>
  <c r="AO9" i="5"/>
  <c r="AO16" i="5"/>
  <c r="AO23" i="5"/>
  <c r="AO30" i="5"/>
  <c r="AO37" i="5"/>
  <c r="AO44" i="5"/>
  <c r="AO51" i="5"/>
  <c r="AO58" i="5"/>
  <c r="AB9" i="5"/>
  <c r="AB16" i="5"/>
  <c r="AB23" i="5"/>
  <c r="AB30" i="5"/>
  <c r="AB37" i="5"/>
  <c r="AB44" i="5"/>
  <c r="AB51" i="5"/>
  <c r="AB58" i="5"/>
  <c r="AB65" i="5"/>
  <c r="AB72" i="5"/>
  <c r="AB79" i="5"/>
  <c r="AB86" i="5"/>
  <c r="AB93" i="5"/>
  <c r="AB100" i="5"/>
  <c r="AF8" i="5"/>
  <c r="Z11" i="5"/>
  <c r="Z18" i="5"/>
  <c r="Z25" i="5"/>
  <c r="Z32" i="5"/>
  <c r="Z39" i="5"/>
  <c r="Z46" i="5"/>
  <c r="Z53" i="5"/>
  <c r="Z60" i="5"/>
  <c r="AO65" i="5"/>
  <c r="AO72" i="5"/>
  <c r="AL55" i="5"/>
  <c r="AL13" i="5"/>
  <c r="AL20" i="5"/>
  <c r="AL62" i="5"/>
  <c r="AL69" i="5"/>
  <c r="Z67" i="5"/>
  <c r="Z74" i="5"/>
  <c r="Z81" i="5"/>
  <c r="Z88" i="5"/>
  <c r="Z95" i="5"/>
  <c r="AL27" i="5"/>
  <c r="AL41" i="5"/>
  <c r="AL48" i="5"/>
  <c r="AL34" i="5"/>
  <c r="AG10" i="5"/>
  <c r="AG17" i="5"/>
  <c r="AG24" i="5"/>
  <c r="AG31" i="5"/>
  <c r="AG38" i="5"/>
  <c r="AG45" i="5"/>
  <c r="AG52" i="5"/>
  <c r="AG59" i="5"/>
  <c r="AG66" i="5"/>
  <c r="AG73" i="5"/>
  <c r="AG80" i="5"/>
  <c r="AG87" i="5"/>
  <c r="AI50" i="5"/>
  <c r="AI64" i="5"/>
  <c r="AI71" i="5"/>
  <c r="AI78" i="5"/>
  <c r="AI85" i="5"/>
  <c r="AI43" i="5"/>
  <c r="AI36" i="5"/>
  <c r="AL90" i="5"/>
  <c r="AM46" i="5"/>
  <c r="AM60" i="5"/>
  <c r="AM74" i="5"/>
  <c r="AM81" i="5"/>
  <c r="AM88" i="5"/>
  <c r="AM95" i="5"/>
  <c r="AM25" i="5"/>
  <c r="AM32" i="5"/>
  <c r="AM53" i="5"/>
  <c r="AI15" i="5"/>
  <c r="AI29" i="5"/>
  <c r="AL83" i="5"/>
  <c r="AL97" i="5"/>
  <c r="AM67" i="5"/>
  <c r="AO79" i="5"/>
  <c r="AO86" i="5"/>
  <c r="AO93" i="5"/>
  <c r="AL76" i="5"/>
  <c r="AM11" i="5"/>
  <c r="AM18" i="5"/>
  <c r="AM39" i="5"/>
  <c r="AI22" i="5"/>
  <c r="AD98" i="5"/>
  <c r="AI57" i="5"/>
  <c r="AH376" i="2"/>
  <c r="AH9" i="2" s="1"/>
  <c r="AH11" i="2" s="1"/>
  <c r="AA7" i="5"/>
  <c r="AI8" i="5"/>
  <c r="AI99" i="5"/>
  <c r="AI92" i="5"/>
  <c r="AL104" i="5"/>
  <c r="AM33" i="5"/>
  <c r="AM75" i="5"/>
  <c r="AM82" i="5"/>
  <c r="AM40" i="5"/>
  <c r="AM68" i="5"/>
  <c r="AM12" i="5"/>
  <c r="AM26" i="5"/>
  <c r="AM54" i="5"/>
  <c r="AM19" i="5"/>
  <c r="AM47" i="5"/>
  <c r="AM61" i="5"/>
  <c r="AG94" i="5"/>
  <c r="AG101" i="5"/>
  <c r="AF15" i="5"/>
  <c r="AM89" i="5"/>
  <c r="AM96" i="5"/>
  <c r="AF22" i="5"/>
  <c r="AF29" i="5"/>
  <c r="AF36" i="5"/>
  <c r="AF43" i="5"/>
  <c r="AF50" i="5"/>
  <c r="AF57" i="5"/>
  <c r="AF64" i="5"/>
  <c r="AM102" i="5"/>
  <c r="AN12" i="5"/>
  <c r="AN19" i="5"/>
  <c r="AN26" i="5"/>
  <c r="AN33" i="5"/>
  <c r="AN40" i="5"/>
  <c r="AN47" i="5"/>
  <c r="Z8" i="5"/>
  <c r="Z29" i="5"/>
  <c r="Z36" i="5"/>
  <c r="Z43" i="5"/>
  <c r="Z64" i="5"/>
  <c r="Z71" i="5"/>
  <c r="AA8" i="5"/>
  <c r="AA15" i="5"/>
  <c r="AA22" i="5"/>
  <c r="AA29" i="5"/>
  <c r="AA36" i="5"/>
  <c r="AA43" i="5"/>
  <c r="AA57" i="5"/>
  <c r="AA64" i="5"/>
  <c r="AA71" i="5"/>
  <c r="AA78" i="5"/>
  <c r="AA85" i="5"/>
  <c r="Z15" i="5"/>
  <c r="Z22" i="5"/>
  <c r="Z50" i="5"/>
  <c r="Z57" i="5"/>
  <c r="AA50" i="5"/>
  <c r="AL8" i="5"/>
  <c r="AL15" i="5"/>
  <c r="AL22" i="5"/>
  <c r="AL29" i="5"/>
  <c r="AL36" i="5"/>
  <c r="AL43" i="5"/>
  <c r="AL50" i="5"/>
  <c r="AL57" i="5"/>
  <c r="AL64" i="5"/>
  <c r="AL71" i="5"/>
  <c r="AL78" i="5"/>
  <c r="AL85" i="5"/>
  <c r="AL92" i="5"/>
  <c r="Z13" i="5"/>
  <c r="Z20" i="5"/>
  <c r="Z27" i="5"/>
  <c r="Z34" i="5"/>
  <c r="Z41" i="5"/>
  <c r="Z48" i="5"/>
  <c r="Z55" i="5"/>
  <c r="Z62" i="5"/>
  <c r="Z69" i="5"/>
  <c r="Z76" i="5"/>
  <c r="Z83" i="5"/>
  <c r="Z90" i="5"/>
  <c r="AA13" i="5"/>
  <c r="AA20" i="5"/>
  <c r="AA27" i="5"/>
  <c r="AA34" i="5"/>
  <c r="AA41" i="5"/>
  <c r="AA48" i="5"/>
  <c r="Z97" i="5"/>
  <c r="Z104" i="5"/>
  <c r="AN8" i="5"/>
  <c r="AN15" i="5"/>
  <c r="AN22" i="5"/>
  <c r="AN29" i="5"/>
  <c r="AN36" i="5"/>
  <c r="AN43" i="5"/>
  <c r="AN50" i="5"/>
  <c r="AN57" i="5"/>
  <c r="AO8" i="5"/>
  <c r="AM14" i="5"/>
  <c r="AM28" i="5"/>
  <c r="AM35" i="5"/>
  <c r="AM42" i="5"/>
  <c r="AM56" i="5"/>
  <c r="AM70" i="5"/>
  <c r="AM77" i="5"/>
  <c r="AM7" i="5"/>
  <c r="AM21" i="5"/>
  <c r="AM49" i="5"/>
  <c r="AM63" i="5"/>
  <c r="AD10" i="5"/>
  <c r="AD17" i="5"/>
  <c r="AD24" i="5"/>
  <c r="AD52" i="5"/>
  <c r="AD59" i="5"/>
  <c r="AD66" i="5"/>
  <c r="AD73" i="5"/>
  <c r="AD80" i="5"/>
  <c r="AD87" i="5"/>
  <c r="AD94" i="5"/>
  <c r="AE10" i="5"/>
  <c r="AE17" i="5"/>
  <c r="AE24" i="5"/>
  <c r="AE31" i="5"/>
  <c r="AD31" i="5"/>
  <c r="AD38" i="5"/>
  <c r="AD45" i="5"/>
  <c r="AF10" i="5"/>
  <c r="AF17" i="5"/>
  <c r="AF24" i="5"/>
  <c r="AF31" i="5"/>
  <c r="AF38" i="5"/>
  <c r="AF45" i="5"/>
  <c r="AF52" i="5"/>
  <c r="AF59" i="5"/>
  <c r="AM103" i="5"/>
  <c r="Z78" i="5"/>
  <c r="Z85" i="5"/>
  <c r="Z92" i="5"/>
  <c r="Z99" i="5"/>
  <c r="AA92" i="5"/>
  <c r="AD101" i="5"/>
  <c r="AM24" i="5"/>
  <c r="AM31" i="5"/>
  <c r="AM59" i="5"/>
  <c r="AM66" i="5"/>
  <c r="AM73" i="5"/>
  <c r="Z10" i="5"/>
  <c r="AA17" i="5"/>
  <c r="AM52" i="5"/>
  <c r="AA10" i="5"/>
  <c r="AB10" i="5"/>
  <c r="AB17" i="5"/>
  <c r="AB24" i="5"/>
  <c r="AB31" i="5"/>
  <c r="AB38" i="5"/>
  <c r="AB45" i="5"/>
  <c r="AB52" i="5"/>
  <c r="AB59" i="5"/>
  <c r="AB66" i="5"/>
  <c r="AB73" i="5"/>
  <c r="AB80" i="5"/>
  <c r="AB87" i="5"/>
  <c r="AM10" i="5"/>
  <c r="AM17" i="5"/>
  <c r="AM38" i="5"/>
  <c r="AM45" i="5"/>
  <c r="AC10" i="5"/>
  <c r="AC17" i="5"/>
  <c r="AC24" i="5"/>
  <c r="AC31" i="5"/>
  <c r="AC38" i="5"/>
  <c r="AC45" i="5"/>
  <c r="AA9" i="5"/>
  <c r="AA16" i="5"/>
  <c r="AA23" i="5"/>
  <c r="AA30" i="5"/>
  <c r="AA37" i="5"/>
  <c r="AA44" i="5"/>
  <c r="AA51" i="5"/>
  <c r="AA58" i="5"/>
  <c r="AA65" i="5"/>
  <c r="AA72" i="5"/>
  <c r="AA79" i="5"/>
  <c r="AA86" i="5"/>
  <c r="AA93" i="5"/>
  <c r="AA99" i="5"/>
  <c r="AA100" i="5"/>
  <c r="AN21" i="5"/>
  <c r="AN28" i="5"/>
  <c r="AN42" i="5"/>
  <c r="AN49" i="5"/>
  <c r="AN56" i="5"/>
  <c r="AN70" i="5"/>
  <c r="AN77" i="5"/>
  <c r="AN82" i="5"/>
  <c r="AN89" i="5"/>
  <c r="AN96" i="5"/>
  <c r="AO7" i="5"/>
  <c r="AO21" i="5"/>
  <c r="AO28" i="5"/>
  <c r="AO33" i="5"/>
  <c r="AO35" i="5"/>
  <c r="AO40" i="5"/>
  <c r="AO42" i="5"/>
  <c r="AO47" i="5"/>
  <c r="AO49" i="5"/>
  <c r="AO54" i="5"/>
  <c r="AO56" i="5"/>
  <c r="AO61" i="5"/>
  <c r="AO63" i="5"/>
  <c r="AO68" i="5"/>
  <c r="AO70" i="5"/>
  <c r="AO75" i="5"/>
  <c r="AO77" i="5"/>
  <c r="AO82" i="5"/>
  <c r="AO84" i="5"/>
  <c r="AO89" i="5"/>
  <c r="AO91" i="5"/>
  <c r="AO96" i="5"/>
  <c r="AO103" i="5"/>
  <c r="AM84" i="5"/>
  <c r="AM91" i="5"/>
  <c r="AM98" i="5"/>
  <c r="AN7" i="5"/>
  <c r="AN14" i="5"/>
  <c r="AN35" i="5"/>
  <c r="AN54" i="5"/>
  <c r="AN61" i="5"/>
  <c r="AN63" i="5"/>
  <c r="AN68" i="5"/>
  <c r="AN75" i="5"/>
  <c r="AN84" i="5"/>
  <c r="AN91" i="5"/>
  <c r="AN98" i="5"/>
  <c r="AN103" i="5"/>
  <c r="AO12" i="5"/>
  <c r="AO14" i="5"/>
  <c r="AO19" i="5"/>
  <c r="AO26" i="5"/>
  <c r="AP7" i="5"/>
  <c r="AP12" i="5"/>
  <c r="AP14" i="5"/>
  <c r="AP19" i="5"/>
  <c r="AP21" i="5"/>
  <c r="AP26" i="5"/>
  <c r="AP28" i="5"/>
  <c r="AP33" i="5"/>
  <c r="AP35" i="5"/>
  <c r="AP40" i="5"/>
  <c r="AP42" i="5"/>
  <c r="AP47" i="5"/>
  <c r="AP49" i="5"/>
  <c r="AP54" i="5"/>
  <c r="AP56" i="5"/>
  <c r="AP61" i="5"/>
  <c r="AP63" i="5"/>
  <c r="AP68" i="5"/>
  <c r="AP75" i="5"/>
  <c r="AP82" i="5"/>
  <c r="AP89" i="5"/>
  <c r="AP96" i="5"/>
  <c r="AP103" i="5"/>
  <c r="AM9" i="5"/>
  <c r="AN9" i="5"/>
  <c r="Z16" i="5"/>
  <c r="AN16" i="5"/>
  <c r="Z23" i="5"/>
  <c r="AN23" i="5"/>
  <c r="Z30" i="5"/>
  <c r="AN30" i="5"/>
  <c r="Z37" i="5"/>
  <c r="AN37" i="5"/>
  <c r="Z44" i="5"/>
  <c r="AN44" i="5"/>
  <c r="Z51" i="5"/>
  <c r="AN51" i="5"/>
  <c r="Z58" i="5"/>
  <c r="Z65" i="5"/>
  <c r="Z72" i="5"/>
  <c r="Z79" i="5"/>
  <c r="Z86" i="5"/>
  <c r="Z93" i="5"/>
  <c r="Z100" i="5"/>
  <c r="AO98" i="5"/>
  <c r="AP70" i="5"/>
  <c r="AP77" i="5"/>
  <c r="AP84" i="5"/>
  <c r="AP91" i="5"/>
  <c r="AP98" i="5"/>
  <c r="AM8" i="5"/>
  <c r="AM15" i="5"/>
  <c r="AM22" i="5"/>
  <c r="AM29" i="5"/>
  <c r="AM36" i="5"/>
  <c r="AM43" i="5"/>
  <c r="AM50" i="5"/>
  <c r="AM57" i="5"/>
  <c r="AM64" i="5"/>
  <c r="AM71" i="5"/>
  <c r="AM78" i="5"/>
  <c r="AA55" i="5"/>
  <c r="AA62" i="5"/>
  <c r="AA83" i="5"/>
  <c r="AA90" i="5"/>
  <c r="AA69" i="5"/>
  <c r="AA97" i="5"/>
  <c r="AP8" i="5"/>
  <c r="AB13" i="5"/>
  <c r="AB15" i="5"/>
  <c r="AB20" i="5"/>
  <c r="AB22" i="5"/>
  <c r="AB27" i="5"/>
  <c r="AB29" i="5"/>
  <c r="AB34" i="5"/>
  <c r="AB36" i="5"/>
  <c r="AB41" i="5"/>
  <c r="AB43" i="5"/>
  <c r="AB48" i="5"/>
  <c r="AB50" i="5"/>
  <c r="AB55" i="5"/>
  <c r="AB57" i="5"/>
  <c r="AB62" i="5"/>
  <c r="AB64" i="5"/>
  <c r="AB69" i="5"/>
  <c r="AB71" i="5"/>
  <c r="AB78" i="5"/>
  <c r="AB85" i="5"/>
  <c r="AB92" i="5"/>
  <c r="AB99" i="5"/>
  <c r="AB8" i="5"/>
  <c r="AC8" i="5"/>
  <c r="AC13" i="5"/>
  <c r="AC15" i="5"/>
  <c r="AC20" i="5"/>
  <c r="AC22" i="5"/>
  <c r="AC27" i="5"/>
  <c r="AC29" i="5"/>
  <c r="AC34" i="5"/>
  <c r="AC36" i="5"/>
  <c r="AC41" i="5"/>
  <c r="AC43" i="5"/>
  <c r="AC48" i="5"/>
  <c r="AC50" i="5"/>
  <c r="AC55" i="5"/>
  <c r="AC57" i="5"/>
  <c r="AC62" i="5"/>
  <c r="AC64" i="5"/>
  <c r="AC69" i="5"/>
  <c r="AC71" i="5"/>
  <c r="AC76" i="5"/>
  <c r="AC78" i="5"/>
  <c r="AC85" i="5"/>
  <c r="AC92" i="5"/>
  <c r="AC99" i="5"/>
  <c r="AD13" i="5"/>
  <c r="AD15" i="5"/>
  <c r="AD20" i="5"/>
  <c r="AD22" i="5"/>
  <c r="AD27" i="5"/>
  <c r="AD29" i="5"/>
  <c r="AD34" i="5"/>
  <c r="AD36" i="5"/>
  <c r="AD41" i="5"/>
  <c r="AD43" i="5"/>
  <c r="AD48" i="5"/>
  <c r="AD50" i="5"/>
  <c r="AD55" i="5"/>
  <c r="AD57" i="5"/>
  <c r="AD62" i="5"/>
  <c r="AD64" i="5"/>
  <c r="AD69" i="5"/>
  <c r="AD71" i="5"/>
  <c r="AD76" i="5"/>
  <c r="AD78" i="5"/>
  <c r="AD83" i="5"/>
  <c r="AD85" i="5"/>
  <c r="AD90" i="5"/>
  <c r="AD92" i="5"/>
  <c r="AD99" i="5"/>
  <c r="AA76" i="5"/>
  <c r="AA104" i="5"/>
  <c r="AD8" i="5"/>
  <c r="AE8" i="5"/>
  <c r="AE13" i="5"/>
  <c r="AE15" i="5"/>
  <c r="AE20" i="5"/>
  <c r="AE22" i="5"/>
  <c r="AE27" i="5"/>
  <c r="AE29" i="5"/>
  <c r="AE34" i="5"/>
  <c r="AE36" i="5"/>
  <c r="AE41" i="5"/>
  <c r="AE43" i="5"/>
  <c r="AE48" i="5"/>
  <c r="AE50" i="5"/>
  <c r="AE55" i="5"/>
  <c r="AE57" i="5"/>
  <c r="AE62" i="5"/>
  <c r="AE64" i="5"/>
  <c r="AE71" i="5"/>
  <c r="AE78" i="5"/>
  <c r="AE85" i="5"/>
  <c r="AE92" i="5"/>
  <c r="AG8" i="5"/>
  <c r="AG15" i="5"/>
  <c r="AG22" i="5"/>
  <c r="AG29" i="5"/>
  <c r="AG36" i="5"/>
  <c r="AG43" i="5"/>
  <c r="AH8" i="5"/>
  <c r="AH15" i="5"/>
  <c r="AH22" i="5"/>
  <c r="AH29" i="5"/>
  <c r="AH36" i="5"/>
  <c r="AK8" i="5"/>
  <c r="AK13" i="5"/>
  <c r="AK15" i="5"/>
  <c r="AK20" i="5"/>
  <c r="AK22" i="5"/>
  <c r="AK27" i="5"/>
  <c r="AK29" i="5"/>
  <c r="AK34" i="5"/>
  <c r="AK36" i="5"/>
  <c r="AK41" i="5"/>
  <c r="AK43" i="5"/>
  <c r="AK48" i="5"/>
  <c r="AK50" i="5"/>
  <c r="AK55" i="5"/>
  <c r="AK57" i="5"/>
  <c r="AK62" i="5"/>
  <c r="AK64" i="5"/>
  <c r="AK69" i="5"/>
  <c r="AK71" i="5"/>
  <c r="AK76" i="5"/>
  <c r="AK78" i="5"/>
  <c r="AK83" i="5"/>
  <c r="AK90" i="5"/>
  <c r="AK97" i="5"/>
  <c r="AK104" i="5"/>
  <c r="AO100" i="5"/>
  <c r="AP10" i="5"/>
  <c r="AP17" i="5"/>
  <c r="AP24" i="5"/>
  <c r="AP31" i="5"/>
  <c r="AP38" i="5"/>
  <c r="AP45" i="5"/>
  <c r="AP52" i="5"/>
  <c r="AF66" i="5"/>
  <c r="AF73" i="5"/>
  <c r="AF80" i="5"/>
  <c r="AF87" i="5"/>
  <c r="AF94" i="5"/>
  <c r="AF101" i="5"/>
  <c r="AM85" i="5"/>
  <c r="AM92" i="5"/>
  <c r="AM99" i="5"/>
  <c r="AO15" i="5"/>
  <c r="AO22" i="5"/>
  <c r="AO29" i="5"/>
  <c r="AO36" i="5"/>
  <c r="AO43" i="5"/>
  <c r="AO50" i="5"/>
  <c r="AO57" i="5"/>
  <c r="AP15" i="5"/>
  <c r="AP22" i="5"/>
  <c r="AP29" i="5"/>
  <c r="AP36" i="5"/>
  <c r="AP43" i="5"/>
  <c r="AP50" i="5"/>
  <c r="AP57" i="5"/>
  <c r="AP64" i="5"/>
  <c r="AP71" i="5"/>
  <c r="AP78" i="5"/>
  <c r="AP85" i="5"/>
  <c r="AF71" i="5"/>
  <c r="AF78" i="5"/>
  <c r="AF85" i="5"/>
  <c r="AF92" i="5"/>
  <c r="AF99" i="5"/>
  <c r="AG50" i="5"/>
  <c r="AG57" i="5"/>
  <c r="AG64" i="5"/>
  <c r="AG71" i="5"/>
  <c r="AG78" i="5"/>
  <c r="AG85" i="5"/>
  <c r="AG92" i="5"/>
  <c r="AH43" i="5"/>
  <c r="AH50" i="5"/>
  <c r="AH57" i="5"/>
  <c r="AH64" i="5"/>
  <c r="AH71" i="5"/>
  <c r="AH78" i="5"/>
  <c r="AH85" i="5"/>
  <c r="AQ12" i="5"/>
  <c r="AQ26" i="5"/>
  <c r="AQ40" i="5"/>
  <c r="AQ54" i="5"/>
  <c r="AQ68" i="5"/>
  <c r="AQ82" i="5"/>
  <c r="AQ96" i="5"/>
  <c r="AH92" i="5"/>
  <c r="AH99" i="5"/>
  <c r="AP59" i="5"/>
  <c r="AP66" i="5"/>
  <c r="AP73" i="5"/>
  <c r="AP80" i="5"/>
  <c r="AP87" i="5"/>
  <c r="AD40" i="5"/>
  <c r="AD47" i="5"/>
  <c r="AD12" i="5"/>
  <c r="AD19" i="5"/>
  <c r="AD26" i="5"/>
  <c r="AD33" i="5"/>
  <c r="AD54" i="5"/>
  <c r="AD61" i="5"/>
  <c r="AD68" i="5"/>
  <c r="AD75" i="5"/>
  <c r="AD82" i="5"/>
  <c r="AE12" i="5"/>
  <c r="AE19" i="5"/>
  <c r="AE26" i="5"/>
  <c r="AM41" i="5"/>
  <c r="AM62" i="5"/>
  <c r="AM69" i="5"/>
  <c r="AM76" i="5"/>
  <c r="AM83" i="5"/>
  <c r="AM90" i="5"/>
  <c r="AM97" i="5"/>
  <c r="AM104" i="5"/>
  <c r="AQ20" i="5"/>
  <c r="AQ34" i="5"/>
  <c r="AQ48" i="5"/>
  <c r="AQ62" i="5"/>
  <c r="AQ76" i="5"/>
  <c r="AM13" i="5"/>
  <c r="AM55" i="5"/>
  <c r="AN13" i="5"/>
  <c r="AN20" i="5"/>
  <c r="AN27" i="5"/>
  <c r="AN34" i="5"/>
  <c r="AN41" i="5"/>
  <c r="AN48" i="5"/>
  <c r="AN55" i="5"/>
  <c r="AN62" i="5"/>
  <c r="AN69" i="5"/>
  <c r="AN76" i="5"/>
  <c r="AN83" i="5"/>
  <c r="AN90" i="5"/>
  <c r="AN97" i="5"/>
  <c r="AN104" i="5"/>
  <c r="AM48" i="5"/>
  <c r="AO90" i="5"/>
  <c r="AO97" i="5"/>
  <c r="AO104" i="5"/>
  <c r="AM20" i="5"/>
  <c r="AO13" i="5"/>
  <c r="AO48" i="5"/>
  <c r="AO62" i="5"/>
  <c r="AO69" i="5"/>
  <c r="AO76" i="5"/>
  <c r="AO83" i="5"/>
  <c r="AP13" i="5"/>
  <c r="AP20" i="5"/>
  <c r="AP27" i="5"/>
  <c r="AP34" i="5"/>
  <c r="AP41" i="5"/>
  <c r="AP48" i="5"/>
  <c r="AP55" i="5"/>
  <c r="AP62" i="5"/>
  <c r="AP69" i="5"/>
  <c r="AB76" i="5"/>
  <c r="AP76" i="5"/>
  <c r="AB83" i="5"/>
  <c r="AP83" i="5"/>
  <c r="AB90" i="5"/>
  <c r="AP90" i="5"/>
  <c r="AB97" i="5"/>
  <c r="AB104" i="5"/>
  <c r="AO27" i="5"/>
  <c r="AO55" i="5"/>
  <c r="AC83" i="5"/>
  <c r="AC90" i="5"/>
  <c r="AC97" i="5"/>
  <c r="AC104" i="5"/>
  <c r="AM27" i="5"/>
  <c r="AM34" i="5"/>
  <c r="AO34" i="5"/>
  <c r="AO41" i="5"/>
  <c r="AD89" i="5"/>
  <c r="AD96" i="5"/>
  <c r="AD97" i="5"/>
  <c r="AD103" i="5"/>
  <c r="AD104" i="5"/>
  <c r="AO20" i="5"/>
  <c r="AE69" i="5"/>
  <c r="AE76" i="5"/>
  <c r="AE83" i="5"/>
  <c r="AE90" i="5"/>
  <c r="AE97" i="5"/>
  <c r="AE104" i="5"/>
  <c r="AF104" i="5"/>
  <c r="AF55" i="5"/>
  <c r="AF83" i="5"/>
  <c r="AF90" i="5"/>
  <c r="AG13" i="5"/>
  <c r="AG20" i="5"/>
  <c r="AG27" i="5"/>
  <c r="AG34" i="5"/>
  <c r="AG41" i="5"/>
  <c r="AG48" i="5"/>
  <c r="AG55" i="5"/>
  <c r="AG62" i="5"/>
  <c r="AG69" i="5"/>
  <c r="AG76" i="5"/>
  <c r="AG83" i="5"/>
  <c r="AG90" i="5"/>
  <c r="AG97" i="5"/>
  <c r="AG99" i="5"/>
  <c r="AF13" i="5"/>
  <c r="AF20" i="5"/>
  <c r="AF27" i="5"/>
  <c r="AF34" i="5"/>
  <c r="AF41" i="5"/>
  <c r="AF48" i="5"/>
  <c r="AF62" i="5"/>
  <c r="AF69" i="5"/>
  <c r="AF76" i="5"/>
  <c r="AF97" i="5"/>
  <c r="AH13" i="5"/>
  <c r="AH20" i="5"/>
  <c r="AH27" i="5"/>
  <c r="AH34" i="5"/>
  <c r="AH41" i="5"/>
  <c r="AH48" i="5"/>
  <c r="AH55" i="5"/>
  <c r="AH62" i="5"/>
  <c r="AH69" i="5"/>
  <c r="AH76" i="5"/>
  <c r="AH83" i="5"/>
  <c r="AH90" i="5"/>
  <c r="AI62" i="5"/>
  <c r="AI69" i="5"/>
  <c r="AI76" i="5"/>
  <c r="AI83" i="5"/>
  <c r="AI90" i="5"/>
  <c r="AI97" i="5"/>
  <c r="AI13" i="5"/>
  <c r="AI20" i="5"/>
  <c r="AI27" i="5"/>
  <c r="AI34" i="5"/>
  <c r="AI41" i="5"/>
  <c r="AI48" i="5"/>
  <c r="AI55" i="5"/>
  <c r="AJ13" i="5"/>
  <c r="AJ20" i="5"/>
  <c r="AJ27" i="5"/>
  <c r="AJ34" i="5"/>
  <c r="AJ41" i="5"/>
  <c r="AJ48" i="5"/>
  <c r="AJ55" i="5"/>
  <c r="AJ62" i="5"/>
  <c r="AJ69" i="5"/>
  <c r="AJ76" i="5"/>
  <c r="AJ83" i="5"/>
  <c r="AJ90" i="5"/>
  <c r="AJ97" i="5"/>
  <c r="AP97" i="5"/>
  <c r="AH97" i="5"/>
  <c r="AB12" i="5"/>
  <c r="AB19" i="5"/>
  <c r="AB26" i="5"/>
  <c r="AB33" i="5"/>
  <c r="AB40" i="5"/>
  <c r="AB47" i="5"/>
  <c r="AB54" i="5"/>
  <c r="AB61" i="5"/>
  <c r="AB68" i="5"/>
  <c r="AP104" i="5"/>
  <c r="AG104" i="5"/>
  <c r="AH104" i="5"/>
  <c r="AI104" i="5"/>
  <c r="AJ104" i="5"/>
  <c r="AM16" i="5"/>
  <c r="AM23" i="5"/>
  <c r="AM30" i="5"/>
  <c r="AM37" i="5"/>
  <c r="AM44" i="5"/>
  <c r="AM51" i="5"/>
  <c r="AM58" i="5"/>
  <c r="AM65" i="5"/>
  <c r="AM72" i="5"/>
  <c r="Z102" i="5"/>
  <c r="AN58" i="5"/>
  <c r="AN65" i="5"/>
  <c r="AN72" i="5"/>
  <c r="AN79" i="5"/>
  <c r="AN86" i="5"/>
  <c r="AN93" i="5"/>
  <c r="AN100" i="5"/>
  <c r="AB75" i="5"/>
  <c r="AB82" i="5"/>
  <c r="AB89" i="5"/>
  <c r="AM80" i="5"/>
  <c r="AM87" i="5"/>
  <c r="AM94" i="5"/>
  <c r="AM101" i="5"/>
  <c r="AN10" i="5"/>
  <c r="Z12" i="5"/>
  <c r="Z14" i="5"/>
  <c r="Z17" i="5"/>
  <c r="AN17" i="5"/>
  <c r="AN18" i="5"/>
  <c r="Z19" i="5"/>
  <c r="Z21" i="5"/>
  <c r="Z24" i="5"/>
  <c r="AN24" i="5"/>
  <c r="Z26" i="5"/>
  <c r="Z28" i="5"/>
  <c r="Z31" i="5"/>
  <c r="AN31" i="5"/>
  <c r="Z33" i="5"/>
  <c r="Z35" i="5"/>
  <c r="Z38" i="5"/>
  <c r="AN38" i="5"/>
  <c r="Z40" i="5"/>
  <c r="Z42" i="5"/>
  <c r="Z45" i="5"/>
  <c r="AN45" i="5"/>
  <c r="Z47" i="5"/>
  <c r="Z49" i="5"/>
  <c r="Z52" i="5"/>
  <c r="AN52" i="5"/>
  <c r="Z54" i="5"/>
  <c r="Z56" i="5"/>
  <c r="Z59" i="5"/>
  <c r="AN59" i="5"/>
  <c r="Z61" i="5"/>
  <c r="Z63" i="5"/>
  <c r="AN64" i="5"/>
  <c r="Z66" i="5"/>
  <c r="AN66" i="5"/>
  <c r="Z68" i="5"/>
  <c r="Z70" i="5"/>
  <c r="AN71" i="5"/>
  <c r="Z73" i="5"/>
  <c r="AN73" i="5"/>
  <c r="Z75" i="5"/>
  <c r="Z77" i="5"/>
  <c r="AN78" i="5"/>
  <c r="Z80" i="5"/>
  <c r="AN80" i="5"/>
  <c r="Z82" i="5"/>
  <c r="Z84" i="5"/>
  <c r="AN85" i="5"/>
  <c r="Z87" i="5"/>
  <c r="AN87" i="5"/>
  <c r="Z89" i="5"/>
  <c r="Z91" i="5"/>
  <c r="AN92" i="5"/>
  <c r="Z94" i="5"/>
  <c r="AN94" i="5"/>
  <c r="Z96" i="5"/>
  <c r="Z98" i="5"/>
  <c r="AN99" i="5"/>
  <c r="Z101" i="5"/>
  <c r="AN101" i="5"/>
  <c r="Z103" i="5"/>
  <c r="AQ9" i="5"/>
  <c r="AQ23" i="5"/>
  <c r="AQ37" i="5"/>
  <c r="AO10" i="5"/>
  <c r="AA12" i="5"/>
  <c r="AA14" i="5"/>
  <c r="AO17" i="5"/>
  <c r="AA19" i="5"/>
  <c r="AA21" i="5"/>
  <c r="AA24" i="5"/>
  <c r="AO24" i="5"/>
  <c r="AA26" i="5"/>
  <c r="AA28" i="5"/>
  <c r="AA31" i="5"/>
  <c r="AO31" i="5"/>
  <c r="AA33" i="5"/>
  <c r="AA35" i="5"/>
  <c r="AA38" i="5"/>
  <c r="AO38" i="5"/>
  <c r="AA40" i="5"/>
  <c r="AA42" i="5"/>
  <c r="AA45" i="5"/>
  <c r="AO45" i="5"/>
  <c r="AA47" i="5"/>
  <c r="AA49" i="5"/>
  <c r="AA52" i="5"/>
  <c r="AO52" i="5"/>
  <c r="AA54" i="5"/>
  <c r="AA56" i="5"/>
  <c r="AA59" i="5"/>
  <c r="AO59" i="5"/>
  <c r="AA61" i="5"/>
  <c r="AA63" i="5"/>
  <c r="AO64" i="5"/>
  <c r="AA66" i="5"/>
  <c r="AO66" i="5"/>
  <c r="AA68" i="5"/>
  <c r="AA70" i="5"/>
  <c r="AO71" i="5"/>
  <c r="AA73" i="5"/>
  <c r="AO73" i="5"/>
  <c r="AA75" i="5"/>
  <c r="AO78" i="5"/>
  <c r="AA80" i="5"/>
  <c r="AO80" i="5"/>
  <c r="AA82" i="5"/>
  <c r="AO85" i="5"/>
  <c r="AA87" i="5"/>
  <c r="AO87" i="5"/>
  <c r="AA89" i="5"/>
  <c r="AO92" i="5"/>
  <c r="AA94" i="5"/>
  <c r="AO94" i="5"/>
  <c r="AA96" i="5"/>
  <c r="AO99" i="5"/>
  <c r="AA101" i="5"/>
  <c r="AO101" i="5"/>
  <c r="AA103" i="5"/>
  <c r="AP92" i="5"/>
  <c r="AB94" i="5"/>
  <c r="AP94" i="5"/>
  <c r="AB96" i="5"/>
  <c r="AP99" i="5"/>
  <c r="AB101" i="5"/>
  <c r="AP101" i="5"/>
  <c r="AB103" i="5"/>
  <c r="AB14" i="5"/>
  <c r="AB21" i="5"/>
  <c r="AB28" i="5"/>
  <c r="AB35" i="5"/>
  <c r="AB42" i="5"/>
  <c r="AB49" i="5"/>
  <c r="AC7" i="5"/>
  <c r="AC12" i="5"/>
  <c r="AC14" i="5"/>
  <c r="AC19" i="5"/>
  <c r="AC21" i="5"/>
  <c r="AC26" i="5"/>
  <c r="AC28" i="5"/>
  <c r="AC33" i="5"/>
  <c r="AC35" i="5"/>
  <c r="AC40" i="5"/>
  <c r="AC42" i="5"/>
  <c r="AC47" i="5"/>
  <c r="AC49" i="5"/>
  <c r="AC52" i="5"/>
  <c r="AC54" i="5"/>
  <c r="AC56" i="5"/>
  <c r="AC59" i="5"/>
  <c r="AC61" i="5"/>
  <c r="AC63" i="5"/>
  <c r="AC66" i="5"/>
  <c r="AC68" i="5"/>
  <c r="AC70" i="5"/>
  <c r="AC73" i="5"/>
  <c r="AC75" i="5"/>
  <c r="AC77" i="5"/>
  <c r="AC80" i="5"/>
  <c r="AC82" i="5"/>
  <c r="AC84" i="5"/>
  <c r="AC87" i="5"/>
  <c r="AC89" i="5"/>
  <c r="AC91" i="5"/>
  <c r="AC94" i="5"/>
  <c r="AC96" i="5"/>
  <c r="AC101" i="5"/>
  <c r="AC103" i="5"/>
  <c r="AE33" i="5"/>
  <c r="AE38" i="5"/>
  <c r="AE40" i="5"/>
  <c r="AE45" i="5"/>
  <c r="AE47" i="5"/>
  <c r="AE52" i="5"/>
  <c r="AE54" i="5"/>
  <c r="AE59" i="5"/>
  <c r="AE61" i="5"/>
  <c r="AE66" i="5"/>
  <c r="AE68" i="5"/>
  <c r="AE73" i="5"/>
  <c r="AE75" i="5"/>
  <c r="AE80" i="5"/>
  <c r="AE82" i="5"/>
  <c r="AE87" i="5"/>
  <c r="AE89" i="5"/>
  <c r="AE94" i="5"/>
  <c r="AE96" i="5"/>
  <c r="AE101" i="5"/>
  <c r="AE103" i="5"/>
  <c r="AH24" i="5"/>
  <c r="AH10" i="5"/>
  <c r="AI10" i="5"/>
  <c r="AI31" i="5"/>
  <c r="AH38" i="5"/>
  <c r="AI17" i="5"/>
  <c r="AJ8" i="5"/>
  <c r="AJ10" i="5"/>
  <c r="AJ15" i="5"/>
  <c r="AJ17" i="5"/>
  <c r="AJ22" i="5"/>
  <c r="AJ24" i="5"/>
  <c r="AJ29" i="5"/>
  <c r="AJ31" i="5"/>
  <c r="AJ36" i="5"/>
  <c r="AJ38" i="5"/>
  <c r="AJ43" i="5"/>
  <c r="AJ45" i="5"/>
  <c r="AJ50" i="5"/>
  <c r="AJ52" i="5"/>
  <c r="AJ57" i="5"/>
  <c r="AJ59" i="5"/>
  <c r="AJ64" i="5"/>
  <c r="AJ71" i="5"/>
  <c r="AJ78" i="5"/>
  <c r="AJ85" i="5"/>
  <c r="AJ92" i="5"/>
  <c r="AJ99" i="5"/>
  <c r="AK10" i="5"/>
  <c r="AK17" i="5"/>
  <c r="AK24" i="5"/>
  <c r="AK31" i="5"/>
  <c r="AK38" i="5"/>
  <c r="AK45" i="5"/>
  <c r="AK52" i="5"/>
  <c r="AK59" i="5"/>
  <c r="AK66" i="5"/>
  <c r="AK73" i="5"/>
  <c r="AK80" i="5"/>
  <c r="AK87" i="5"/>
  <c r="AK94" i="5"/>
  <c r="AK101" i="5"/>
  <c r="AH17" i="5"/>
  <c r="AH31" i="5"/>
  <c r="AH45" i="5"/>
  <c r="AI24" i="5"/>
  <c r="AI38" i="5"/>
  <c r="AI45" i="5"/>
  <c r="AL10" i="5"/>
  <c r="AL12" i="5"/>
  <c r="AL17" i="5"/>
  <c r="AL24" i="5"/>
  <c r="AL31" i="5"/>
  <c r="AL38" i="5"/>
  <c r="AL45" i="5"/>
  <c r="AL52" i="5"/>
  <c r="AL59" i="5"/>
  <c r="AL66" i="5"/>
  <c r="AL73" i="5"/>
  <c r="AL80" i="5"/>
  <c r="AL87" i="5"/>
  <c r="AL94" i="5"/>
  <c r="AL101" i="5"/>
  <c r="AN81" i="5"/>
  <c r="AN25" i="5"/>
  <c r="AN32" i="5"/>
  <c r="AN67" i="5"/>
  <c r="AN74" i="5"/>
  <c r="AN88" i="5"/>
  <c r="AO18" i="5"/>
  <c r="AN39" i="5"/>
  <c r="AN46" i="5"/>
  <c r="AN53" i="5"/>
  <c r="AC9" i="5"/>
  <c r="AE28" i="5"/>
  <c r="AE77" i="5"/>
  <c r="AF11" i="5"/>
  <c r="AF12" i="5"/>
  <c r="AF16" i="5"/>
  <c r="AF21" i="5"/>
  <c r="AF26" i="5"/>
  <c r="AF40" i="5"/>
  <c r="AF46" i="5"/>
  <c r="AF60" i="5"/>
  <c r="AG16" i="5"/>
  <c r="AG37" i="5"/>
  <c r="AG46" i="5"/>
  <c r="AG47" i="5"/>
  <c r="AG49" i="5"/>
  <c r="AG51" i="5"/>
  <c r="AG54" i="5"/>
  <c r="AG56" i="5"/>
  <c r="AG58" i="5"/>
  <c r="AG60" i="5"/>
  <c r="AG61" i="5"/>
  <c r="AG63" i="5"/>
  <c r="AG65" i="5"/>
  <c r="AG67" i="5"/>
  <c r="AG68" i="5"/>
  <c r="AG70" i="5"/>
  <c r="AG72" i="5"/>
  <c r="AG74" i="5"/>
  <c r="AG75" i="5"/>
  <c r="AG77" i="5"/>
  <c r="AG79" i="5"/>
  <c r="AG82" i="5"/>
  <c r="AG84" i="5"/>
  <c r="AG89" i="5"/>
  <c r="AG91" i="5"/>
  <c r="AG96" i="5"/>
  <c r="AG103" i="5"/>
  <c r="AO11" i="5"/>
  <c r="AP16" i="5"/>
  <c r="AP58" i="5"/>
  <c r="AP65" i="5"/>
  <c r="AC58" i="5"/>
  <c r="AC65" i="5"/>
  <c r="AC86" i="5"/>
  <c r="AC93" i="5"/>
  <c r="AD16" i="5"/>
  <c r="AD44" i="5"/>
  <c r="AE16" i="5"/>
  <c r="AE21" i="5"/>
  <c r="AE42" i="5"/>
  <c r="AE44" i="5"/>
  <c r="AF14" i="5"/>
  <c r="AF32" i="5"/>
  <c r="AF33" i="5"/>
  <c r="AF35" i="5"/>
  <c r="AF58" i="5"/>
  <c r="AF61" i="5"/>
  <c r="AF63" i="5"/>
  <c r="AF77" i="5"/>
  <c r="AF79" i="5"/>
  <c r="AF96" i="5"/>
  <c r="AG7" i="5"/>
  <c r="AG9" i="5"/>
  <c r="AG11" i="5"/>
  <c r="AG28" i="5"/>
  <c r="AH7" i="5"/>
  <c r="AH9" i="5"/>
  <c r="AH11" i="5"/>
  <c r="AH12" i="5"/>
  <c r="AH14" i="5"/>
  <c r="AH16" i="5"/>
  <c r="AH18" i="5"/>
  <c r="AH19" i="5"/>
  <c r="AH21" i="5"/>
  <c r="AH23" i="5"/>
  <c r="AH25" i="5"/>
  <c r="AH26" i="5"/>
  <c r="AH28" i="5"/>
  <c r="AH30" i="5"/>
  <c r="AH32" i="5"/>
  <c r="AH33" i="5"/>
  <c r="AH35" i="5"/>
  <c r="AH37" i="5"/>
  <c r="AH39" i="5"/>
  <c r="AH40" i="5"/>
  <c r="AH42" i="5"/>
  <c r="AH44" i="5"/>
  <c r="AH46" i="5"/>
  <c r="AH47" i="5"/>
  <c r="AH49" i="5"/>
  <c r="AH51" i="5"/>
  <c r="AH52" i="5"/>
  <c r="AH53" i="5"/>
  <c r="AH54" i="5"/>
  <c r="AH56" i="5"/>
  <c r="AH58" i="5"/>
  <c r="AH59" i="5"/>
  <c r="AH60" i="5"/>
  <c r="AH61" i="5"/>
  <c r="AH63" i="5"/>
  <c r="AH66" i="5"/>
  <c r="AH67" i="5"/>
  <c r="AH68" i="5"/>
  <c r="AH70" i="5"/>
  <c r="AH73" i="5"/>
  <c r="AH74" i="5"/>
  <c r="AH75" i="5"/>
  <c r="AH77" i="5"/>
  <c r="AH80" i="5"/>
  <c r="AH82" i="5"/>
  <c r="AH87" i="5"/>
  <c r="AH89" i="5"/>
  <c r="AH94" i="5"/>
  <c r="AH96" i="5"/>
  <c r="AH101" i="5"/>
  <c r="AH103" i="5"/>
  <c r="AO46" i="5"/>
  <c r="AO53" i="5"/>
  <c r="AP23" i="5"/>
  <c r="AP30" i="5"/>
  <c r="AP32" i="5"/>
  <c r="AP79" i="5"/>
  <c r="AC16" i="5"/>
  <c r="AC37" i="5"/>
  <c r="AC51" i="5"/>
  <c r="AD23" i="5"/>
  <c r="AD30" i="5"/>
  <c r="AE9" i="5"/>
  <c r="AE14" i="5"/>
  <c r="AE30" i="5"/>
  <c r="AF9" i="5"/>
  <c r="AF18" i="5"/>
  <c r="AF28" i="5"/>
  <c r="AF44" i="5"/>
  <c r="AF65" i="5"/>
  <c r="AF72" i="5"/>
  <c r="AF103" i="5"/>
  <c r="AG26" i="5"/>
  <c r="AG40" i="5"/>
  <c r="AG42" i="5"/>
  <c r="AG44" i="5"/>
  <c r="AG53" i="5"/>
  <c r="AI7" i="5"/>
  <c r="AI9" i="5"/>
  <c r="AI11" i="5"/>
  <c r="AI12" i="5"/>
  <c r="AI14" i="5"/>
  <c r="AI16" i="5"/>
  <c r="AI18" i="5"/>
  <c r="AI19" i="5"/>
  <c r="AI21" i="5"/>
  <c r="AI23" i="5"/>
  <c r="AI25" i="5"/>
  <c r="AI26" i="5"/>
  <c r="AI28" i="5"/>
  <c r="AI30" i="5"/>
  <c r="AI32" i="5"/>
  <c r="AI33" i="5"/>
  <c r="AI35" i="5"/>
  <c r="AI37" i="5"/>
  <c r="AI39" i="5"/>
  <c r="AI40" i="5"/>
  <c r="AI42" i="5"/>
  <c r="AI46" i="5"/>
  <c r="AI47" i="5"/>
  <c r="AI49" i="5"/>
  <c r="AI52" i="5"/>
  <c r="AI53" i="5"/>
  <c r="AI54" i="5"/>
  <c r="AI56" i="5"/>
  <c r="AI59" i="5"/>
  <c r="AI60" i="5"/>
  <c r="AI61" i="5"/>
  <c r="AI63" i="5"/>
  <c r="AI66" i="5"/>
  <c r="AI67" i="5"/>
  <c r="AI68" i="5"/>
  <c r="AI70" i="5"/>
  <c r="AI73" i="5"/>
  <c r="AI74" i="5"/>
  <c r="AI75" i="5"/>
  <c r="AI77" i="5"/>
  <c r="AI80" i="5"/>
  <c r="AI81" i="5"/>
  <c r="AI82" i="5"/>
  <c r="AI87" i="5"/>
  <c r="AI89" i="5"/>
  <c r="AI94" i="5"/>
  <c r="AI96" i="5"/>
  <c r="AI101" i="5"/>
  <c r="AI103" i="5"/>
  <c r="AN60" i="5"/>
  <c r="AO25" i="5"/>
  <c r="AO32" i="5"/>
  <c r="AO39" i="5"/>
  <c r="AP37" i="5"/>
  <c r="AP72" i="5"/>
  <c r="AC30" i="5"/>
  <c r="AC44" i="5"/>
  <c r="AD9" i="5"/>
  <c r="AE35" i="5"/>
  <c r="AE49" i="5"/>
  <c r="AF39" i="5"/>
  <c r="AF47" i="5"/>
  <c r="AF51" i="5"/>
  <c r="AF54" i="5"/>
  <c r="AF70" i="5"/>
  <c r="AF75" i="5"/>
  <c r="AF84" i="5"/>
  <c r="AF89" i="5"/>
  <c r="AG12" i="5"/>
  <c r="AG14" i="5"/>
  <c r="AG18" i="5"/>
  <c r="AG25" i="5"/>
  <c r="AG30" i="5"/>
  <c r="AG32" i="5"/>
  <c r="AG33" i="5"/>
  <c r="AG35" i="5"/>
  <c r="AG39" i="5"/>
  <c r="AJ7" i="5"/>
  <c r="AJ9" i="5"/>
  <c r="AJ11" i="5"/>
  <c r="AJ12" i="5"/>
  <c r="AJ14" i="5"/>
  <c r="AJ16" i="5"/>
  <c r="AJ18" i="5"/>
  <c r="AJ19" i="5"/>
  <c r="AJ21" i="5"/>
  <c r="AJ23" i="5"/>
  <c r="AJ25" i="5"/>
  <c r="AJ26" i="5"/>
  <c r="AJ28" i="5"/>
  <c r="AJ30" i="5"/>
  <c r="AJ32" i="5"/>
  <c r="AJ33" i="5"/>
  <c r="AJ35" i="5"/>
  <c r="AJ39" i="5"/>
  <c r="AJ40" i="5"/>
  <c r="AJ42" i="5"/>
  <c r="AJ47" i="5"/>
  <c r="AJ49" i="5"/>
  <c r="AJ54" i="5"/>
  <c r="AJ56" i="5"/>
  <c r="AJ61" i="5"/>
  <c r="AJ63" i="5"/>
  <c r="AJ66" i="5"/>
  <c r="AJ68" i="5"/>
  <c r="AJ70" i="5"/>
  <c r="AJ73" i="5"/>
  <c r="AJ75" i="5"/>
  <c r="AJ77" i="5"/>
  <c r="AJ80" i="5"/>
  <c r="AJ82" i="5"/>
  <c r="AJ87" i="5"/>
  <c r="AJ89" i="5"/>
  <c r="AJ94" i="5"/>
  <c r="AJ96" i="5"/>
  <c r="AJ101" i="5"/>
  <c r="AJ103" i="5"/>
  <c r="AN11" i="5"/>
  <c r="AP11" i="5"/>
  <c r="AP18" i="5"/>
  <c r="AP25" i="5"/>
  <c r="AP44" i="5"/>
  <c r="AE70" i="5"/>
  <c r="AF19" i="5"/>
  <c r="AF30" i="5"/>
  <c r="AF37" i="5"/>
  <c r="AF42" i="5"/>
  <c r="AF49" i="5"/>
  <c r="AF53" i="5"/>
  <c r="AF56" i="5"/>
  <c r="AF68" i="5"/>
  <c r="AF82" i="5"/>
  <c r="AF91" i="5"/>
  <c r="AG19" i="5"/>
  <c r="AG21" i="5"/>
  <c r="AG23" i="5"/>
  <c r="AK7" i="5"/>
  <c r="AK12" i="5"/>
  <c r="AK14" i="5"/>
  <c r="AK16" i="5"/>
  <c r="AK19" i="5"/>
  <c r="AK21" i="5"/>
  <c r="AK23" i="5"/>
  <c r="AK26" i="5"/>
  <c r="AK28" i="5"/>
  <c r="AK30" i="5"/>
  <c r="AK33" i="5"/>
  <c r="AK35" i="5"/>
  <c r="AK37" i="5"/>
  <c r="AK40" i="5"/>
  <c r="AK42" i="5"/>
  <c r="AK44" i="5"/>
  <c r="AK47" i="5"/>
  <c r="AK49" i="5"/>
  <c r="AK51" i="5"/>
  <c r="AK54" i="5"/>
  <c r="AK56" i="5"/>
  <c r="AK61" i="5"/>
  <c r="AK63" i="5"/>
  <c r="AK68" i="5"/>
  <c r="AK70" i="5"/>
  <c r="AK75" i="5"/>
  <c r="AK82" i="5"/>
  <c r="AK85" i="5"/>
  <c r="AK89" i="5"/>
  <c r="AK92" i="5"/>
  <c r="AK96" i="5"/>
  <c r="AK103" i="5"/>
  <c r="AP9" i="5"/>
  <c r="AP39" i="5"/>
  <c r="AP51" i="5"/>
  <c r="AC23" i="5"/>
  <c r="AC72" i="5"/>
  <c r="AC79" i="5"/>
  <c r="AD37" i="5"/>
  <c r="AD51" i="5"/>
  <c r="AD58" i="5"/>
  <c r="AE23" i="5"/>
  <c r="AE37" i="5"/>
  <c r="AE56" i="5"/>
  <c r="AE63" i="5"/>
  <c r="AE84" i="5"/>
  <c r="AF23" i="5"/>
  <c r="AF25" i="5"/>
  <c r="AL7" i="5"/>
  <c r="AL9" i="5"/>
  <c r="AL14" i="5"/>
  <c r="AL16" i="5"/>
  <c r="AL19" i="5"/>
  <c r="AL21" i="5"/>
  <c r="AL23" i="5"/>
  <c r="AL26" i="5"/>
  <c r="AL28" i="5"/>
  <c r="AL30" i="5"/>
  <c r="AL33" i="5"/>
  <c r="AL35" i="5"/>
  <c r="AL37" i="5"/>
  <c r="AL40" i="5"/>
  <c r="AL42" i="5"/>
  <c r="AL44" i="5"/>
  <c r="AL47" i="5"/>
  <c r="AL49" i="5"/>
  <c r="AL51" i="5"/>
  <c r="AL54" i="5"/>
  <c r="AL56" i="5"/>
  <c r="AL58" i="5"/>
  <c r="AL61" i="5"/>
  <c r="AL63" i="5"/>
  <c r="AL68" i="5"/>
  <c r="AL70" i="5"/>
  <c r="AL75" i="5"/>
  <c r="AL77" i="5"/>
  <c r="AL82" i="5"/>
  <c r="AL84" i="5"/>
  <c r="AL89" i="5"/>
  <c r="AL96" i="5"/>
  <c r="AL99" i="5"/>
  <c r="AL103" i="5"/>
  <c r="AQ90" i="5"/>
  <c r="AN95" i="5"/>
  <c r="AN102" i="5"/>
  <c r="AQ51" i="5"/>
  <c r="AQ65" i="5"/>
  <c r="AQ79" i="5"/>
  <c r="AQ93" i="5"/>
  <c r="AO60" i="5"/>
  <c r="AO67" i="5"/>
  <c r="AO74" i="5"/>
  <c r="AA77" i="5"/>
  <c r="AO81" i="5"/>
  <c r="AA84" i="5"/>
  <c r="AO88" i="5"/>
  <c r="AA91" i="5"/>
  <c r="AO95" i="5"/>
  <c r="AA98" i="5"/>
  <c r="AO102" i="5"/>
  <c r="AP46" i="5"/>
  <c r="AP53" i="5"/>
  <c r="AB56" i="5"/>
  <c r="AP60" i="5"/>
  <c r="AB63" i="5"/>
  <c r="AP67" i="5"/>
  <c r="AB70" i="5"/>
  <c r="AP74" i="5"/>
  <c r="AB77" i="5"/>
  <c r="AP81" i="5"/>
  <c r="AB84" i="5"/>
  <c r="AP86" i="5"/>
  <c r="AP88" i="5"/>
  <c r="AB91" i="5"/>
  <c r="AP93" i="5"/>
  <c r="AP95" i="5"/>
  <c r="AB98" i="5"/>
  <c r="AP102" i="5"/>
  <c r="AQ15" i="5"/>
  <c r="AQ29" i="5"/>
  <c r="AQ43" i="5"/>
  <c r="AQ57" i="5"/>
  <c r="AQ71" i="5"/>
  <c r="AQ85" i="5"/>
  <c r="AQ99" i="5"/>
  <c r="AC98" i="5"/>
  <c r="AE91" i="5"/>
  <c r="AE98" i="5"/>
  <c r="AE99" i="5"/>
  <c r="AF67" i="5"/>
  <c r="AF74" i="5"/>
  <c r="AF81" i="5"/>
  <c r="AF88" i="5"/>
  <c r="AG81" i="5"/>
  <c r="AG88" i="5"/>
  <c r="AH81" i="5"/>
  <c r="AQ19" i="5"/>
  <c r="AQ33" i="5"/>
  <c r="AQ47" i="5"/>
  <c r="AJ46" i="5"/>
  <c r="AJ53" i="5"/>
  <c r="AJ60" i="5"/>
  <c r="AJ67" i="5"/>
  <c r="AJ74" i="5"/>
  <c r="AJ81" i="5"/>
  <c r="AK77" i="5"/>
  <c r="AK84" i="5"/>
  <c r="AK91" i="5"/>
  <c r="AK98" i="5"/>
  <c r="AK99" i="5"/>
  <c r="AL91" i="5"/>
  <c r="AL98" i="5"/>
  <c r="AM79" i="5"/>
  <c r="AM86" i="5"/>
  <c r="AM93" i="5"/>
  <c r="AM100" i="5"/>
  <c r="AQ104" i="5"/>
  <c r="AA11" i="5"/>
  <c r="AA18" i="5"/>
  <c r="AA25" i="5"/>
  <c r="AA32" i="5"/>
  <c r="AA39" i="5"/>
  <c r="AA46" i="5"/>
  <c r="AA53" i="5"/>
  <c r="AA60" i="5"/>
  <c r="AA67" i="5"/>
  <c r="AA74" i="5"/>
  <c r="AA81" i="5"/>
  <c r="AA88" i="5"/>
  <c r="AA95" i="5"/>
  <c r="AA102" i="5"/>
  <c r="AB11" i="5"/>
  <c r="AB18" i="5"/>
  <c r="AB67" i="5"/>
  <c r="AB74" i="5"/>
  <c r="AB81" i="5"/>
  <c r="AB88" i="5"/>
  <c r="AB95" i="5"/>
  <c r="AP100" i="5"/>
  <c r="AB102" i="5"/>
  <c r="AC74" i="5"/>
  <c r="AC81" i="5"/>
  <c r="AC88" i="5"/>
  <c r="AC95" i="5"/>
  <c r="AC100" i="5"/>
  <c r="AC102" i="5"/>
  <c r="AQ18" i="5"/>
  <c r="AQ32" i="5"/>
  <c r="AQ46" i="5"/>
  <c r="AQ60" i="5"/>
  <c r="AQ74" i="5"/>
  <c r="AQ88" i="5"/>
  <c r="AQ102" i="5"/>
  <c r="AB32" i="5"/>
  <c r="AC67" i="5"/>
  <c r="AD11" i="5"/>
  <c r="AD18" i="5"/>
  <c r="AD25" i="5"/>
  <c r="AD39" i="5"/>
  <c r="AD46" i="5"/>
  <c r="AD53" i="5"/>
  <c r="AD60" i="5"/>
  <c r="AD65" i="5"/>
  <c r="AD67" i="5"/>
  <c r="AD72" i="5"/>
  <c r="AD74" i="5"/>
  <c r="AD79" i="5"/>
  <c r="AD81" i="5"/>
  <c r="AD86" i="5"/>
  <c r="AD88" i="5"/>
  <c r="AD93" i="5"/>
  <c r="AD95" i="5"/>
  <c r="AD100" i="5"/>
  <c r="AD102" i="5"/>
  <c r="AQ7" i="5"/>
  <c r="AQ21" i="5"/>
  <c r="AQ35" i="5"/>
  <c r="AQ49" i="5"/>
  <c r="AQ63" i="5"/>
  <c r="AQ77" i="5"/>
  <c r="AQ91" i="5"/>
  <c r="AB46" i="5"/>
  <c r="AB53" i="5"/>
  <c r="AB60" i="5"/>
  <c r="AC18" i="5"/>
  <c r="AC39" i="5"/>
  <c r="AC60" i="5"/>
  <c r="AD32" i="5"/>
  <c r="AE11" i="5"/>
  <c r="AE18" i="5"/>
  <c r="AE25" i="5"/>
  <c r="AE32" i="5"/>
  <c r="AE39" i="5"/>
  <c r="AE46" i="5"/>
  <c r="AE51" i="5"/>
  <c r="AE53" i="5"/>
  <c r="AE58" i="5"/>
  <c r="AE60" i="5"/>
  <c r="AE65" i="5"/>
  <c r="AE67" i="5"/>
  <c r="AE72" i="5"/>
  <c r="AE74" i="5"/>
  <c r="AE79" i="5"/>
  <c r="AE81" i="5"/>
  <c r="AE86" i="5"/>
  <c r="AE88" i="5"/>
  <c r="AE93" i="5"/>
  <c r="AE95" i="5"/>
  <c r="AE100" i="5"/>
  <c r="AE102" i="5"/>
  <c r="AQ10" i="5"/>
  <c r="AQ24" i="5"/>
  <c r="AQ38" i="5"/>
  <c r="AQ52" i="5"/>
  <c r="AQ66" i="5"/>
  <c r="AQ80" i="5"/>
  <c r="AQ94" i="5"/>
  <c r="AC11" i="5"/>
  <c r="AF86" i="5"/>
  <c r="AF93" i="5"/>
  <c r="AF95" i="5"/>
  <c r="AF98" i="5"/>
  <c r="AF100" i="5"/>
  <c r="AF102" i="5"/>
  <c r="AQ13" i="5"/>
  <c r="AQ27" i="5"/>
  <c r="AQ41" i="5"/>
  <c r="AQ55" i="5"/>
  <c r="AQ69" i="5"/>
  <c r="AQ83" i="5"/>
  <c r="AQ97" i="5"/>
  <c r="AB39" i="5"/>
  <c r="AG86" i="5"/>
  <c r="AG93" i="5"/>
  <c r="AG95" i="5"/>
  <c r="AG98" i="5"/>
  <c r="AG100" i="5"/>
  <c r="AG102" i="5"/>
  <c r="AQ16" i="5"/>
  <c r="AQ30" i="5"/>
  <c r="AQ44" i="5"/>
  <c r="AQ58" i="5"/>
  <c r="AQ72" i="5"/>
  <c r="AQ86" i="5"/>
  <c r="AQ100" i="5"/>
  <c r="AC32" i="5"/>
  <c r="AC53" i="5"/>
  <c r="AH65" i="5"/>
  <c r="AH72" i="5"/>
  <c r="AH79" i="5"/>
  <c r="AH84" i="5"/>
  <c r="AH86" i="5"/>
  <c r="AH88" i="5"/>
  <c r="AH91" i="5"/>
  <c r="AH93" i="5"/>
  <c r="AH95" i="5"/>
  <c r="AH98" i="5"/>
  <c r="AH100" i="5"/>
  <c r="AH102" i="5"/>
  <c r="AQ61" i="5"/>
  <c r="AQ75" i="5"/>
  <c r="AQ89" i="5"/>
  <c r="AQ103" i="5"/>
  <c r="AI44" i="5"/>
  <c r="AI51" i="5"/>
  <c r="AI58" i="5"/>
  <c r="AI65" i="5"/>
  <c r="AI72" i="5"/>
  <c r="AI79" i="5"/>
  <c r="AI84" i="5"/>
  <c r="AI86" i="5"/>
  <c r="AI88" i="5"/>
  <c r="AI91" i="5"/>
  <c r="AI93" i="5"/>
  <c r="AI95" i="5"/>
  <c r="AI98" i="5"/>
  <c r="AI100" i="5"/>
  <c r="AI102" i="5"/>
  <c r="AQ8" i="5"/>
  <c r="AQ22" i="5"/>
  <c r="AQ36" i="5"/>
  <c r="AQ50" i="5"/>
  <c r="AQ64" i="5"/>
  <c r="AQ78" i="5"/>
  <c r="AQ92" i="5"/>
  <c r="AJ37" i="5"/>
  <c r="AJ44" i="5"/>
  <c r="AJ51" i="5"/>
  <c r="AJ58" i="5"/>
  <c r="AJ65" i="5"/>
  <c r="AJ72" i="5"/>
  <c r="AJ79" i="5"/>
  <c r="AJ84" i="5"/>
  <c r="AJ86" i="5"/>
  <c r="AJ88" i="5"/>
  <c r="AJ91" i="5"/>
  <c r="AJ93" i="5"/>
  <c r="AJ95" i="5"/>
  <c r="AJ98" i="5"/>
  <c r="AJ100" i="5"/>
  <c r="AJ102" i="5"/>
  <c r="AQ11" i="5"/>
  <c r="AQ25" i="5"/>
  <c r="AQ39" i="5"/>
  <c r="AQ53" i="5"/>
  <c r="AQ67" i="5"/>
  <c r="AQ81" i="5"/>
  <c r="AQ95" i="5"/>
  <c r="AK11" i="5"/>
  <c r="AK18" i="5"/>
  <c r="AK25" i="5"/>
  <c r="AK32" i="5"/>
  <c r="AK39" i="5"/>
  <c r="AK46" i="5"/>
  <c r="AK53" i="5"/>
  <c r="AK58" i="5"/>
  <c r="AK60" i="5"/>
  <c r="AK65" i="5"/>
  <c r="AK67" i="5"/>
  <c r="AK72" i="5"/>
  <c r="AK74" i="5"/>
  <c r="AK79" i="5"/>
  <c r="AK81" i="5"/>
  <c r="AK86" i="5"/>
  <c r="AK88" i="5"/>
  <c r="AK93" i="5"/>
  <c r="AK95" i="5"/>
  <c r="AK100" i="5"/>
  <c r="AK102" i="5"/>
  <c r="AQ14" i="5"/>
  <c r="AQ28" i="5"/>
  <c r="AQ42" i="5"/>
  <c r="AQ56" i="5"/>
  <c r="AQ70" i="5"/>
  <c r="AQ84" i="5"/>
  <c r="AQ98" i="5"/>
  <c r="AB25" i="5"/>
  <c r="AC25" i="5"/>
  <c r="AC46" i="5"/>
  <c r="AL11" i="5"/>
  <c r="AL18" i="5"/>
  <c r="AL25" i="5"/>
  <c r="AL32" i="5"/>
  <c r="AL39" i="5"/>
  <c r="AL46" i="5"/>
  <c r="AL53" i="5"/>
  <c r="AL60" i="5"/>
  <c r="AL65" i="5"/>
  <c r="AL67" i="5"/>
  <c r="AL72" i="5"/>
  <c r="AL74" i="5"/>
  <c r="AL79" i="5"/>
  <c r="AL81" i="5"/>
  <c r="AL86" i="5"/>
  <c r="AL88" i="5"/>
  <c r="AL93" i="5"/>
  <c r="AL95" i="5"/>
  <c r="AL100" i="5"/>
  <c r="AL102" i="5"/>
  <c r="AQ17" i="5"/>
  <c r="AQ31" i="5"/>
  <c r="AQ45" i="5"/>
  <c r="AQ59" i="5"/>
  <c r="AQ73" i="5"/>
  <c r="AQ87" i="5"/>
  <c r="AQ101" i="5"/>
  <c r="Z6" i="4"/>
  <c r="Q25" i="4"/>
  <c r="Q11" i="4"/>
  <c r="Q53" i="4"/>
  <c r="Q67" i="4"/>
  <c r="AU16" i="4"/>
  <c r="AU30" i="4"/>
  <c r="AU44" i="4"/>
  <c r="AU58" i="4"/>
  <c r="AU72" i="4"/>
  <c r="AU9" i="4"/>
  <c r="AU65" i="4"/>
  <c r="X6" i="4"/>
  <c r="Q26" i="5"/>
  <c r="Q54" i="5"/>
  <c r="Q68" i="5"/>
  <c r="P6" i="4"/>
  <c r="Y14" i="4"/>
  <c r="Y28" i="4"/>
  <c r="Y42" i="4"/>
  <c r="Y56" i="4"/>
  <c r="Y70" i="4"/>
  <c r="Y84" i="4"/>
  <c r="P11" i="4"/>
  <c r="P25" i="4"/>
  <c r="P39" i="4"/>
  <c r="P53" i="4"/>
  <c r="P67" i="4"/>
  <c r="P81" i="4"/>
  <c r="P95" i="4"/>
  <c r="T25" i="4"/>
  <c r="T39" i="4"/>
  <c r="T53" i="4"/>
  <c r="T67" i="4"/>
  <c r="T81" i="4"/>
  <c r="T95" i="4"/>
  <c r="R53" i="4"/>
  <c r="T9" i="4"/>
  <c r="V9" i="4"/>
  <c r="V23" i="4"/>
  <c r="V65" i="4"/>
  <c r="V79" i="4"/>
  <c r="X9" i="4"/>
  <c r="X23" i="4"/>
  <c r="X37" i="4"/>
  <c r="X51" i="4"/>
  <c r="X65" i="4"/>
  <c r="X79" i="4"/>
  <c r="X93" i="4"/>
  <c r="Y9" i="4"/>
  <c r="Y10" i="4"/>
  <c r="Y23" i="4"/>
  <c r="Y24" i="4"/>
  <c r="Y37" i="4"/>
  <c r="Y38" i="4"/>
  <c r="Y51" i="4"/>
  <c r="Y52" i="4"/>
  <c r="Y66" i="4"/>
  <c r="Y79" i="4"/>
  <c r="Y80" i="4"/>
  <c r="Y93" i="4"/>
  <c r="O24" i="4"/>
  <c r="O38" i="4"/>
  <c r="O80" i="4"/>
  <c r="O94" i="4"/>
  <c r="P24" i="4"/>
  <c r="Q24" i="4"/>
  <c r="Q52" i="4"/>
  <c r="Q80" i="4"/>
  <c r="W14" i="4"/>
  <c r="X15" i="4"/>
  <c r="V49" i="4"/>
  <c r="V7" i="4"/>
  <c r="V35" i="4"/>
  <c r="V77" i="4"/>
  <c r="P7" i="4"/>
  <c r="P49" i="4"/>
  <c r="R63" i="4"/>
  <c r="R77" i="4"/>
  <c r="R91" i="4"/>
  <c r="R7" i="4"/>
  <c r="R21" i="4"/>
  <c r="R35" i="4"/>
  <c r="R49" i="4"/>
  <c r="T7" i="4"/>
  <c r="T21" i="4"/>
  <c r="T35" i="4"/>
  <c r="T49" i="4"/>
  <c r="T63" i="4"/>
  <c r="T77" i="4"/>
  <c r="T91" i="4"/>
  <c r="O15" i="4"/>
  <c r="Q29" i="4"/>
  <c r="R29" i="4"/>
  <c r="S72" i="4"/>
  <c r="U58" i="4"/>
  <c r="R71" i="4"/>
  <c r="U14" i="4"/>
  <c r="Y98" i="4"/>
  <c r="O42" i="4"/>
  <c r="O43" i="4"/>
  <c r="O56" i="4"/>
  <c r="O85" i="4"/>
  <c r="O98" i="4"/>
  <c r="P85" i="4"/>
  <c r="V96" i="4"/>
  <c r="Q68" i="4"/>
  <c r="W54" i="4"/>
  <c r="U40" i="4"/>
  <c r="Q26" i="4"/>
  <c r="Q12" i="4"/>
  <c r="W28" i="4"/>
  <c r="W42" i="4"/>
  <c r="W56" i="4"/>
  <c r="W70" i="4"/>
  <c r="W84" i="4"/>
  <c r="O12" i="4"/>
  <c r="O30" i="4"/>
  <c r="U97" i="4"/>
  <c r="U83" i="4"/>
  <c r="U69" i="4"/>
  <c r="U55" i="4"/>
  <c r="U41" i="4"/>
  <c r="U27" i="4"/>
  <c r="U13" i="4"/>
  <c r="R95" i="4"/>
  <c r="S81" i="4"/>
  <c r="S67" i="4"/>
  <c r="S53" i="4"/>
  <c r="S25" i="4"/>
  <c r="T11" i="4"/>
  <c r="R30" i="4"/>
  <c r="Q94" i="4"/>
  <c r="P80" i="4"/>
  <c r="Q66" i="4"/>
  <c r="Y65" i="4"/>
  <c r="T16" i="4"/>
  <c r="T44" i="4"/>
  <c r="T54" i="4"/>
  <c r="T58" i="4"/>
  <c r="Y64" i="4"/>
  <c r="Y50" i="4"/>
  <c r="W22" i="4"/>
  <c r="W8" i="4"/>
  <c r="U59" i="4"/>
  <c r="U35" i="4"/>
  <c r="W73" i="4"/>
  <c r="R85" i="4"/>
  <c r="Q40" i="4"/>
  <c r="R25" i="4"/>
  <c r="R67" i="4"/>
  <c r="Q38" i="4"/>
  <c r="Q54" i="4"/>
  <c r="S12" i="4"/>
  <c r="S26" i="4"/>
  <c r="S40" i="4"/>
  <c r="S54" i="4"/>
  <c r="S68" i="4"/>
  <c r="S82" i="4"/>
  <c r="S95" i="4"/>
  <c r="S96" i="4"/>
  <c r="V51" i="4"/>
  <c r="V37" i="4"/>
  <c r="R81" i="4"/>
  <c r="U12" i="4"/>
  <c r="U54" i="4"/>
  <c r="U96" i="4"/>
  <c r="V91" i="4"/>
  <c r="S77" i="4"/>
  <c r="V63" i="4"/>
  <c r="U49" i="4"/>
  <c r="V21" i="4"/>
  <c r="U7" i="4"/>
  <c r="V12" i="4"/>
  <c r="V13" i="4"/>
  <c r="V27" i="4"/>
  <c r="V40" i="4"/>
  <c r="V41" i="4"/>
  <c r="V54" i="4"/>
  <c r="V55" i="4"/>
  <c r="V69" i="4"/>
  <c r="V83" i="4"/>
  <c r="V97" i="4"/>
  <c r="O6" i="4"/>
  <c r="Y90" i="4"/>
  <c r="Y76" i="4"/>
  <c r="S62" i="4"/>
  <c r="R48" i="4"/>
  <c r="S34" i="4"/>
  <c r="S20" i="4"/>
  <c r="S8" i="4"/>
  <c r="Q85" i="4"/>
  <c r="W12" i="4"/>
  <c r="W13" i="4"/>
  <c r="W26" i="4"/>
  <c r="W27" i="4"/>
  <c r="W36" i="4"/>
  <c r="W40" i="4"/>
  <c r="W41" i="4"/>
  <c r="W55" i="4"/>
  <c r="W69" i="4"/>
  <c r="W82" i="4"/>
  <c r="W83" i="4"/>
  <c r="W96" i="4"/>
  <c r="W97" i="4"/>
  <c r="O89" i="4"/>
  <c r="X61" i="4"/>
  <c r="X47" i="4"/>
  <c r="P33" i="4"/>
  <c r="O19" i="4"/>
  <c r="R11" i="4"/>
  <c r="S35" i="4"/>
  <c r="O66" i="4"/>
  <c r="T68" i="4"/>
  <c r="X13" i="4"/>
  <c r="X22" i="4"/>
  <c r="X27" i="4"/>
  <c r="X36" i="4"/>
  <c r="X41" i="4"/>
  <c r="X55" i="4"/>
  <c r="X69" i="4"/>
  <c r="X83" i="4"/>
  <c r="X97" i="4"/>
  <c r="U74" i="4"/>
  <c r="U18" i="4"/>
  <c r="S11" i="4"/>
  <c r="P66" i="4"/>
  <c r="P94" i="4"/>
  <c r="Y27" i="4"/>
  <c r="Y36" i="4"/>
  <c r="Y41" i="4"/>
  <c r="Y55" i="4"/>
  <c r="Y69" i="4"/>
  <c r="Y83" i="4"/>
  <c r="Y97" i="4"/>
  <c r="U31" i="4"/>
  <c r="R17" i="4"/>
  <c r="T40" i="4"/>
  <c r="T72" i="4"/>
  <c r="S58" i="4"/>
  <c r="Q95" i="4"/>
  <c r="T12" i="4"/>
  <c r="Y13" i="4"/>
  <c r="R99" i="4"/>
  <c r="O71" i="4"/>
  <c r="R57" i="4"/>
  <c r="Q43" i="4"/>
  <c r="P29" i="4"/>
  <c r="R15" i="4"/>
  <c r="Y18" i="4"/>
  <c r="R43" i="4"/>
  <c r="P71" i="4"/>
  <c r="T82" i="4"/>
  <c r="T96" i="4"/>
  <c r="O84" i="4"/>
  <c r="O70" i="4"/>
  <c r="O28" i="4"/>
  <c r="O14" i="4"/>
  <c r="P21" i="4"/>
  <c r="P48" i="4"/>
  <c r="Q71" i="4"/>
  <c r="O7" i="4"/>
  <c r="U100" i="4"/>
  <c r="T86" i="4"/>
  <c r="U44" i="4"/>
  <c r="T30" i="4"/>
  <c r="U16" i="4"/>
  <c r="Q20" i="4"/>
  <c r="S30" i="4"/>
  <c r="P62" i="4"/>
  <c r="O86" i="4"/>
  <c r="X19" i="4"/>
  <c r="R6" i="4"/>
  <c r="P19" i="4"/>
  <c r="V73" i="4"/>
  <c r="W59" i="4"/>
  <c r="V45" i="4"/>
  <c r="S6" i="4"/>
  <c r="P20" i="4"/>
  <c r="S48" i="4"/>
  <c r="S7" i="4"/>
  <c r="R20" i="4"/>
  <c r="U30" i="4"/>
  <c r="P43" i="4"/>
  <c r="S49" i="4"/>
  <c r="Q62" i="4"/>
  <c r="R73" i="4"/>
  <c r="O33" i="4"/>
  <c r="R62" i="4"/>
  <c r="U73" i="4"/>
  <c r="Q81" i="4"/>
  <c r="P90" i="4"/>
  <c r="R96" i="4"/>
  <c r="R82" i="4"/>
  <c r="R68" i="4"/>
  <c r="R54" i="4"/>
  <c r="R40" i="4"/>
  <c r="R26" i="4"/>
  <c r="R12" i="4"/>
  <c r="V8" i="4"/>
  <c r="P15" i="4"/>
  <c r="S21" i="4"/>
  <c r="T26" i="4"/>
  <c r="X33" i="4"/>
  <c r="P38" i="4"/>
  <c r="O44" i="4"/>
  <c r="X50" i="4"/>
  <c r="O57" i="4"/>
  <c r="P63" i="4"/>
  <c r="U68" i="4"/>
  <c r="Q76" i="4"/>
  <c r="R90" i="4"/>
  <c r="O99" i="4"/>
  <c r="Q6" i="4"/>
  <c r="Q90" i="4"/>
  <c r="O95" i="4"/>
  <c r="O81" i="4"/>
  <c r="O67" i="4"/>
  <c r="O53" i="4"/>
  <c r="O39" i="4"/>
  <c r="O25" i="4"/>
  <c r="O11" i="4"/>
  <c r="Q15" i="4"/>
  <c r="U21" i="4"/>
  <c r="U26" i="4"/>
  <c r="P34" i="4"/>
  <c r="R44" i="4"/>
  <c r="P57" i="4"/>
  <c r="S63" i="4"/>
  <c r="V68" i="4"/>
  <c r="R76" i="4"/>
  <c r="Q82" i="4"/>
  <c r="S90" i="4"/>
  <c r="P99" i="4"/>
  <c r="Q48" i="4"/>
  <c r="P76" i="4"/>
  <c r="R13" i="4"/>
  <c r="Y94" i="4"/>
  <c r="X80" i="4"/>
  <c r="X66" i="4"/>
  <c r="X52" i="4"/>
  <c r="X38" i="4"/>
  <c r="X24" i="4"/>
  <c r="X10" i="4"/>
  <c r="O10" i="4"/>
  <c r="V26" i="4"/>
  <c r="Q34" i="4"/>
  <c r="Q39" i="4"/>
  <c r="S44" i="4"/>
  <c r="Q57" i="4"/>
  <c r="U63" i="4"/>
  <c r="W68" i="4"/>
  <c r="S76" i="4"/>
  <c r="U82" i="4"/>
  <c r="S91" i="4"/>
  <c r="Q99" i="4"/>
  <c r="W93" i="4"/>
  <c r="W79" i="4"/>
  <c r="W65" i="4"/>
  <c r="W51" i="4"/>
  <c r="W37" i="4"/>
  <c r="W23" i="4"/>
  <c r="W9" i="4"/>
  <c r="P10" i="4"/>
  <c r="O16" i="4"/>
  <c r="V22" i="4"/>
  <c r="R34" i="4"/>
  <c r="R39" i="4"/>
  <c r="R45" i="4"/>
  <c r="O52" i="4"/>
  <c r="T69" i="4"/>
  <c r="P77" i="4"/>
  <c r="V82" i="4"/>
  <c r="U91" i="4"/>
  <c r="T13" i="4"/>
  <c r="T27" i="4"/>
  <c r="T41" i="4"/>
  <c r="T55" i="4"/>
  <c r="T83" i="4"/>
  <c r="Q10" i="4"/>
  <c r="R16" i="4"/>
  <c r="O29" i="4"/>
  <c r="S39" i="4"/>
  <c r="P47" i="4"/>
  <c r="P52" i="4"/>
  <c r="R58" i="4"/>
  <c r="S100" i="4"/>
  <c r="Q91" i="4"/>
  <c r="Q77" i="4"/>
  <c r="Q63" i="4"/>
  <c r="Q49" i="4"/>
  <c r="Q35" i="4"/>
  <c r="Q21" i="4"/>
  <c r="Q7" i="4"/>
  <c r="P35" i="4"/>
  <c r="U77" i="4"/>
  <c r="T92" i="4"/>
  <c r="S92" i="4"/>
  <c r="R92" i="4"/>
  <c r="Q92" i="4"/>
  <c r="P92" i="4"/>
  <c r="O92" i="4"/>
  <c r="Y92" i="4"/>
  <c r="U92" i="4"/>
  <c r="T78" i="4"/>
  <c r="R78" i="4"/>
  <c r="Q78" i="4"/>
  <c r="P78" i="4"/>
  <c r="O78" i="4"/>
  <c r="Y78" i="4"/>
  <c r="U78" i="4"/>
  <c r="T64" i="4"/>
  <c r="R64" i="4"/>
  <c r="Q64" i="4"/>
  <c r="P64" i="4"/>
  <c r="O64" i="4"/>
  <c r="U64" i="4"/>
  <c r="T50" i="4"/>
  <c r="R50" i="4"/>
  <c r="Q50" i="4"/>
  <c r="P50" i="4"/>
  <c r="O50" i="4"/>
  <c r="U50" i="4"/>
  <c r="T36" i="4"/>
  <c r="R36" i="4"/>
  <c r="Q36" i="4"/>
  <c r="P36" i="4"/>
  <c r="O36" i="4"/>
  <c r="U36" i="4"/>
  <c r="T22" i="4"/>
  <c r="R22" i="4"/>
  <c r="Q22" i="4"/>
  <c r="P22" i="4"/>
  <c r="O22" i="4"/>
  <c r="U22" i="4"/>
  <c r="T8" i="4"/>
  <c r="R8" i="4"/>
  <c r="Q8" i="4"/>
  <c r="P8" i="4"/>
  <c r="O8" i="4"/>
  <c r="U8" i="4"/>
  <c r="X8" i="4"/>
  <c r="Y22" i="4"/>
  <c r="Y8" i="4"/>
  <c r="S16" i="4"/>
  <c r="R59" i="4"/>
  <c r="R100" i="4"/>
  <c r="Y6" i="4"/>
  <c r="Y62" i="4"/>
  <c r="Y48" i="4"/>
  <c r="Y34" i="4"/>
  <c r="Y20" i="4"/>
  <c r="Y103" i="4"/>
  <c r="X103" i="4"/>
  <c r="W103" i="4"/>
  <c r="V103" i="4"/>
  <c r="U103" i="4"/>
  <c r="T103" i="4"/>
  <c r="P103" i="4"/>
  <c r="S103" i="4"/>
  <c r="R103" i="4"/>
  <c r="Q103" i="4"/>
  <c r="Y89" i="4"/>
  <c r="X89" i="4"/>
  <c r="W89" i="4"/>
  <c r="V89" i="4"/>
  <c r="U89" i="4"/>
  <c r="T89" i="4"/>
  <c r="P89" i="4"/>
  <c r="S89" i="4"/>
  <c r="R89" i="4"/>
  <c r="Q89" i="4"/>
  <c r="Y75" i="4"/>
  <c r="W75" i="4"/>
  <c r="V75" i="4"/>
  <c r="U75" i="4"/>
  <c r="T75" i="4"/>
  <c r="P75" i="4"/>
  <c r="S75" i="4"/>
  <c r="R75" i="4"/>
  <c r="Q75" i="4"/>
  <c r="Y61" i="4"/>
  <c r="W61" i="4"/>
  <c r="V61" i="4"/>
  <c r="U61" i="4"/>
  <c r="T61" i="4"/>
  <c r="S61" i="4"/>
  <c r="R61" i="4"/>
  <c r="Q61" i="4"/>
  <c r="Y47" i="4"/>
  <c r="W47" i="4"/>
  <c r="V47" i="4"/>
  <c r="U47" i="4"/>
  <c r="T47" i="4"/>
  <c r="S47" i="4"/>
  <c r="R47" i="4"/>
  <c r="Q47" i="4"/>
  <c r="Y33" i="4"/>
  <c r="W33" i="4"/>
  <c r="V33" i="4"/>
  <c r="U33" i="4"/>
  <c r="T33" i="4"/>
  <c r="S33" i="4"/>
  <c r="R33" i="4"/>
  <c r="Q33" i="4"/>
  <c r="Y19" i="4"/>
  <c r="W19" i="4"/>
  <c r="V19" i="4"/>
  <c r="U19" i="4"/>
  <c r="T19" i="4"/>
  <c r="S19" i="4"/>
  <c r="R19" i="4"/>
  <c r="Q19" i="4"/>
  <c r="R31" i="4"/>
  <c r="U45" i="4"/>
  <c r="V59" i="4"/>
  <c r="S78" i="4"/>
  <c r="R86" i="4"/>
  <c r="T100" i="4"/>
  <c r="V102" i="4"/>
  <c r="U102" i="4"/>
  <c r="T102" i="4"/>
  <c r="S102" i="4"/>
  <c r="R102" i="4"/>
  <c r="Q102" i="4"/>
  <c r="P102" i="4"/>
  <c r="O102" i="4"/>
  <c r="W102" i="4"/>
  <c r="V88" i="4"/>
  <c r="U88" i="4"/>
  <c r="T88" i="4"/>
  <c r="S88" i="4"/>
  <c r="R88" i="4"/>
  <c r="Q88" i="4"/>
  <c r="P88" i="4"/>
  <c r="O88" i="4"/>
  <c r="W88" i="4"/>
  <c r="V74" i="4"/>
  <c r="T74" i="4"/>
  <c r="S74" i="4"/>
  <c r="R74" i="4"/>
  <c r="Q74" i="4"/>
  <c r="P74" i="4"/>
  <c r="O74" i="4"/>
  <c r="W74" i="4"/>
  <c r="V60" i="4"/>
  <c r="T60" i="4"/>
  <c r="S60" i="4"/>
  <c r="R60" i="4"/>
  <c r="Q60" i="4"/>
  <c r="P60" i="4"/>
  <c r="O60" i="4"/>
  <c r="W60" i="4"/>
  <c r="V46" i="4"/>
  <c r="T46" i="4"/>
  <c r="S46" i="4"/>
  <c r="R46" i="4"/>
  <c r="Q46" i="4"/>
  <c r="P46" i="4"/>
  <c r="O46" i="4"/>
  <c r="W46" i="4"/>
  <c r="V32" i="4"/>
  <c r="T32" i="4"/>
  <c r="S32" i="4"/>
  <c r="R32" i="4"/>
  <c r="Q32" i="4"/>
  <c r="P32" i="4"/>
  <c r="O32" i="4"/>
  <c r="W32" i="4"/>
  <c r="V18" i="4"/>
  <c r="T18" i="4"/>
  <c r="S18" i="4"/>
  <c r="R18" i="4"/>
  <c r="Q18" i="4"/>
  <c r="P18" i="4"/>
  <c r="O18" i="4"/>
  <c r="W18" i="4"/>
  <c r="X74" i="4"/>
  <c r="V78" i="4"/>
  <c r="S86" i="4"/>
  <c r="S101" i="4"/>
  <c r="R101" i="4"/>
  <c r="Q101" i="4"/>
  <c r="P101" i="4"/>
  <c r="O101" i="4"/>
  <c r="Y101" i="4"/>
  <c r="X101" i="4"/>
  <c r="T101" i="4"/>
  <c r="S87" i="4"/>
  <c r="R87" i="4"/>
  <c r="Q87" i="4"/>
  <c r="P87" i="4"/>
  <c r="O87" i="4"/>
  <c r="X87" i="4"/>
  <c r="Y87" i="4"/>
  <c r="T87" i="4"/>
  <c r="S73" i="4"/>
  <c r="Q73" i="4"/>
  <c r="P73" i="4"/>
  <c r="O73" i="4"/>
  <c r="X73" i="4"/>
  <c r="Y73" i="4"/>
  <c r="T73" i="4"/>
  <c r="S59" i="4"/>
  <c r="Q59" i="4"/>
  <c r="P59" i="4"/>
  <c r="O59" i="4"/>
  <c r="Y59" i="4"/>
  <c r="T59" i="4"/>
  <c r="S45" i="4"/>
  <c r="Q45" i="4"/>
  <c r="P45" i="4"/>
  <c r="O45" i="4"/>
  <c r="Y45" i="4"/>
  <c r="T45" i="4"/>
  <c r="S31" i="4"/>
  <c r="Q31" i="4"/>
  <c r="P31" i="4"/>
  <c r="O31" i="4"/>
  <c r="Y31" i="4"/>
  <c r="T31" i="4"/>
  <c r="S17" i="4"/>
  <c r="Q17" i="4"/>
  <c r="P17" i="4"/>
  <c r="O17" i="4"/>
  <c r="Y17" i="4"/>
  <c r="T17" i="4"/>
  <c r="U17" i="4"/>
  <c r="V31" i="4"/>
  <c r="W45" i="4"/>
  <c r="X59" i="4"/>
  <c r="Y74" i="4"/>
  <c r="W78" i="4"/>
  <c r="U101" i="4"/>
  <c r="P100" i="4"/>
  <c r="O100" i="4"/>
  <c r="Y100" i="4"/>
  <c r="X100" i="4"/>
  <c r="W100" i="4"/>
  <c r="V100" i="4"/>
  <c r="Q100" i="4"/>
  <c r="P86" i="4"/>
  <c r="Y86" i="4"/>
  <c r="U86" i="4"/>
  <c r="X86" i="4"/>
  <c r="W86" i="4"/>
  <c r="V86" i="4"/>
  <c r="Q86" i="4"/>
  <c r="P72" i="4"/>
  <c r="Y72" i="4"/>
  <c r="X72" i="4"/>
  <c r="W72" i="4"/>
  <c r="V72" i="4"/>
  <c r="U72" i="4"/>
  <c r="Q72" i="4"/>
  <c r="P58" i="4"/>
  <c r="Y58" i="4"/>
  <c r="X58" i="4"/>
  <c r="W58" i="4"/>
  <c r="V58" i="4"/>
  <c r="Q58" i="4"/>
  <c r="P44" i="4"/>
  <c r="Y44" i="4"/>
  <c r="X44" i="4"/>
  <c r="W44" i="4"/>
  <c r="V44" i="4"/>
  <c r="Q44" i="4"/>
  <c r="P30" i="4"/>
  <c r="Y30" i="4"/>
  <c r="X30" i="4"/>
  <c r="W30" i="4"/>
  <c r="V30" i="4"/>
  <c r="Q30" i="4"/>
  <c r="P16" i="4"/>
  <c r="Y16" i="4"/>
  <c r="X16" i="4"/>
  <c r="W16" i="4"/>
  <c r="V16" i="4"/>
  <c r="Q16" i="4"/>
  <c r="V17" i="4"/>
  <c r="W31" i="4"/>
  <c r="X45" i="4"/>
  <c r="U60" i="4"/>
  <c r="O75" i="4"/>
  <c r="X78" i="4"/>
  <c r="U87" i="4"/>
  <c r="V92" i="4"/>
  <c r="V101" i="4"/>
  <c r="Y99" i="4"/>
  <c r="Y85" i="4"/>
  <c r="Y71" i="4"/>
  <c r="Y57" i="4"/>
  <c r="Y43" i="4"/>
  <c r="Y29" i="4"/>
  <c r="Y15" i="4"/>
  <c r="W17" i="4"/>
  <c r="X31" i="4"/>
  <c r="U46" i="4"/>
  <c r="X60" i="4"/>
  <c r="S64" i="4"/>
  <c r="X75" i="4"/>
  <c r="V87" i="4"/>
  <c r="W92" i="4"/>
  <c r="W101" i="4"/>
  <c r="X98" i="4"/>
  <c r="X84" i="4"/>
  <c r="X70" i="4"/>
  <c r="X56" i="4"/>
  <c r="X42" i="4"/>
  <c r="X28" i="4"/>
  <c r="X14" i="4"/>
  <c r="X17" i="4"/>
  <c r="U32" i="4"/>
  <c r="X46" i="4"/>
  <c r="S50" i="4"/>
  <c r="Y60" i="4"/>
  <c r="V64" i="4"/>
  <c r="W87" i="4"/>
  <c r="X92" i="4"/>
  <c r="X102" i="4"/>
  <c r="X32" i="4"/>
  <c r="S36" i="4"/>
  <c r="Y46" i="4"/>
  <c r="V50" i="4"/>
  <c r="O61" i="4"/>
  <c r="W64" i="4"/>
  <c r="O72" i="4"/>
  <c r="X88" i="4"/>
  <c r="Y102" i="4"/>
  <c r="X18" i="4"/>
  <c r="S22" i="4"/>
  <c r="Y32" i="4"/>
  <c r="V36" i="4"/>
  <c r="O47" i="4"/>
  <c r="W50" i="4"/>
  <c r="O58" i="4"/>
  <c r="P61" i="4"/>
  <c r="X64" i="4"/>
  <c r="R72" i="4"/>
  <c r="Y88" i="4"/>
  <c r="O103" i="4"/>
  <c r="O20" i="4"/>
  <c r="O34" i="4"/>
  <c r="O48" i="4"/>
  <c r="O62" i="4"/>
  <c r="O76" i="4"/>
  <c r="O90" i="4"/>
  <c r="T6" i="4"/>
  <c r="W7" i="4"/>
  <c r="O9" i="4"/>
  <c r="R10" i="4"/>
  <c r="U11" i="4"/>
  <c r="X12" i="4"/>
  <c r="P14" i="4"/>
  <c r="S15" i="4"/>
  <c r="T20" i="4"/>
  <c r="W21" i="4"/>
  <c r="O23" i="4"/>
  <c r="R24" i="4"/>
  <c r="U25" i="4"/>
  <c r="X26" i="4"/>
  <c r="P28" i="4"/>
  <c r="S29" i="4"/>
  <c r="T34" i="4"/>
  <c r="W35" i="4"/>
  <c r="O37" i="4"/>
  <c r="R38" i="4"/>
  <c r="U39" i="4"/>
  <c r="X40" i="4"/>
  <c r="P42" i="4"/>
  <c r="S43" i="4"/>
  <c r="T48" i="4"/>
  <c r="W49" i="4"/>
  <c r="O51" i="4"/>
  <c r="R52" i="4"/>
  <c r="U53" i="4"/>
  <c r="X54" i="4"/>
  <c r="P56" i="4"/>
  <c r="S57" i="4"/>
  <c r="T62" i="4"/>
  <c r="W63" i="4"/>
  <c r="O65" i="4"/>
  <c r="R66" i="4"/>
  <c r="U67" i="4"/>
  <c r="X68" i="4"/>
  <c r="P70" i="4"/>
  <c r="S71" i="4"/>
  <c r="T76" i="4"/>
  <c r="W77" i="4"/>
  <c r="O79" i="4"/>
  <c r="R80" i="4"/>
  <c r="U81" i="4"/>
  <c r="X82" i="4"/>
  <c r="P84" i="4"/>
  <c r="S85" i="4"/>
  <c r="T90" i="4"/>
  <c r="W91" i="4"/>
  <c r="O93" i="4"/>
  <c r="R94" i="4"/>
  <c r="U95" i="4"/>
  <c r="X96" i="4"/>
  <c r="P98" i="4"/>
  <c r="S99" i="4"/>
  <c r="U6" i="4"/>
  <c r="X7" i="4"/>
  <c r="P9" i="4"/>
  <c r="S10" i="4"/>
  <c r="V11" i="4"/>
  <c r="Y12" i="4"/>
  <c r="Q14" i="4"/>
  <c r="T15" i="4"/>
  <c r="U20" i="4"/>
  <c r="X21" i="4"/>
  <c r="P23" i="4"/>
  <c r="S24" i="4"/>
  <c r="V25" i="4"/>
  <c r="Y26" i="4"/>
  <c r="Q28" i="4"/>
  <c r="T29" i="4"/>
  <c r="U34" i="4"/>
  <c r="X35" i="4"/>
  <c r="P37" i="4"/>
  <c r="S38" i="4"/>
  <c r="V39" i="4"/>
  <c r="Y40" i="4"/>
  <c r="Q42" i="4"/>
  <c r="T43" i="4"/>
  <c r="U48" i="4"/>
  <c r="X49" i="4"/>
  <c r="P51" i="4"/>
  <c r="S52" i="4"/>
  <c r="V53" i="4"/>
  <c r="Y54" i="4"/>
  <c r="Q56" i="4"/>
  <c r="T57" i="4"/>
  <c r="U62" i="4"/>
  <c r="X63" i="4"/>
  <c r="P65" i="4"/>
  <c r="S66" i="4"/>
  <c r="V67" i="4"/>
  <c r="Y68" i="4"/>
  <c r="Q70" i="4"/>
  <c r="T71" i="4"/>
  <c r="U76" i="4"/>
  <c r="X77" i="4"/>
  <c r="P79" i="4"/>
  <c r="S80" i="4"/>
  <c r="V81" i="4"/>
  <c r="Y82" i="4"/>
  <c r="Q84" i="4"/>
  <c r="T85" i="4"/>
  <c r="U90" i="4"/>
  <c r="X91" i="4"/>
  <c r="P93" i="4"/>
  <c r="S94" i="4"/>
  <c r="V95" i="4"/>
  <c r="Y96" i="4"/>
  <c r="Q98" i="4"/>
  <c r="T99" i="4"/>
  <c r="V6" i="4"/>
  <c r="Y7" i="4"/>
  <c r="Q9" i="4"/>
  <c r="T10" i="4"/>
  <c r="W11" i="4"/>
  <c r="O13" i="4"/>
  <c r="R14" i="4"/>
  <c r="U15" i="4"/>
  <c r="V20" i="4"/>
  <c r="Y21" i="4"/>
  <c r="Q23" i="4"/>
  <c r="T24" i="4"/>
  <c r="W25" i="4"/>
  <c r="O27" i="4"/>
  <c r="R28" i="4"/>
  <c r="U29" i="4"/>
  <c r="V34" i="4"/>
  <c r="Y35" i="4"/>
  <c r="Q37" i="4"/>
  <c r="T38" i="4"/>
  <c r="W39" i="4"/>
  <c r="O41" i="4"/>
  <c r="R42" i="4"/>
  <c r="U43" i="4"/>
  <c r="V48" i="4"/>
  <c r="Y49" i="4"/>
  <c r="Q51" i="4"/>
  <c r="T52" i="4"/>
  <c r="W53" i="4"/>
  <c r="O55" i="4"/>
  <c r="R56" i="4"/>
  <c r="U57" i="4"/>
  <c r="V62" i="4"/>
  <c r="Y63" i="4"/>
  <c r="Q65" i="4"/>
  <c r="T66" i="4"/>
  <c r="W67" i="4"/>
  <c r="O69" i="4"/>
  <c r="R70" i="4"/>
  <c r="U71" i="4"/>
  <c r="V76" i="4"/>
  <c r="Y77" i="4"/>
  <c r="Q79" i="4"/>
  <c r="T80" i="4"/>
  <c r="W81" i="4"/>
  <c r="O83" i="4"/>
  <c r="R84" i="4"/>
  <c r="U85" i="4"/>
  <c r="V90" i="4"/>
  <c r="Y91" i="4"/>
  <c r="Q93" i="4"/>
  <c r="T94" i="4"/>
  <c r="W95" i="4"/>
  <c r="O97" i="4"/>
  <c r="R98" i="4"/>
  <c r="U99" i="4"/>
  <c r="W6" i="4"/>
  <c r="R9" i="4"/>
  <c r="U10" i="4"/>
  <c r="X11" i="4"/>
  <c r="P13" i="4"/>
  <c r="S14" i="4"/>
  <c r="V15" i="4"/>
  <c r="W20" i="4"/>
  <c r="R23" i="4"/>
  <c r="U24" i="4"/>
  <c r="X25" i="4"/>
  <c r="P27" i="4"/>
  <c r="S28" i="4"/>
  <c r="V29" i="4"/>
  <c r="W34" i="4"/>
  <c r="R37" i="4"/>
  <c r="U38" i="4"/>
  <c r="X39" i="4"/>
  <c r="P41" i="4"/>
  <c r="S42" i="4"/>
  <c r="V43" i="4"/>
  <c r="W48" i="4"/>
  <c r="R51" i="4"/>
  <c r="U52" i="4"/>
  <c r="X53" i="4"/>
  <c r="P55" i="4"/>
  <c r="S56" i="4"/>
  <c r="V57" i="4"/>
  <c r="W62" i="4"/>
  <c r="R65" i="4"/>
  <c r="U66" i="4"/>
  <c r="X67" i="4"/>
  <c r="P69" i="4"/>
  <c r="S70" i="4"/>
  <c r="V71" i="4"/>
  <c r="W76" i="4"/>
  <c r="R79" i="4"/>
  <c r="U80" i="4"/>
  <c r="X81" i="4"/>
  <c r="P83" i="4"/>
  <c r="S84" i="4"/>
  <c r="V85" i="4"/>
  <c r="W90" i="4"/>
  <c r="R93" i="4"/>
  <c r="U94" i="4"/>
  <c r="X95" i="4"/>
  <c r="P97" i="4"/>
  <c r="S98" i="4"/>
  <c r="V99" i="4"/>
  <c r="S9" i="4"/>
  <c r="V10" i="4"/>
  <c r="Y11" i="4"/>
  <c r="Q13" i="4"/>
  <c r="T14" i="4"/>
  <c r="W15" i="4"/>
  <c r="X20" i="4"/>
  <c r="S23" i="4"/>
  <c r="V24" i="4"/>
  <c r="Y25" i="4"/>
  <c r="Q27" i="4"/>
  <c r="T28" i="4"/>
  <c r="W29" i="4"/>
  <c r="X34" i="4"/>
  <c r="S37" i="4"/>
  <c r="V38" i="4"/>
  <c r="Y39" i="4"/>
  <c r="Q41" i="4"/>
  <c r="T42" i="4"/>
  <c r="W43" i="4"/>
  <c r="X48" i="4"/>
  <c r="S51" i="4"/>
  <c r="V52" i="4"/>
  <c r="Y53" i="4"/>
  <c r="Q55" i="4"/>
  <c r="T56" i="4"/>
  <c r="W57" i="4"/>
  <c r="X62" i="4"/>
  <c r="S65" i="4"/>
  <c r="V66" i="4"/>
  <c r="Y67" i="4"/>
  <c r="Q69" i="4"/>
  <c r="T70" i="4"/>
  <c r="W71" i="4"/>
  <c r="X76" i="4"/>
  <c r="S79" i="4"/>
  <c r="V80" i="4"/>
  <c r="Y81" i="4"/>
  <c r="Q83" i="4"/>
  <c r="T84" i="4"/>
  <c r="W85" i="4"/>
  <c r="X90" i="4"/>
  <c r="S93" i="4"/>
  <c r="V94" i="4"/>
  <c r="Y95" i="4"/>
  <c r="Q97" i="4"/>
  <c r="T98" i="4"/>
  <c r="W99" i="4"/>
  <c r="W10" i="4"/>
  <c r="T23" i="4"/>
  <c r="W24" i="4"/>
  <c r="O26" i="4"/>
  <c r="R27" i="4"/>
  <c r="U28" i="4"/>
  <c r="X29" i="4"/>
  <c r="T37" i="4"/>
  <c r="W38" i="4"/>
  <c r="O40" i="4"/>
  <c r="R41" i="4"/>
  <c r="U42" i="4"/>
  <c r="X43" i="4"/>
  <c r="T51" i="4"/>
  <c r="W52" i="4"/>
  <c r="O54" i="4"/>
  <c r="R55" i="4"/>
  <c r="U56" i="4"/>
  <c r="X57" i="4"/>
  <c r="T65" i="4"/>
  <c r="W66" i="4"/>
  <c r="O68" i="4"/>
  <c r="R69" i="4"/>
  <c r="U70" i="4"/>
  <c r="X71" i="4"/>
  <c r="T79" i="4"/>
  <c r="W80" i="4"/>
  <c r="O82" i="4"/>
  <c r="R83" i="4"/>
  <c r="U84" i="4"/>
  <c r="X85" i="4"/>
  <c r="T93" i="4"/>
  <c r="W94" i="4"/>
  <c r="O96" i="4"/>
  <c r="R97" i="4"/>
  <c r="U98" i="4"/>
  <c r="X99" i="4"/>
  <c r="U9" i="4"/>
  <c r="P12" i="4"/>
  <c r="S13" i="4"/>
  <c r="V14" i="4"/>
  <c r="O21" i="4"/>
  <c r="U23" i="4"/>
  <c r="P26" i="4"/>
  <c r="S27" i="4"/>
  <c r="V28" i="4"/>
  <c r="O35" i="4"/>
  <c r="U37" i="4"/>
  <c r="P40" i="4"/>
  <c r="S41" i="4"/>
  <c r="V42" i="4"/>
  <c r="O49" i="4"/>
  <c r="U51" i="4"/>
  <c r="P54" i="4"/>
  <c r="S55" i="4"/>
  <c r="V56" i="4"/>
  <c r="O63" i="4"/>
  <c r="U65" i="4"/>
  <c r="P68" i="4"/>
  <c r="S69" i="4"/>
  <c r="V70" i="4"/>
  <c r="O77" i="4"/>
  <c r="U79" i="4"/>
  <c r="P82" i="4"/>
  <c r="S83" i="4"/>
  <c r="V84" i="4"/>
  <c r="O91" i="4"/>
  <c r="U93" i="4"/>
  <c r="X94" i="4"/>
  <c r="P96" i="4"/>
  <c r="S97" i="4"/>
  <c r="V98" i="4"/>
  <c r="P91" i="4"/>
  <c r="V93" i="4"/>
  <c r="Q96" i="4"/>
  <c r="T97" i="4"/>
  <c r="W98" i="4"/>
  <c r="AU37" i="4"/>
  <c r="AU23" i="4"/>
  <c r="AU51" i="4"/>
  <c r="AU93" i="4"/>
  <c r="AU79" i="4"/>
  <c r="AU100" i="4"/>
  <c r="AU86" i="4"/>
  <c r="AR8" i="5"/>
  <c r="AR22" i="5"/>
  <c r="AR36" i="5"/>
  <c r="AR50" i="5"/>
  <c r="AR64" i="5"/>
  <c r="AU18" i="4"/>
  <c r="AU32" i="4"/>
  <c r="AU46" i="4"/>
  <c r="AU60" i="4"/>
  <c r="AU74" i="4"/>
  <c r="AU88" i="4"/>
  <c r="AU102" i="4"/>
  <c r="AU21" i="5"/>
  <c r="AU77" i="5"/>
  <c r="AU17" i="5"/>
  <c r="AU31" i="5"/>
  <c r="AU45" i="5"/>
  <c r="AU87" i="5"/>
  <c r="AU10" i="5"/>
  <c r="AU24" i="5"/>
  <c r="AU38" i="5"/>
  <c r="AU52" i="5"/>
  <c r="AU66" i="5"/>
  <c r="AU80" i="5"/>
  <c r="AU94" i="5"/>
  <c r="AS42" i="5"/>
  <c r="AS84" i="5"/>
  <c r="AS28" i="5"/>
  <c r="AS56" i="5"/>
  <c r="AS70" i="5"/>
  <c r="AS14" i="5"/>
  <c r="AU7" i="4"/>
  <c r="AU21" i="4"/>
  <c r="AU35" i="4"/>
  <c r="AU49" i="4"/>
  <c r="AU63" i="4"/>
  <c r="AU77" i="4"/>
  <c r="AU91" i="4"/>
  <c r="AS98" i="5"/>
  <c r="AT35" i="5"/>
  <c r="AU20" i="5"/>
  <c r="AU34" i="5"/>
  <c r="AU48" i="5"/>
  <c r="AU62" i="5"/>
  <c r="AU76" i="5"/>
  <c r="AU90" i="5"/>
  <c r="AU104" i="5"/>
  <c r="AU81" i="5"/>
  <c r="AU95" i="5"/>
  <c r="AU59" i="5"/>
  <c r="AU73" i="5"/>
  <c r="AU101" i="5"/>
  <c r="AU22" i="5"/>
  <c r="AU7" i="5"/>
  <c r="AU35" i="5"/>
  <c r="AU49" i="5"/>
  <c r="AU63" i="5"/>
  <c r="AU91" i="5"/>
  <c r="AT8" i="5"/>
  <c r="AU19" i="5"/>
  <c r="AT22" i="5"/>
  <c r="AU33" i="5"/>
  <c r="AU47" i="5"/>
  <c r="AU61" i="5"/>
  <c r="AU75" i="5"/>
  <c r="AU89" i="5"/>
  <c r="AU103" i="5"/>
  <c r="AU8" i="5"/>
  <c r="AU36" i="5"/>
  <c r="AU50" i="5"/>
  <c r="AU64" i="5"/>
  <c r="AU78" i="5"/>
  <c r="AU92" i="5"/>
  <c r="AU14" i="5"/>
  <c r="AU28" i="5"/>
  <c r="AU42" i="5"/>
  <c r="AU56" i="5"/>
  <c r="AU70" i="5"/>
  <c r="AU84" i="5"/>
  <c r="AU98" i="5"/>
  <c r="AU9" i="5"/>
  <c r="AU23" i="5"/>
  <c r="AU37" i="5"/>
  <c r="AU51" i="5"/>
  <c r="AU65" i="5"/>
  <c r="AU79" i="5"/>
  <c r="AU93" i="5"/>
  <c r="AU12" i="5"/>
  <c r="AU26" i="5"/>
  <c r="AU40" i="5"/>
  <c r="AU54" i="5"/>
  <c r="AU68" i="5"/>
  <c r="AU82" i="5"/>
  <c r="AU96" i="5"/>
  <c r="AU15" i="5"/>
  <c r="AU29" i="5"/>
  <c r="AU43" i="5"/>
  <c r="AU57" i="5"/>
  <c r="AU71" i="5"/>
  <c r="AU85" i="5"/>
  <c r="AU99" i="5"/>
  <c r="AU18" i="5"/>
  <c r="AT21" i="5"/>
  <c r="AU32" i="5"/>
  <c r="AU46" i="5"/>
  <c r="AU60" i="5"/>
  <c r="AU74" i="5"/>
  <c r="AU88" i="5"/>
  <c r="AU102" i="5"/>
  <c r="AU13" i="5"/>
  <c r="AU27" i="5"/>
  <c r="AU41" i="5"/>
  <c r="AU55" i="5"/>
  <c r="AU69" i="5"/>
  <c r="AU83" i="5"/>
  <c r="AU97" i="5"/>
  <c r="AU16" i="5"/>
  <c r="AU30" i="5"/>
  <c r="AU44" i="5"/>
  <c r="AU58" i="5"/>
  <c r="AU72" i="5"/>
  <c r="AU86" i="5"/>
  <c r="AU100" i="5"/>
  <c r="AU11" i="5"/>
  <c r="AU25" i="5"/>
  <c r="AU39" i="5"/>
  <c r="AU53" i="5"/>
  <c r="AU67" i="5"/>
  <c r="AT7" i="5"/>
  <c r="AT49" i="5"/>
  <c r="AT63" i="5"/>
  <c r="AT77" i="5"/>
  <c r="AT91" i="5"/>
  <c r="AT36" i="5"/>
  <c r="AT64" i="5"/>
  <c r="AT78" i="5"/>
  <c r="AT92" i="5"/>
  <c r="AT15" i="5"/>
  <c r="AT71" i="5"/>
  <c r="AT99" i="5"/>
  <c r="AT14" i="5"/>
  <c r="AT28" i="5"/>
  <c r="AT42" i="5"/>
  <c r="AT56" i="5"/>
  <c r="AT70" i="5"/>
  <c r="AT84" i="5"/>
  <c r="AT98" i="5"/>
  <c r="AT17" i="5"/>
  <c r="AT31" i="5"/>
  <c r="AT45" i="5"/>
  <c r="AT59" i="5"/>
  <c r="AT73" i="5"/>
  <c r="AT87" i="5"/>
  <c r="AT101" i="5"/>
  <c r="AT29" i="5"/>
  <c r="AT43" i="5"/>
  <c r="AT57" i="5"/>
  <c r="AT85" i="5"/>
  <c r="AT20" i="5"/>
  <c r="AT34" i="5"/>
  <c r="AT48" i="5"/>
  <c r="AT62" i="5"/>
  <c r="AT76" i="5"/>
  <c r="AT90" i="5"/>
  <c r="AT104" i="5"/>
  <c r="AT37" i="5"/>
  <c r="AT12" i="5"/>
  <c r="AT26" i="5"/>
  <c r="AT40" i="5"/>
  <c r="AT54" i="5"/>
  <c r="AT68" i="5"/>
  <c r="AT82" i="5"/>
  <c r="AT96" i="5"/>
  <c r="AT9" i="5"/>
  <c r="AT23" i="5"/>
  <c r="AT65" i="5"/>
  <c r="AT18" i="5"/>
  <c r="AT32" i="5"/>
  <c r="AT46" i="5"/>
  <c r="AT60" i="5"/>
  <c r="AT74" i="5"/>
  <c r="AT88" i="5"/>
  <c r="AT102" i="5"/>
  <c r="AT50" i="5"/>
  <c r="AT51" i="5"/>
  <c r="AT79" i="5"/>
  <c r="AT10" i="5"/>
  <c r="AT24" i="5"/>
  <c r="AT38" i="5"/>
  <c r="AT52" i="5"/>
  <c r="AT66" i="5"/>
  <c r="AT80" i="5"/>
  <c r="AT94" i="5"/>
  <c r="AT13" i="5"/>
  <c r="AT27" i="5"/>
  <c r="AT41" i="5"/>
  <c r="AT55" i="5"/>
  <c r="AT69" i="5"/>
  <c r="AT83" i="5"/>
  <c r="AT97" i="5"/>
  <c r="AT93" i="5"/>
  <c r="AT16" i="5"/>
  <c r="AT30" i="5"/>
  <c r="AT44" i="5"/>
  <c r="AT58" i="5"/>
  <c r="AT72" i="5"/>
  <c r="AT86" i="5"/>
  <c r="AT100" i="5"/>
  <c r="AT19" i="5"/>
  <c r="AT33" i="5"/>
  <c r="AT47" i="5"/>
  <c r="AT61" i="5"/>
  <c r="AT75" i="5"/>
  <c r="AT89" i="5"/>
  <c r="AT103" i="5"/>
  <c r="AT11" i="5"/>
  <c r="AT25" i="5"/>
  <c r="AT39" i="5"/>
  <c r="AT53" i="5"/>
  <c r="AT67" i="5"/>
  <c r="AT81" i="5"/>
  <c r="AT95" i="5"/>
  <c r="AS26" i="5"/>
  <c r="AS54" i="5"/>
  <c r="AS68" i="5"/>
  <c r="AS7" i="5"/>
  <c r="AS21" i="5"/>
  <c r="AS35" i="5"/>
  <c r="AS49" i="5"/>
  <c r="AS63" i="5"/>
  <c r="AS91" i="5"/>
  <c r="AS100" i="5"/>
  <c r="AS8" i="5"/>
  <c r="AS22" i="5"/>
  <c r="AS36" i="5"/>
  <c r="AS64" i="5"/>
  <c r="AS78" i="5"/>
  <c r="AS92" i="5"/>
  <c r="AR78" i="5"/>
  <c r="AR92" i="5"/>
  <c r="AS13" i="5"/>
  <c r="AS27" i="5"/>
  <c r="AS41" i="5"/>
  <c r="AS55" i="5"/>
  <c r="AS69" i="5"/>
  <c r="AS83" i="5"/>
  <c r="AS97" i="5"/>
  <c r="AU15" i="4"/>
  <c r="AU29" i="4"/>
  <c r="AU43" i="4"/>
  <c r="AU57" i="4"/>
  <c r="AU71" i="4"/>
  <c r="AU85" i="4"/>
  <c r="AU99" i="4"/>
  <c r="AS16" i="5"/>
  <c r="AS30" i="5"/>
  <c r="AS44" i="5"/>
  <c r="AS19" i="5"/>
  <c r="AS33" i="5"/>
  <c r="AS47" i="5"/>
  <c r="AS61" i="5"/>
  <c r="AS75" i="5"/>
  <c r="AS89" i="5"/>
  <c r="AS103" i="5"/>
  <c r="AS77" i="5"/>
  <c r="AS12" i="5"/>
  <c r="AS40" i="5"/>
  <c r="AS82" i="5"/>
  <c r="AS96" i="5"/>
  <c r="AS11" i="5"/>
  <c r="AS25" i="5"/>
  <c r="AS39" i="5"/>
  <c r="AS53" i="5"/>
  <c r="AS67" i="5"/>
  <c r="AS81" i="5"/>
  <c r="AS95" i="5"/>
  <c r="AS58" i="5"/>
  <c r="AS72" i="5"/>
  <c r="AS86" i="5"/>
  <c r="AS17" i="5"/>
  <c r="AS31" i="5"/>
  <c r="AS45" i="5"/>
  <c r="AS59" i="5"/>
  <c r="AS73" i="5"/>
  <c r="AS87" i="5"/>
  <c r="AS101" i="5"/>
  <c r="AS20" i="5"/>
  <c r="AS34" i="5"/>
  <c r="AS48" i="5"/>
  <c r="AS62" i="5"/>
  <c r="AS76" i="5"/>
  <c r="AS90" i="5"/>
  <c r="AS104" i="5"/>
  <c r="AS50" i="5"/>
  <c r="AS9" i="5"/>
  <c r="AS23" i="5"/>
  <c r="AS37" i="5"/>
  <c r="AS51" i="5"/>
  <c r="AS65" i="5"/>
  <c r="AS79" i="5"/>
  <c r="AS93" i="5"/>
  <c r="AS15" i="5"/>
  <c r="AS29" i="5"/>
  <c r="AS43" i="5"/>
  <c r="AS57" i="5"/>
  <c r="AS71" i="5"/>
  <c r="AS85" i="5"/>
  <c r="AS99" i="5"/>
  <c r="AS18" i="5"/>
  <c r="AS32" i="5"/>
  <c r="AS46" i="5"/>
  <c r="AS60" i="5"/>
  <c r="AS74" i="5"/>
  <c r="AS88" i="5"/>
  <c r="AS102" i="5"/>
  <c r="AS10" i="5"/>
  <c r="AS24" i="5"/>
  <c r="AS38" i="5"/>
  <c r="AS52" i="5"/>
  <c r="AS66" i="5"/>
  <c r="AS80" i="5"/>
  <c r="AS94" i="5"/>
  <c r="AR18" i="5"/>
  <c r="AR32" i="5"/>
  <c r="AR46" i="5"/>
  <c r="AR60" i="5"/>
  <c r="AR74" i="5"/>
  <c r="AR88" i="5"/>
  <c r="AR102" i="5"/>
  <c r="AR34" i="5"/>
  <c r="AR48" i="5"/>
  <c r="AR62" i="5"/>
  <c r="AR76" i="5"/>
  <c r="AR90" i="5"/>
  <c r="AR104" i="5"/>
  <c r="AR20" i="5"/>
  <c r="AR13" i="5"/>
  <c r="AR27" i="5"/>
  <c r="AR41" i="5"/>
  <c r="AR55" i="5"/>
  <c r="AR69" i="5"/>
  <c r="AR83" i="5"/>
  <c r="AR97" i="5"/>
  <c r="AR47" i="5"/>
  <c r="AR9" i="5"/>
  <c r="AR23" i="5"/>
  <c r="AR37" i="5"/>
  <c r="AR51" i="5"/>
  <c r="AR65" i="5"/>
  <c r="AR79" i="5"/>
  <c r="AR93" i="5"/>
  <c r="AR12" i="5"/>
  <c r="AR26" i="5"/>
  <c r="AR40" i="5"/>
  <c r="AR54" i="5"/>
  <c r="AR68" i="5"/>
  <c r="AR82" i="5"/>
  <c r="AR96" i="5"/>
  <c r="AR15" i="5"/>
  <c r="AR29" i="5"/>
  <c r="AR43" i="5"/>
  <c r="AR57" i="5"/>
  <c r="AR71" i="5"/>
  <c r="AR85" i="5"/>
  <c r="AR99" i="5"/>
  <c r="AR7" i="5"/>
  <c r="AR21" i="5"/>
  <c r="AR35" i="5"/>
  <c r="AR49" i="5"/>
  <c r="AR63" i="5"/>
  <c r="AR77" i="5"/>
  <c r="AR91" i="5"/>
  <c r="AR10" i="5"/>
  <c r="AR24" i="5"/>
  <c r="AR38" i="5"/>
  <c r="AR52" i="5"/>
  <c r="AR66" i="5"/>
  <c r="AR80" i="5"/>
  <c r="AR94" i="5"/>
  <c r="AR16" i="5"/>
  <c r="AR30" i="5"/>
  <c r="AR44" i="5"/>
  <c r="AR58" i="5"/>
  <c r="AR72" i="5"/>
  <c r="AR86" i="5"/>
  <c r="AR100" i="5"/>
  <c r="AR61" i="5"/>
  <c r="AR75" i="5"/>
  <c r="AR89" i="5"/>
  <c r="AR103" i="5"/>
  <c r="AR33" i="5"/>
  <c r="AR11" i="5"/>
  <c r="AR25" i="5"/>
  <c r="AR39" i="5"/>
  <c r="AR53" i="5"/>
  <c r="AR67" i="5"/>
  <c r="AR81" i="5"/>
  <c r="AR95" i="5"/>
  <c r="AR19" i="5"/>
  <c r="AR14" i="5"/>
  <c r="AR28" i="5"/>
  <c r="AR42" i="5"/>
  <c r="AR56" i="5"/>
  <c r="AR70" i="5"/>
  <c r="AR84" i="5"/>
  <c r="AR98" i="5"/>
  <c r="AR17" i="5"/>
  <c r="AR31" i="5"/>
  <c r="AR45" i="5"/>
  <c r="AR59" i="5"/>
  <c r="AR73" i="5"/>
  <c r="AR87" i="5"/>
  <c r="AR101" i="5"/>
  <c r="AU10" i="4"/>
  <c r="AU24" i="4"/>
  <c r="AU80" i="4"/>
  <c r="AU38" i="4"/>
  <c r="AU66" i="4"/>
  <c r="AU52" i="4"/>
  <c r="AU94" i="4"/>
  <c r="AU6" i="4"/>
  <c r="AT8" i="4"/>
  <c r="AU12" i="4"/>
  <c r="AR14" i="4"/>
  <c r="AU20" i="4"/>
  <c r="AT22" i="4"/>
  <c r="AU26" i="4"/>
  <c r="AR28" i="4"/>
  <c r="AU34" i="4"/>
  <c r="AT36" i="4"/>
  <c r="AU40" i="4"/>
  <c r="AR42" i="4"/>
  <c r="AU48" i="4"/>
  <c r="AT50" i="4"/>
  <c r="AU54" i="4"/>
  <c r="AR56" i="4"/>
  <c r="AU62" i="4"/>
  <c r="AT64" i="4"/>
  <c r="AU68" i="4"/>
  <c r="AR70" i="4"/>
  <c r="AU76" i="4"/>
  <c r="AT78" i="4"/>
  <c r="AU82" i="4"/>
  <c r="AR84" i="4"/>
  <c r="AU90" i="4"/>
  <c r="AT92" i="4"/>
  <c r="AU96" i="4"/>
  <c r="AR98" i="4"/>
  <c r="P3" i="3"/>
  <c r="AR34" i="4"/>
  <c r="AT42" i="4"/>
  <c r="AR76" i="4"/>
  <c r="AS6" i="4"/>
  <c r="AR9" i="4"/>
  <c r="AQ12" i="4"/>
  <c r="AU14" i="4"/>
  <c r="AT17" i="4"/>
  <c r="AS20" i="4"/>
  <c r="AR23" i="4"/>
  <c r="AQ26" i="4"/>
  <c r="AU28" i="4"/>
  <c r="AT31" i="4"/>
  <c r="AS34" i="4"/>
  <c r="AR37" i="4"/>
  <c r="AQ40" i="4"/>
  <c r="AU42" i="4"/>
  <c r="AT45" i="4"/>
  <c r="AS48" i="4"/>
  <c r="AR51" i="4"/>
  <c r="AQ54" i="4"/>
  <c r="AU56" i="4"/>
  <c r="AT59" i="4"/>
  <c r="AS62" i="4"/>
  <c r="AR65" i="4"/>
  <c r="AQ68" i="4"/>
  <c r="AU70" i="4"/>
  <c r="AT73" i="4"/>
  <c r="AS76" i="4"/>
  <c r="AR79" i="4"/>
  <c r="AQ82" i="4"/>
  <c r="AU84" i="4"/>
  <c r="AT87" i="4"/>
  <c r="AR93" i="4"/>
  <c r="AQ96" i="4"/>
  <c r="AU98" i="4"/>
  <c r="AT101" i="4"/>
  <c r="AS11" i="4"/>
  <c r="AU13" i="4"/>
  <c r="AQ17" i="4"/>
  <c r="AU19" i="4"/>
  <c r="AS25" i="4"/>
  <c r="AU27" i="4"/>
  <c r="AQ31" i="4"/>
  <c r="AU33" i="4"/>
  <c r="AS39" i="4"/>
  <c r="AU41" i="4"/>
  <c r="AQ45" i="4"/>
  <c r="AU47" i="4"/>
  <c r="AS53" i="4"/>
  <c r="AU55" i="4"/>
  <c r="AQ59" i="4"/>
  <c r="AU61" i="4"/>
  <c r="AS67" i="4"/>
  <c r="AU69" i="4"/>
  <c r="AQ73" i="4"/>
  <c r="AU75" i="4"/>
  <c r="AS81" i="4"/>
  <c r="AU83" i="4"/>
  <c r="AQ87" i="4"/>
  <c r="AU89" i="4"/>
  <c r="AS95" i="4"/>
  <c r="AU97" i="4"/>
  <c r="AQ101" i="4"/>
  <c r="AU103" i="4"/>
  <c r="AT6" i="4"/>
  <c r="AS9" i="4"/>
  <c r="AR12" i="4"/>
  <c r="AU17" i="4"/>
  <c r="AT20" i="4"/>
  <c r="AS23" i="4"/>
  <c r="AR26" i="4"/>
  <c r="AT34" i="4"/>
  <c r="AR40" i="4"/>
  <c r="AT48" i="4"/>
  <c r="AR54" i="4"/>
  <c r="AT62" i="4"/>
  <c r="AR68" i="4"/>
  <c r="AT76" i="4"/>
  <c r="AR82" i="4"/>
  <c r="AT90" i="4"/>
  <c r="AR96" i="4"/>
  <c r="AS31" i="4"/>
  <c r="AT70" i="4"/>
  <c r="AS73" i="4"/>
  <c r="AT28" i="4"/>
  <c r="AU67" i="4"/>
  <c r="AQ15" i="4"/>
  <c r="AQ29" i="4"/>
  <c r="AU31" i="4"/>
  <c r="AS37" i="4"/>
  <c r="AQ43" i="4"/>
  <c r="AU45" i="4"/>
  <c r="AS51" i="4"/>
  <c r="AQ57" i="4"/>
  <c r="AU59" i="4"/>
  <c r="AS65" i="4"/>
  <c r="AQ71" i="4"/>
  <c r="AU73" i="4"/>
  <c r="AS79" i="4"/>
  <c r="AQ85" i="4"/>
  <c r="AU87" i="4"/>
  <c r="AS93" i="4"/>
  <c r="AQ99" i="4"/>
  <c r="AU101" i="4"/>
  <c r="AQ37" i="4"/>
  <c r="AU39" i="4"/>
  <c r="AQ79" i="4"/>
  <c r="AR6" i="4"/>
  <c r="AS45" i="4"/>
  <c r="AT84" i="4"/>
  <c r="AU81" i="4"/>
  <c r="AQ9" i="4"/>
  <c r="AR48" i="4"/>
  <c r="AS87" i="4"/>
  <c r="AU11" i="4"/>
  <c r="AQ51" i="4"/>
  <c r="AR90" i="4"/>
  <c r="AT14" i="4"/>
  <c r="AU53" i="4"/>
  <c r="AS90" i="4"/>
  <c r="AS17" i="4"/>
  <c r="AT56" i="4"/>
  <c r="AQ93" i="4"/>
  <c r="AR20" i="4"/>
  <c r="AS59" i="4"/>
  <c r="AU95" i="4"/>
  <c r="AQ23" i="4"/>
  <c r="AR62" i="4"/>
  <c r="AT98" i="4"/>
  <c r="AU25" i="4"/>
  <c r="AQ65" i="4"/>
  <c r="AS101" i="4"/>
  <c r="AQ6" i="4"/>
  <c r="AU8" i="4"/>
  <c r="AT11" i="4"/>
  <c r="AS14" i="4"/>
  <c r="AR17" i="4"/>
  <c r="AQ20" i="4"/>
  <c r="AU22" i="4"/>
  <c r="AT25" i="4"/>
  <c r="AS28" i="4"/>
  <c r="AR31" i="4"/>
  <c r="AQ34" i="4"/>
  <c r="AU36" i="4"/>
  <c r="AT39" i="4"/>
  <c r="AS42" i="4"/>
  <c r="AR45" i="4"/>
  <c r="AQ48" i="4"/>
  <c r="AU50" i="4"/>
  <c r="AT53" i="4"/>
  <c r="AS56" i="4"/>
  <c r="AR59" i="4"/>
  <c r="AQ62" i="4"/>
  <c r="AU64" i="4"/>
  <c r="AT67" i="4"/>
  <c r="AS70" i="4"/>
  <c r="AR73" i="4"/>
  <c r="AQ76" i="4"/>
  <c r="AU78" i="4"/>
  <c r="AT81" i="4"/>
  <c r="AS84" i="4"/>
  <c r="AR87" i="4"/>
  <c r="AQ90" i="4"/>
  <c r="AU92" i="4"/>
  <c r="AT95" i="4"/>
  <c r="AS98" i="4"/>
  <c r="AR101" i="4"/>
  <c r="AT9" i="4"/>
  <c r="AS12" i="4"/>
  <c r="AR15" i="4"/>
  <c r="AQ18" i="4"/>
  <c r="AT23" i="4"/>
  <c r="AS26" i="4"/>
  <c r="AR29" i="4"/>
  <c r="AQ32" i="4"/>
  <c r="AT37" i="4"/>
  <c r="AS40" i="4"/>
  <c r="AR43" i="4"/>
  <c r="AQ46" i="4"/>
  <c r="AT51" i="4"/>
  <c r="AS54" i="4"/>
  <c r="AR57" i="4"/>
  <c r="AQ60" i="4"/>
  <c r="AT65" i="4"/>
  <c r="AS68" i="4"/>
  <c r="AR71" i="4"/>
  <c r="AQ74" i="4"/>
  <c r="AT79" i="4"/>
  <c r="AS82" i="4"/>
  <c r="AR85" i="4"/>
  <c r="AQ88" i="4"/>
  <c r="AT93" i="4"/>
  <c r="AS96" i="4"/>
  <c r="AR99" i="4"/>
  <c r="AQ102" i="4"/>
  <c r="AQ7" i="4"/>
  <c r="AT12" i="4"/>
  <c r="AS15" i="4"/>
  <c r="AR18" i="4"/>
  <c r="AQ21" i="4"/>
  <c r="AT26" i="4"/>
  <c r="AS29" i="4"/>
  <c r="AR32" i="4"/>
  <c r="AQ35" i="4"/>
  <c r="AT40" i="4"/>
  <c r="AS43" i="4"/>
  <c r="AR46" i="4"/>
  <c r="AQ49" i="4"/>
  <c r="AT54" i="4"/>
  <c r="AS57" i="4"/>
  <c r="AR60" i="4"/>
  <c r="AQ63" i="4"/>
  <c r="AT68" i="4"/>
  <c r="AS71" i="4"/>
  <c r="AR74" i="4"/>
  <c r="AQ77" i="4"/>
  <c r="AT82" i="4"/>
  <c r="AS85" i="4"/>
  <c r="AR88" i="4"/>
  <c r="AQ91" i="4"/>
  <c r="AT96" i="4"/>
  <c r="AS99" i="4"/>
  <c r="AR102" i="4"/>
  <c r="AR7" i="4"/>
  <c r="AQ10" i="4"/>
  <c r="AT15" i="4"/>
  <c r="AS18" i="4"/>
  <c r="AR21" i="4"/>
  <c r="AQ24" i="4"/>
  <c r="AT29" i="4"/>
  <c r="AS32" i="4"/>
  <c r="AR35" i="4"/>
  <c r="AQ38" i="4"/>
  <c r="AT43" i="4"/>
  <c r="AS46" i="4"/>
  <c r="AR49" i="4"/>
  <c r="AQ52" i="4"/>
  <c r="AT57" i="4"/>
  <c r="AS60" i="4"/>
  <c r="AR63" i="4"/>
  <c r="AQ66" i="4"/>
  <c r="AT71" i="4"/>
  <c r="AS74" i="4"/>
  <c r="AR77" i="4"/>
  <c r="AQ80" i="4"/>
  <c r="AT85" i="4"/>
  <c r="AS88" i="4"/>
  <c r="AR91" i="4"/>
  <c r="AQ94" i="4"/>
  <c r="AT99" i="4"/>
  <c r="AS102" i="4"/>
  <c r="AS7" i="4"/>
  <c r="AR10" i="4"/>
  <c r="AQ13" i="4"/>
  <c r="AT18" i="4"/>
  <c r="AS21" i="4"/>
  <c r="AR24" i="4"/>
  <c r="AQ27" i="4"/>
  <c r="AT32" i="4"/>
  <c r="AS35" i="4"/>
  <c r="AR38" i="4"/>
  <c r="AQ41" i="4"/>
  <c r="AT46" i="4"/>
  <c r="AS49" i="4"/>
  <c r="AR52" i="4"/>
  <c r="AQ55" i="4"/>
  <c r="AT60" i="4"/>
  <c r="AS63" i="4"/>
  <c r="AR66" i="4"/>
  <c r="AQ69" i="4"/>
  <c r="AT74" i="4"/>
  <c r="AS77" i="4"/>
  <c r="AR80" i="4"/>
  <c r="AQ83" i="4"/>
  <c r="AT88" i="4"/>
  <c r="AS91" i="4"/>
  <c r="AR94" i="4"/>
  <c r="AQ97" i="4"/>
  <c r="AT102" i="4"/>
  <c r="AT7" i="4"/>
  <c r="AS10" i="4"/>
  <c r="AR13" i="4"/>
  <c r="AQ16" i="4"/>
  <c r="AT21" i="4"/>
  <c r="AS24" i="4"/>
  <c r="AR27" i="4"/>
  <c r="AQ30" i="4"/>
  <c r="AT35" i="4"/>
  <c r="AS38" i="4"/>
  <c r="AR41" i="4"/>
  <c r="AQ44" i="4"/>
  <c r="AT49" i="4"/>
  <c r="AS52" i="4"/>
  <c r="AR55" i="4"/>
  <c r="AQ58" i="4"/>
  <c r="AT63" i="4"/>
  <c r="AS66" i="4"/>
  <c r="AR69" i="4"/>
  <c r="AQ72" i="4"/>
  <c r="AT77" i="4"/>
  <c r="AS80" i="4"/>
  <c r="AR83" i="4"/>
  <c r="AQ86" i="4"/>
  <c r="AT91" i="4"/>
  <c r="AS94" i="4"/>
  <c r="AR97" i="4"/>
  <c r="AQ100" i="4"/>
  <c r="AT10" i="4"/>
  <c r="AS13" i="4"/>
  <c r="AR16" i="4"/>
  <c r="AQ19" i="4"/>
  <c r="AT24" i="4"/>
  <c r="AS27" i="4"/>
  <c r="AR30" i="4"/>
  <c r="AQ33" i="4"/>
  <c r="AT38" i="4"/>
  <c r="AS41" i="4"/>
  <c r="AR44" i="4"/>
  <c r="AQ47" i="4"/>
  <c r="AT52" i="4"/>
  <c r="AS55" i="4"/>
  <c r="AR58" i="4"/>
  <c r="AQ61" i="4"/>
  <c r="AT66" i="4"/>
  <c r="AS69" i="4"/>
  <c r="AR72" i="4"/>
  <c r="AQ75" i="4"/>
  <c r="AT80" i="4"/>
  <c r="AS83" i="4"/>
  <c r="AR86" i="4"/>
  <c r="AQ89" i="4"/>
  <c r="AT94" i="4"/>
  <c r="AS97" i="4"/>
  <c r="AR100" i="4"/>
  <c r="AQ103" i="4"/>
  <c r="AQ8" i="4"/>
  <c r="AT13" i="4"/>
  <c r="AS16" i="4"/>
  <c r="AR19" i="4"/>
  <c r="AQ22" i="4"/>
  <c r="AT27" i="4"/>
  <c r="AS30" i="4"/>
  <c r="AR33" i="4"/>
  <c r="AQ36" i="4"/>
  <c r="AT41" i="4"/>
  <c r="AS44" i="4"/>
  <c r="AR47" i="4"/>
  <c r="AQ50" i="4"/>
  <c r="AT55" i="4"/>
  <c r="AS58" i="4"/>
  <c r="AR61" i="4"/>
  <c r="AQ64" i="4"/>
  <c r="AT69" i="4"/>
  <c r="AS72" i="4"/>
  <c r="AR75" i="4"/>
  <c r="AQ78" i="4"/>
  <c r="AT83" i="4"/>
  <c r="AS86" i="4"/>
  <c r="AR89" i="4"/>
  <c r="AQ92" i="4"/>
  <c r="AT97" i="4"/>
  <c r="AS100" i="4"/>
  <c r="AR103" i="4"/>
  <c r="AR8" i="4"/>
  <c r="AQ11" i="4"/>
  <c r="AT16" i="4"/>
  <c r="AS19" i="4"/>
  <c r="AR22" i="4"/>
  <c r="AQ25" i="4"/>
  <c r="AT30" i="4"/>
  <c r="AS33" i="4"/>
  <c r="AR36" i="4"/>
  <c r="AQ39" i="4"/>
  <c r="AT44" i="4"/>
  <c r="AS47" i="4"/>
  <c r="AR50" i="4"/>
  <c r="AQ53" i="4"/>
  <c r="AT58" i="4"/>
  <c r="AS61" i="4"/>
  <c r="AR64" i="4"/>
  <c r="AQ67" i="4"/>
  <c r="AT72" i="4"/>
  <c r="AS75" i="4"/>
  <c r="AR78" i="4"/>
  <c r="AQ81" i="4"/>
  <c r="AT86" i="4"/>
  <c r="AS89" i="4"/>
  <c r="AR92" i="4"/>
  <c r="AQ95" i="4"/>
  <c r="AT100" i="4"/>
  <c r="AS103" i="4"/>
  <c r="AS8" i="4"/>
  <c r="AR11" i="4"/>
  <c r="AQ14" i="4"/>
  <c r="AT19" i="4"/>
  <c r="AS22" i="4"/>
  <c r="AR25" i="4"/>
  <c r="AQ28" i="4"/>
  <c r="AT33" i="4"/>
  <c r="AS36" i="4"/>
  <c r="AR39" i="4"/>
  <c r="AQ42" i="4"/>
  <c r="AT47" i="4"/>
  <c r="AS50" i="4"/>
  <c r="AR53" i="4"/>
  <c r="AQ56" i="4"/>
  <c r="AT61" i="4"/>
  <c r="AS64" i="4"/>
  <c r="AR67" i="4"/>
  <c r="AQ70" i="4"/>
  <c r="AT75" i="4"/>
  <c r="AS78" i="4"/>
  <c r="AR81" i="4"/>
  <c r="AQ84" i="4"/>
  <c r="AT89" i="4"/>
  <c r="AS92" i="4"/>
  <c r="AR95" i="4"/>
  <c r="AQ98" i="4"/>
  <c r="AT103" i="4"/>
  <c r="AW11" i="3"/>
  <c r="AW12" i="3"/>
  <c r="AW14" i="3"/>
  <c r="AW16" i="3"/>
  <c r="AW17" i="3"/>
  <c r="AW18" i="3"/>
  <c r="AW19" i="3"/>
  <c r="AW20" i="3"/>
  <c r="AW21" i="3"/>
  <c r="AW25" i="3"/>
  <c r="AW26" i="3"/>
  <c r="AW28" i="3"/>
  <c r="AW30" i="3"/>
  <c r="AW31" i="3"/>
  <c r="AW32" i="3"/>
  <c r="AW33" i="3"/>
  <c r="AW34" i="3"/>
  <c r="AW35" i="3"/>
  <c r="AW39" i="3"/>
  <c r="AW40" i="3"/>
  <c r="AW42" i="3"/>
  <c r="AW44" i="3"/>
  <c r="AW45" i="3"/>
  <c r="AW46" i="3"/>
  <c r="AW47" i="3"/>
  <c r="AW48" i="3"/>
  <c r="AW49" i="3"/>
  <c r="AW53" i="3"/>
  <c r="AW54" i="3"/>
  <c r="AW56" i="3"/>
  <c r="AW58" i="3"/>
  <c r="AW59" i="3"/>
  <c r="AW60" i="3"/>
  <c r="AW61" i="3"/>
  <c r="AW62" i="3"/>
  <c r="AW63" i="3"/>
  <c r="AW67" i="3"/>
  <c r="AW68" i="3"/>
  <c r="AW70" i="3"/>
  <c r="AW72" i="3"/>
  <c r="AW73" i="3"/>
  <c r="AW74" i="3"/>
  <c r="AW75" i="3"/>
  <c r="AW76" i="3"/>
  <c r="AW77" i="3"/>
  <c r="AW81" i="3"/>
  <c r="AW82" i="3"/>
  <c r="AW84" i="3"/>
  <c r="AW86" i="3"/>
  <c r="AW87" i="3"/>
  <c r="AW88" i="3"/>
  <c r="AW89" i="3"/>
  <c r="AW90" i="3"/>
  <c r="AW91" i="3"/>
  <c r="AW95" i="3"/>
  <c r="AW96" i="3"/>
  <c r="AW98" i="3"/>
  <c r="AW100" i="3"/>
  <c r="AW101" i="3"/>
  <c r="AW102" i="3"/>
  <c r="AW103" i="3"/>
  <c r="AW104" i="3"/>
  <c r="AW105" i="3"/>
  <c r="AW8" i="3"/>
  <c r="AW9" i="3"/>
  <c r="AW10" i="3"/>
  <c r="AW13" i="3"/>
  <c r="AW15" i="3"/>
  <c r="AW22" i="3"/>
  <c r="AW23" i="3"/>
  <c r="AW24" i="3"/>
  <c r="AW27" i="3"/>
  <c r="AW29" i="3"/>
  <c r="AW36" i="3"/>
  <c r="AW37" i="3"/>
  <c r="AW38" i="3"/>
  <c r="AW41" i="3"/>
  <c r="AW43" i="3"/>
  <c r="AW50" i="3"/>
  <c r="AW51" i="3"/>
  <c r="AW52" i="3"/>
  <c r="AW55" i="3"/>
  <c r="AW57" i="3"/>
  <c r="AW64" i="3"/>
  <c r="AW65" i="3"/>
  <c r="AW66" i="3"/>
  <c r="AW69" i="3"/>
  <c r="AW71" i="3"/>
  <c r="AW78" i="3"/>
  <c r="AW79" i="3"/>
  <c r="AW80" i="3"/>
  <c r="AW83" i="3"/>
  <c r="AW85" i="3"/>
  <c r="AW92" i="3"/>
  <c r="AW93" i="3"/>
  <c r="AW94" i="3"/>
  <c r="AW97" i="3"/>
  <c r="AW99" i="3"/>
  <c r="AR3" i="3"/>
  <c r="AV3" i="3"/>
  <c r="AU3" i="3"/>
  <c r="AS3" i="3"/>
  <c r="AT3" i="3"/>
  <c r="BF32" i="2"/>
  <c r="BF365" i="2"/>
  <c r="BF367" i="2"/>
  <c r="BF364" i="2"/>
  <c r="BF368" i="2"/>
  <c r="BF24" i="2"/>
  <c r="BF15" i="2"/>
  <c r="BF17" i="2" s="1"/>
  <c r="BC3" i="2"/>
  <c r="BC5" i="2" s="1"/>
  <c r="BB3" i="2"/>
  <c r="BB5" i="2" s="1"/>
  <c r="BB9" i="2"/>
  <c r="BB11" i="2" s="1"/>
  <c r="BE3" i="2"/>
  <c r="BE5" i="2" s="1"/>
  <c r="BE12" i="2"/>
  <c r="BE14" i="2" s="1"/>
  <c r="BA3" i="2"/>
  <c r="BA5" i="2" s="1"/>
  <c r="BA9" i="2"/>
  <c r="BA11" i="2" s="1"/>
  <c r="BC9" i="2"/>
  <c r="BC11" i="2" s="1"/>
  <c r="Z366" i="2"/>
  <c r="AH3" i="3"/>
  <c r="J180" i="2"/>
  <c r="BF226" i="2"/>
  <c r="AF369" i="2"/>
  <c r="J115" i="2"/>
  <c r="BF358" i="2"/>
  <c r="J145" i="2"/>
  <c r="BF319" i="2"/>
  <c r="AD381" i="2"/>
  <c r="BF117" i="2"/>
  <c r="J98" i="2"/>
  <c r="BF285" i="2"/>
  <c r="J294" i="2"/>
  <c r="J59" i="2"/>
  <c r="BF265" i="2"/>
  <c r="BF343" i="2"/>
  <c r="AA378" i="2"/>
  <c r="BF28" i="2"/>
  <c r="J191" i="2"/>
  <c r="J278" i="2"/>
  <c r="BF20" i="2"/>
  <c r="J214" i="2"/>
  <c r="J151" i="2"/>
  <c r="BF163" i="2"/>
  <c r="BF173" i="2"/>
  <c r="J66" i="2"/>
  <c r="BF240" i="2"/>
  <c r="BF273" i="2"/>
  <c r="BF144" i="2"/>
  <c r="J336" i="2"/>
  <c r="BF206" i="2"/>
  <c r="J227" i="2"/>
  <c r="AA3" i="3"/>
  <c r="J125" i="2"/>
  <c r="BF179" i="2"/>
  <c r="BF200" i="2"/>
  <c r="J210" i="2"/>
  <c r="J221" i="2"/>
  <c r="BF232" i="2"/>
  <c r="BF243" i="2"/>
  <c r="J352" i="2"/>
  <c r="J270" i="2"/>
  <c r="J105" i="2"/>
  <c r="BF128" i="2"/>
  <c r="BF138" i="2"/>
  <c r="BF213" i="2"/>
  <c r="J244" i="2"/>
  <c r="J266" i="2"/>
  <c r="BF289" i="2"/>
  <c r="AB369" i="2"/>
  <c r="J184" i="2"/>
  <c r="Z378" i="2"/>
  <c r="BF43" i="2"/>
  <c r="J63" i="2"/>
  <c r="BF108" i="2"/>
  <c r="J139" i="2"/>
  <c r="J171" i="2"/>
  <c r="BF246" i="2"/>
  <c r="BF258" i="2"/>
  <c r="BF335" i="2"/>
  <c r="J344" i="2"/>
  <c r="BF316" i="2"/>
  <c r="BF65" i="2"/>
  <c r="J259" i="2"/>
  <c r="BF36" i="2"/>
  <c r="BF47" i="2"/>
  <c r="BF58" i="2"/>
  <c r="J78" i="2"/>
  <c r="J121" i="2"/>
  <c r="J164" i="2"/>
  <c r="BF327" i="2"/>
  <c r="BF80" i="2"/>
  <c r="J101" i="2"/>
  <c r="BF351" i="2"/>
  <c r="BF362" i="2"/>
  <c r="J90" i="2"/>
  <c r="J81" i="2"/>
  <c r="BF156" i="2"/>
  <c r="J188" i="2"/>
  <c r="BF297" i="2"/>
  <c r="BF83" i="2"/>
  <c r="J87" i="2"/>
  <c r="J118" i="2"/>
  <c r="BF159" i="2"/>
  <c r="BF223" i="2"/>
  <c r="J286" i="2"/>
  <c r="BF308" i="2"/>
  <c r="BF375" i="2"/>
  <c r="BF250" i="2"/>
  <c r="AZ3" i="2"/>
  <c r="AZ5" i="2" s="1"/>
  <c r="BF89" i="2"/>
  <c r="BF150" i="2"/>
  <c r="J255" i="2"/>
  <c r="BF331" i="2"/>
  <c r="J313" i="2"/>
  <c r="J324" i="2"/>
  <c r="J154" i="2"/>
  <c r="J25" i="2"/>
  <c r="J48" i="2"/>
  <c r="BF100" i="2"/>
  <c r="BF111" i="2"/>
  <c r="BF131" i="2"/>
  <c r="BF203" i="2"/>
  <c r="BF269" i="2"/>
  <c r="J320" i="2"/>
  <c r="J142" i="2"/>
  <c r="BF39" i="2"/>
  <c r="BF50" i="2"/>
  <c r="BF93" i="2"/>
  <c r="BF153" i="2"/>
  <c r="J237" i="2"/>
  <c r="J247" i="2"/>
  <c r="BF281" i="2"/>
  <c r="BF293" i="2"/>
  <c r="BF355" i="2"/>
  <c r="AA366" i="2"/>
  <c r="J94" i="2"/>
  <c r="BF167" i="2"/>
  <c r="BF187" i="2"/>
  <c r="BF197" i="2"/>
  <c r="J218" i="2"/>
  <c r="BF229" i="2"/>
  <c r="BF261" i="2"/>
  <c r="J29" i="2"/>
  <c r="BF97" i="2"/>
  <c r="J177" i="2"/>
  <c r="J198" i="2"/>
  <c r="J241" i="2"/>
  <c r="BF220" i="2"/>
  <c r="J230" i="2"/>
  <c r="J251" i="2"/>
  <c r="J262" i="2"/>
  <c r="J21" i="2"/>
  <c r="J55" i="2"/>
  <c r="BF147" i="2"/>
  <c r="J305" i="2"/>
  <c r="BF339" i="2"/>
  <c r="BF372" i="2"/>
  <c r="AL9" i="2"/>
  <c r="AL11" i="2" s="1"/>
  <c r="AL3" i="2"/>
  <c r="AL5" i="2" s="1"/>
  <c r="Y9" i="2"/>
  <c r="Y3" i="2"/>
  <c r="J33" i="2"/>
  <c r="BF194" i="2"/>
  <c r="J44" i="2"/>
  <c r="J74" i="2"/>
  <c r="Z369" i="2"/>
  <c r="BF104" i="2"/>
  <c r="BF124" i="2"/>
  <c r="BF323" i="2"/>
  <c r="J359" i="2"/>
  <c r="BF86" i="2"/>
  <c r="BF114" i="2"/>
  <c r="BF170" i="2"/>
  <c r="J204" i="2"/>
  <c r="J274" i="2"/>
  <c r="BF304" i="2"/>
  <c r="AI366" i="2"/>
  <c r="J37" i="2"/>
  <c r="BF135" i="2"/>
  <c r="J160" i="2"/>
  <c r="BF277" i="2"/>
  <c r="BF176" i="2"/>
  <c r="J84" i="2"/>
  <c r="J282" i="2"/>
  <c r="J132" i="2"/>
  <c r="J340" i="2"/>
  <c r="AA369" i="2"/>
  <c r="AD3" i="2"/>
  <c r="AD5" i="2" s="1"/>
  <c r="AD378" i="2"/>
  <c r="AG3" i="3"/>
  <c r="S3" i="3"/>
  <c r="BF347" i="2"/>
  <c r="AM3" i="2"/>
  <c r="AM5" i="2" s="1"/>
  <c r="AN12" i="2"/>
  <c r="AN14" i="2" s="1"/>
  <c r="BF69" i="2"/>
  <c r="J136" i="2"/>
  <c r="BF183" i="2"/>
  <c r="BF190" i="2"/>
  <c r="J207" i="2"/>
  <c r="Y366" i="2"/>
  <c r="AI3" i="3"/>
  <c r="U3" i="3"/>
  <c r="J40" i="2"/>
  <c r="J233" i="2"/>
  <c r="AB366" i="2"/>
  <c r="AQ3" i="2"/>
  <c r="AQ5" i="2" s="1"/>
  <c r="J328" i="2"/>
  <c r="J51" i="2"/>
  <c r="BF120" i="2"/>
  <c r="J201" i="2"/>
  <c r="J174" i="2"/>
  <c r="AL3" i="3"/>
  <c r="J148" i="2"/>
  <c r="J157" i="2"/>
  <c r="J290" i="2"/>
  <c r="BF300" i="2"/>
  <c r="BF312" i="2"/>
  <c r="AE381" i="2"/>
  <c r="Z379" i="2"/>
  <c r="Z12" i="2" s="1"/>
  <c r="Z14" i="2" s="1"/>
  <c r="Y381" i="2"/>
  <c r="Z3" i="3"/>
  <c r="AO3" i="3"/>
  <c r="BF254" i="2"/>
  <c r="J298" i="2"/>
  <c r="J356" i="2"/>
  <c r="AC381" i="2"/>
  <c r="BF73" i="2"/>
  <c r="AF381" i="2"/>
  <c r="Y369" i="2"/>
  <c r="AJ3" i="3"/>
  <c r="AQ3" i="3"/>
  <c r="J70" i="2"/>
  <c r="J109" i="2"/>
  <c r="BF236" i="2"/>
  <c r="J309" i="2"/>
  <c r="J112" i="2"/>
  <c r="BF141" i="2"/>
  <c r="J168" i="2"/>
  <c r="AQ9" i="2"/>
  <c r="AQ11" i="2" s="1"/>
  <c r="AX12" i="2"/>
  <c r="AX14" i="2" s="1"/>
  <c r="AX3" i="2"/>
  <c r="AX5" i="2" s="1"/>
  <c r="AC3" i="2"/>
  <c r="AC5" i="2" s="1"/>
  <c r="AC9" i="2"/>
  <c r="AC11" i="2" s="1"/>
  <c r="AC378" i="2"/>
  <c r="AB9" i="2"/>
  <c r="AB11" i="2" s="1"/>
  <c r="AB3" i="2"/>
  <c r="AB5" i="2" s="1"/>
  <c r="AB378" i="2"/>
  <c r="AK12" i="2"/>
  <c r="AK14" i="2" s="1"/>
  <c r="AK3" i="2"/>
  <c r="AK5" i="2" s="1"/>
  <c r="AF9" i="2"/>
  <c r="AF11" i="2" s="1"/>
  <c r="AF3" i="2"/>
  <c r="AF5" i="2" s="1"/>
  <c r="AT9" i="2"/>
  <c r="AT11" i="2" s="1"/>
  <c r="AT3" i="2"/>
  <c r="AT5" i="2" s="1"/>
  <c r="AU9" i="2"/>
  <c r="AU11" i="2" s="1"/>
  <c r="AU3" i="2"/>
  <c r="AU5" i="2" s="1"/>
  <c r="AE9" i="2"/>
  <c r="AE11" i="2" s="1"/>
  <c r="AE3" i="2"/>
  <c r="AE5" i="2" s="1"/>
  <c r="AE378" i="2"/>
  <c r="AG381" i="2"/>
  <c r="Z9" i="2"/>
  <c r="AS9" i="2"/>
  <c r="AS11" i="2" s="1"/>
  <c r="AS3" i="2"/>
  <c r="AS5" i="2" s="1"/>
  <c r="AH381" i="2"/>
  <c r="AA9" i="2"/>
  <c r="AA11" i="2" s="1"/>
  <c r="AA3" i="2"/>
  <c r="AA5" i="2" s="1"/>
  <c r="AI380" i="2"/>
  <c r="AI381" i="2" s="1"/>
  <c r="AD3" i="3"/>
  <c r="BF209" i="2"/>
  <c r="H365" i="2"/>
  <c r="AC7" i="4"/>
  <c r="Z8" i="4"/>
  <c r="AN8" i="4"/>
  <c r="AK9" i="4"/>
  <c r="AI10" i="4"/>
  <c r="AB14" i="4"/>
  <c r="AP14" i="4"/>
  <c r="AI18" i="4"/>
  <c r="AA22" i="4"/>
  <c r="AO22" i="4"/>
  <c r="AL25" i="4"/>
  <c r="AK37" i="4"/>
  <c r="AD7" i="4"/>
  <c r="AL9" i="4"/>
  <c r="AH19" i="4"/>
  <c r="AB22" i="4"/>
  <c r="AP22" i="4"/>
  <c r="AH28" i="4"/>
  <c r="AG29" i="4"/>
  <c r="AL36" i="4"/>
  <c r="J195" i="2"/>
  <c r="J348" i="2"/>
  <c r="AC369" i="2"/>
  <c r="AE7" i="4"/>
  <c r="AM9" i="4"/>
  <c r="AA16" i="4"/>
  <c r="AO16" i="4"/>
  <c r="AJ27" i="4"/>
  <c r="AD32" i="4"/>
  <c r="AJ46" i="4"/>
  <c r="AI51" i="4"/>
  <c r="AG61" i="4"/>
  <c r="AC366" i="2"/>
  <c r="AD369" i="2"/>
  <c r="AF7" i="4"/>
  <c r="Z9" i="4"/>
  <c r="AN9" i="4"/>
  <c r="AB16" i="4"/>
  <c r="AP16" i="4"/>
  <c r="AL18" i="4"/>
  <c r="AD23" i="4"/>
  <c r="AK27" i="4"/>
  <c r="AJ28" i="4"/>
  <c r="AI29" i="4"/>
  <c r="AE32" i="4"/>
  <c r="AC34" i="4"/>
  <c r="Z36" i="4"/>
  <c r="AN36" i="4"/>
  <c r="AM9" i="2"/>
  <c r="AM11" i="2" s="1"/>
  <c r="J332" i="2"/>
  <c r="AB381" i="2"/>
  <c r="AD366" i="2"/>
  <c r="AE369" i="2"/>
  <c r="T3" i="3"/>
  <c r="AK3" i="3"/>
  <c r="AA9" i="4"/>
  <c r="AO9" i="4"/>
  <c r="AL11" i="4"/>
  <c r="AE15" i="4"/>
  <c r="AC16" i="4"/>
  <c r="AM26" i="4"/>
  <c r="AD34" i="4"/>
  <c r="AC14" i="4"/>
  <c r="AE366" i="2"/>
  <c r="AI369" i="2"/>
  <c r="AI376" i="2"/>
  <c r="AG377" i="2"/>
  <c r="AG378" i="2" s="1"/>
  <c r="AG369" i="2"/>
  <c r="AH7" i="4"/>
  <c r="AE8" i="4"/>
  <c r="AB9" i="4"/>
  <c r="AP9" i="4"/>
  <c r="AF15" i="4"/>
  <c r="AD16" i="4"/>
  <c r="AI21" i="4"/>
  <c r="AF22" i="4"/>
  <c r="AL28" i="4"/>
  <c r="AM45" i="4"/>
  <c r="AL50" i="4"/>
  <c r="AK55" i="4"/>
  <c r="AV3" i="2"/>
  <c r="AV5" i="2" s="1"/>
  <c r="AF366" i="2"/>
  <c r="AR3" i="2"/>
  <c r="AR5" i="2" s="1"/>
  <c r="AA381" i="2"/>
  <c r="V3" i="3"/>
  <c r="AM3" i="3"/>
  <c r="AF8" i="4"/>
  <c r="AC9" i="4"/>
  <c r="AH14" i="4"/>
  <c r="AG15" i="4"/>
  <c r="AE16" i="4"/>
  <c r="AJ21" i="4"/>
  <c r="AG22" i="4"/>
  <c r="AO26" i="4"/>
  <c r="AJ30" i="4"/>
  <c r="AF34" i="4"/>
  <c r="AG3" i="2"/>
  <c r="AG5" i="2" s="1"/>
  <c r="J129" i="2"/>
  <c r="J317" i="2"/>
  <c r="AG366" i="2"/>
  <c r="W3" i="3"/>
  <c r="AN3" i="3"/>
  <c r="AG8" i="4"/>
  <c r="AD9" i="4"/>
  <c r="AI14" i="4"/>
  <c r="AH15" i="4"/>
  <c r="AF16" i="4"/>
  <c r="AC17" i="4"/>
  <c r="AH23" i="4"/>
  <c r="AO27" i="4"/>
  <c r="AM29" i="4"/>
  <c r="AK30" i="4"/>
  <c r="AI32" i="4"/>
  <c r="AC39" i="4"/>
  <c r="AH366" i="2"/>
  <c r="AF378" i="2"/>
  <c r="X3" i="3"/>
  <c r="AI15" i="4"/>
  <c r="AA19" i="4"/>
  <c r="AI23" i="4"/>
  <c r="Z29" i="4"/>
  <c r="AN29" i="4"/>
  <c r="AM59" i="4"/>
  <c r="AG6" i="4"/>
  <c r="BF77" i="2"/>
  <c r="J301" i="2"/>
  <c r="G367" i="2"/>
  <c r="Y3" i="3"/>
  <c r="AP3" i="3"/>
  <c r="AB19" i="4"/>
  <c r="AP19" i="4"/>
  <c r="AJ23" i="4"/>
  <c r="AI33" i="4"/>
  <c r="AF36" i="4"/>
  <c r="AE39" i="4"/>
  <c r="H368" i="2"/>
  <c r="AE10" i="4"/>
  <c r="AA12" i="4"/>
  <c r="AO12" i="4"/>
  <c r="AK23" i="4"/>
  <c r="AM31" i="4"/>
  <c r="AG36" i="4"/>
  <c r="AE43" i="4"/>
  <c r="AD48" i="4"/>
  <c r="AB58" i="4"/>
  <c r="AP58" i="4"/>
  <c r="Z7" i="4"/>
  <c r="AH9" i="4"/>
  <c r="AF10" i="4"/>
  <c r="AG17" i="4"/>
  <c r="AL22" i="4"/>
  <c r="BF62" i="2"/>
  <c r="BF217" i="2"/>
  <c r="G364" i="2"/>
  <c r="Y378" i="2"/>
  <c r="AB3" i="3"/>
  <c r="Q3" i="3"/>
  <c r="AE3" i="3"/>
  <c r="AA7" i="4"/>
  <c r="AO7" i="4"/>
  <c r="AG10" i="4"/>
  <c r="AC12" i="4"/>
  <c r="AK16" i="4"/>
  <c r="AH17" i="4"/>
  <c r="AM22" i="4"/>
  <c r="AD29" i="4"/>
  <c r="AO31" i="4"/>
  <c r="AN7" i="4"/>
  <c r="AK8" i="4"/>
  <c r="AB12" i="4"/>
  <c r="AP12" i="4"/>
  <c r="AL23" i="4"/>
  <c r="BF54" i="2"/>
  <c r="J224" i="2"/>
  <c r="AC3" i="3"/>
  <c r="R3" i="3"/>
  <c r="AF3" i="3"/>
  <c r="AB7" i="4"/>
  <c r="AP7" i="4"/>
  <c r="AD12" i="4"/>
  <c r="AF19" i="4"/>
  <c r="Z22" i="4"/>
  <c r="AN22" i="4"/>
  <c r="AE29" i="4"/>
  <c r="AG47" i="4"/>
  <c r="AD62" i="4"/>
  <c r="AE9" i="4"/>
  <c r="AG13" i="4"/>
  <c r="AD14" i="4"/>
  <c r="AL16" i="4"/>
  <c r="AI17" i="4"/>
  <c r="AC19" i="4"/>
  <c r="Z20" i="4"/>
  <c r="AK21" i="4"/>
  <c r="AH22" i="4"/>
  <c r="AE23" i="4"/>
  <c r="AM25" i="4"/>
  <c r="AA29" i="4"/>
  <c r="AO29" i="4"/>
  <c r="AL30" i="4"/>
  <c r="AF32" i="4"/>
  <c r="Z34" i="4"/>
  <c r="AN34" i="4"/>
  <c r="AH36" i="4"/>
  <c r="AG41" i="4"/>
  <c r="AA43" i="4"/>
  <c r="AO43" i="4"/>
  <c r="AF46" i="4"/>
  <c r="Z48" i="4"/>
  <c r="AN48" i="4"/>
  <c r="AK49" i="4"/>
  <c r="AE51" i="4"/>
  <c r="AG55" i="4"/>
  <c r="AA57" i="4"/>
  <c r="AL58" i="4"/>
  <c r="AF60" i="4"/>
  <c r="Z62" i="4"/>
  <c r="AN62" i="4"/>
  <c r="AE65" i="4"/>
  <c r="AM67" i="4"/>
  <c r="AG69" i="4"/>
  <c r="AL72" i="4"/>
  <c r="AG74" i="4"/>
  <c r="AA76" i="4"/>
  <c r="AG79" i="4"/>
  <c r="AB81" i="4"/>
  <c r="AP81" i="4"/>
  <c r="AG86" i="4"/>
  <c r="AD88" i="4"/>
  <c r="AH8" i="4"/>
  <c r="AH369" i="2"/>
  <c r="AI8" i="4"/>
  <c r="AF9" i="4"/>
  <c r="AC10" i="4"/>
  <c r="AE14" i="4"/>
  <c r="AM16" i="4"/>
  <c r="AD19" i="4"/>
  <c r="AO20" i="4"/>
  <c r="AL21" i="4"/>
  <c r="AI22" i="4"/>
  <c r="AF23" i="4"/>
  <c r="AH27" i="4"/>
  <c r="AB29" i="4"/>
  <c r="AP29" i="4"/>
  <c r="AG32" i="4"/>
  <c r="AA34" i="4"/>
  <c r="AO34" i="4"/>
  <c r="AI36" i="4"/>
  <c r="AC38" i="4"/>
  <c r="AB43" i="4"/>
  <c r="AP43" i="4"/>
  <c r="AG46" i="4"/>
  <c r="AA48" i="4"/>
  <c r="AO48" i="4"/>
  <c r="AI50" i="4"/>
  <c r="AF51" i="4"/>
  <c r="AC52" i="4"/>
  <c r="AH55" i="4"/>
  <c r="AA62" i="4"/>
  <c r="AO62" i="4"/>
  <c r="AF65" i="4"/>
  <c r="Z67" i="4"/>
  <c r="AN67" i="4"/>
  <c r="AK68" i="4"/>
  <c r="AH69" i="4"/>
  <c r="AE70" i="4"/>
  <c r="AE75" i="4"/>
  <c r="AB76" i="4"/>
  <c r="AP76" i="4"/>
  <c r="AH79" i="4"/>
  <c r="AC81" i="4"/>
  <c r="Z83" i="4"/>
  <c r="AN83" i="4"/>
  <c r="AH86" i="4"/>
  <c r="AG87" i="4"/>
  <c r="AE88" i="4"/>
  <c r="AI97" i="4"/>
  <c r="AM7" i="4"/>
  <c r="AG9" i="4"/>
  <c r="AD10" i="4"/>
  <c r="AF14" i="4"/>
  <c r="Z16" i="4"/>
  <c r="AN16" i="4"/>
  <c r="AE19" i="4"/>
  <c r="AP20" i="4"/>
  <c r="AG23" i="4"/>
  <c r="AL26" i="4"/>
  <c r="AC29" i="4"/>
  <c r="AN30" i="4"/>
  <c r="AH32" i="4"/>
  <c r="AB34" i="4"/>
  <c r="AP34" i="4"/>
  <c r="AM35" i="4"/>
  <c r="AF42" i="4"/>
  <c r="AC43" i="4"/>
  <c r="AH46" i="4"/>
  <c r="AE47" i="4"/>
  <c r="AB48" i="4"/>
  <c r="AP48" i="4"/>
  <c r="AJ50" i="4"/>
  <c r="AG51" i="4"/>
  <c r="AD52" i="4"/>
  <c r="AK59" i="4"/>
  <c r="AB62" i="4"/>
  <c r="AP62" i="4"/>
  <c r="AG65" i="4"/>
  <c r="AA67" i="4"/>
  <c r="AO67" i="4"/>
  <c r="AL68" i="4"/>
  <c r="AF70" i="4"/>
  <c r="AK73" i="4"/>
  <c r="AI74" i="4"/>
  <c r="AF75" i="4"/>
  <c r="AC76" i="4"/>
  <c r="AL78" i="4"/>
  <c r="AI79" i="4"/>
  <c r="AI86" i="4"/>
  <c r="AF88" i="4"/>
  <c r="AH37" i="4"/>
  <c r="AB39" i="4"/>
  <c r="AP39" i="4"/>
  <c r="AD43" i="4"/>
  <c r="AI46" i="4"/>
  <c r="AF47" i="4"/>
  <c r="AC48" i="4"/>
  <c r="AK50" i="4"/>
  <c r="AH51" i="4"/>
  <c r="AM54" i="4"/>
  <c r="AA58" i="4"/>
  <c r="AO58" i="4"/>
  <c r="AL59" i="4"/>
  <c r="AI60" i="4"/>
  <c r="AC62" i="4"/>
  <c r="AH65" i="4"/>
  <c r="AB67" i="4"/>
  <c r="AP67" i="4"/>
  <c r="AG70" i="4"/>
  <c r="AA72" i="4"/>
  <c r="AO72" i="4"/>
  <c r="AG75" i="4"/>
  <c r="AD76" i="4"/>
  <c r="AB83" i="4"/>
  <c r="AP83" i="4"/>
  <c r="AL94" i="4"/>
  <c r="AI65" i="4"/>
  <c r="AC67" i="4"/>
  <c r="AK69" i="4"/>
  <c r="AB72" i="4"/>
  <c r="AP72" i="4"/>
  <c r="AH75" i="4"/>
  <c r="AE76" i="4"/>
  <c r="AK79" i="4"/>
  <c r="AF81" i="4"/>
  <c r="AE82" i="4"/>
  <c r="AC83" i="4"/>
  <c r="AL85" i="4"/>
  <c r="AK86" i="4"/>
  <c r="AA93" i="4"/>
  <c r="AO93" i="4"/>
  <c r="AL95" i="4"/>
  <c r="AI28" i="4"/>
  <c r="AF29" i="4"/>
  <c r="Z31" i="4"/>
  <c r="AN31" i="4"/>
  <c r="AE34" i="4"/>
  <c r="AM36" i="4"/>
  <c r="AD39" i="4"/>
  <c r="AF43" i="4"/>
  <c r="AH47" i="4"/>
  <c r="AE48" i="4"/>
  <c r="AM50" i="4"/>
  <c r="AG52" i="4"/>
  <c r="AL55" i="4"/>
  <c r="AI56" i="4"/>
  <c r="AC58" i="4"/>
  <c r="AN59" i="4"/>
  <c r="AE62" i="4"/>
  <c r="AM64" i="4"/>
  <c r="AD67" i="4"/>
  <c r="AL69" i="4"/>
  <c r="AI70" i="4"/>
  <c r="AC72" i="4"/>
  <c r="AI75" i="4"/>
  <c r="AF76" i="4"/>
  <c r="AC77" i="4"/>
  <c r="AL79" i="4"/>
  <c r="AF82" i="4"/>
  <c r="AD83" i="4"/>
  <c r="AL86" i="4"/>
  <c r="AB93" i="4"/>
  <c r="AP93" i="4"/>
  <c r="AM95" i="4"/>
  <c r="AG43" i="4"/>
  <c r="AD44" i="4"/>
  <c r="AI47" i="4"/>
  <c r="AF48" i="4"/>
  <c r="AN50" i="4"/>
  <c r="AK51" i="4"/>
  <c r="AH52" i="4"/>
  <c r="AM55" i="4"/>
  <c r="AJ56" i="4"/>
  <c r="AD58" i="4"/>
  <c r="AF62" i="4"/>
  <c r="AK65" i="4"/>
  <c r="AE67" i="4"/>
  <c r="AM69" i="4"/>
  <c r="AD72" i="4"/>
  <c r="AM74" i="4"/>
  <c r="AG76" i="4"/>
  <c r="AD77" i="4"/>
  <c r="AG82" i="4"/>
  <c r="AE83" i="4"/>
  <c r="AL7" i="4"/>
  <c r="AJ9" i="4"/>
  <c r="AH11" i="4"/>
  <c r="AF13" i="4"/>
  <c r="AD15" i="4"/>
  <c r="AP17" i="4"/>
  <c r="AJ19" i="4"/>
  <c r="AM21" i="4"/>
  <c r="AN27" i="4"/>
  <c r="AK28" i="4"/>
  <c r="AH29" i="4"/>
  <c r="AP31" i="4"/>
  <c r="AG34" i="4"/>
  <c r="AA36" i="4"/>
  <c r="AO36" i="4"/>
  <c r="AF39" i="4"/>
  <c r="Z41" i="4"/>
  <c r="AN41" i="4"/>
  <c r="AH43" i="4"/>
  <c r="AE44" i="4"/>
  <c r="AM46" i="4"/>
  <c r="AJ47" i="4"/>
  <c r="AG48" i="4"/>
  <c r="AO50" i="4"/>
  <c r="AL51" i="4"/>
  <c r="AI52" i="4"/>
  <c r="Z55" i="4"/>
  <c r="AN55" i="4"/>
  <c r="AE58" i="4"/>
  <c r="AM60" i="4"/>
  <c r="AG62" i="4"/>
  <c r="AD63" i="4"/>
  <c r="AA64" i="4"/>
  <c r="AO64" i="4"/>
  <c r="AL65" i="4"/>
  <c r="AF67" i="4"/>
  <c r="Z69" i="4"/>
  <c r="AN69" i="4"/>
  <c r="AE72" i="4"/>
  <c r="AI81" i="4"/>
  <c r="AH82" i="4"/>
  <c r="AF83" i="4"/>
  <c r="AC84" i="4"/>
  <c r="AA95" i="4"/>
  <c r="AO95" i="4"/>
  <c r="AK101" i="4"/>
  <c r="AB36" i="4"/>
  <c r="AP36" i="4"/>
  <c r="AG39" i="4"/>
  <c r="AA41" i="4"/>
  <c r="AO41" i="4"/>
  <c r="AI43" i="4"/>
  <c r="AF44" i="4"/>
  <c r="AK47" i="4"/>
  <c r="AH48" i="4"/>
  <c r="AJ52" i="4"/>
  <c r="AA55" i="4"/>
  <c r="AO55" i="4"/>
  <c r="AF58" i="4"/>
  <c r="Z60" i="4"/>
  <c r="AN60" i="4"/>
  <c r="AH62" i="4"/>
  <c r="AP64" i="4"/>
  <c r="AJ66" i="4"/>
  <c r="AG67" i="4"/>
  <c r="AA69" i="4"/>
  <c r="AO69" i="4"/>
  <c r="AI71" i="4"/>
  <c r="AF72" i="4"/>
  <c r="AA74" i="4"/>
  <c r="AO74" i="4"/>
  <c r="AL75" i="4"/>
  <c r="AF77" i="4"/>
  <c r="AA79" i="4"/>
  <c r="AO79" i="4"/>
  <c r="AI82" i="4"/>
  <c r="AG83" i="4"/>
  <c r="AD84" i="4"/>
  <c r="AG91" i="4"/>
  <c r="AE93" i="4"/>
  <c r="AE12" i="4"/>
  <c r="AM14" i="4"/>
  <c r="AG16" i="4"/>
  <c r="AD17" i="4"/>
  <c r="AC22" i="4"/>
  <c r="Z23" i="4"/>
  <c r="AN23" i="4"/>
  <c r="AM28" i="4"/>
  <c r="AG30" i="4"/>
  <c r="AC36" i="4"/>
  <c r="AK38" i="4"/>
  <c r="AH39" i="4"/>
  <c r="AB41" i="4"/>
  <c r="AP41" i="4"/>
  <c r="AG44" i="4"/>
  <c r="AL47" i="4"/>
  <c r="AK52" i="4"/>
  <c r="AB55" i="4"/>
  <c r="AP55" i="4"/>
  <c r="AM56" i="4"/>
  <c r="AG58" i="4"/>
  <c r="AA60" i="4"/>
  <c r="AO60" i="4"/>
  <c r="AK66" i="4"/>
  <c r="AE68" i="4"/>
  <c r="AB69" i="4"/>
  <c r="AP69" i="4"/>
  <c r="AG72" i="4"/>
  <c r="AB74" i="4"/>
  <c r="AP74" i="4"/>
  <c r="AG77" i="4"/>
  <c r="AB79" i="4"/>
  <c r="AP79" i="4"/>
  <c r="AH91" i="4"/>
  <c r="AI11" i="4"/>
  <c r="Z14" i="4"/>
  <c r="AN14" i="4"/>
  <c r="AH16" i="4"/>
  <c r="AE17" i="4"/>
  <c r="AJ20" i="4"/>
  <c r="AD22" i="4"/>
  <c r="AA23" i="4"/>
  <c r="AH30" i="4"/>
  <c r="AB32" i="4"/>
  <c r="AP32" i="4"/>
  <c r="AD36" i="4"/>
  <c r="AI39" i="4"/>
  <c r="AC41" i="4"/>
  <c r="AH44" i="4"/>
  <c r="AM47" i="4"/>
  <c r="AG49" i="4"/>
  <c r="AA51" i="4"/>
  <c r="AO51" i="4"/>
  <c r="AL52" i="4"/>
  <c r="AC55" i="4"/>
  <c r="AH58" i="4"/>
  <c r="AB60" i="4"/>
  <c r="AP60" i="4"/>
  <c r="AA65" i="4"/>
  <c r="AO65" i="4"/>
  <c r="AI67" i="4"/>
  <c r="AF68" i="4"/>
  <c r="AC69" i="4"/>
  <c r="AH72" i="4"/>
  <c r="AC74" i="4"/>
  <c r="AK76" i="4"/>
  <c r="AC79" i="4"/>
  <c r="AF84" i="4"/>
  <c r="AC98" i="4"/>
  <c r="Z100" i="4"/>
  <c r="AN100" i="4"/>
  <c r="AA14" i="4"/>
  <c r="AO14" i="4"/>
  <c r="AF17" i="4"/>
  <c r="AK20" i="4"/>
  <c r="AH21" i="4"/>
  <c r="AE22" i="4"/>
  <c r="AL29" i="4"/>
  <c r="AI30" i="4"/>
  <c r="AC32" i="4"/>
  <c r="Z33" i="4"/>
  <c r="AE36" i="4"/>
  <c r="AD41" i="4"/>
  <c r="AL43" i="4"/>
  <c r="Z47" i="4"/>
  <c r="AK48" i="4"/>
  <c r="AH49" i="4"/>
  <c r="AB51" i="4"/>
  <c r="AP51" i="4"/>
  <c r="AM52" i="4"/>
  <c r="AD55" i="4"/>
  <c r="AI58" i="4"/>
  <c r="AC60" i="4"/>
  <c r="AK62" i="4"/>
  <c r="AB65" i="4"/>
  <c r="AP65" i="4"/>
  <c r="AM66" i="4"/>
  <c r="AG68" i="4"/>
  <c r="AD69" i="4"/>
  <c r="AI72" i="4"/>
  <c r="AD74" i="4"/>
  <c r="AL76" i="4"/>
  <c r="AD79" i="4"/>
  <c r="AM81" i="4"/>
  <c r="AL82" i="4"/>
  <c r="AA88" i="4"/>
  <c r="AO88" i="4"/>
  <c r="AD98" i="4"/>
  <c r="Z38" i="4"/>
  <c r="AE41" i="4"/>
  <c r="AM43" i="4"/>
  <c r="AD46" i="4"/>
  <c r="AA47" i="4"/>
  <c r="AL48" i="4"/>
  <c r="AI49" i="4"/>
  <c r="AF50" i="4"/>
  <c r="AC51" i="4"/>
  <c r="Z52" i="4"/>
  <c r="AN52" i="4"/>
  <c r="AE55" i="4"/>
  <c r="AG59" i="4"/>
  <c r="AD60" i="4"/>
  <c r="AL62" i="4"/>
  <c r="AC65" i="4"/>
  <c r="AN66" i="4"/>
  <c r="AH68" i="4"/>
  <c r="AE69" i="4"/>
  <c r="AG73" i="4"/>
  <c r="AE74" i="4"/>
  <c r="AM76" i="4"/>
  <c r="AE79" i="4"/>
  <c r="AK83" i="4"/>
  <c r="AE86" i="4"/>
  <c r="AB88" i="4"/>
  <c r="AP88" i="4"/>
  <c r="AF96" i="4"/>
  <c r="AF41" i="4"/>
  <c r="Z43" i="4"/>
  <c r="AN43" i="4"/>
  <c r="AK44" i="4"/>
  <c r="AE46" i="4"/>
  <c r="AB47" i="4"/>
  <c r="AP47" i="4"/>
  <c r="AM48" i="4"/>
  <c r="AJ49" i="4"/>
  <c r="AD51" i="4"/>
  <c r="AA52" i="4"/>
  <c r="AF55" i="4"/>
  <c r="Z57" i="4"/>
  <c r="AK58" i="4"/>
  <c r="AH59" i="4"/>
  <c r="AE60" i="4"/>
  <c r="AM62" i="4"/>
  <c r="AD65" i="4"/>
  <c r="AI68" i="4"/>
  <c r="AF69" i="4"/>
  <c r="AK72" i="4"/>
  <c r="AH73" i="4"/>
  <c r="AF74" i="4"/>
  <c r="Z76" i="4"/>
  <c r="AN76" i="4"/>
  <c r="AA81" i="4"/>
  <c r="AO81" i="4"/>
  <c r="AC88" i="4"/>
  <c r="AL90" i="4"/>
  <c r="AF6" i="4"/>
  <c r="AD8" i="4"/>
  <c r="AP10" i="4"/>
  <c r="AN12" i="4"/>
  <c r="AL14" i="4"/>
  <c r="AJ16" i="4"/>
  <c r="AH18" i="4"/>
  <c r="AN26" i="4"/>
  <c r="AN28" i="4"/>
  <c r="AG42" i="4"/>
  <c r="AH101" i="4"/>
  <c r="AE102" i="4"/>
  <c r="AI24" i="4"/>
  <c r="AH24" i="4"/>
  <c r="AE24" i="4"/>
  <c r="AP24" i="4"/>
  <c r="AG40" i="4"/>
  <c r="AF40" i="4"/>
  <c r="AE40" i="4"/>
  <c r="AD40" i="4"/>
  <c r="AC40" i="4"/>
  <c r="AP40" i="4"/>
  <c r="AB40" i="4"/>
  <c r="AN40" i="4"/>
  <c r="Z40" i="4"/>
  <c r="AM40" i="4"/>
  <c r="AI40" i="4"/>
  <c r="AK43" i="4"/>
  <c r="Z66" i="4"/>
  <c r="AI101" i="4"/>
  <c r="AF102" i="4"/>
  <c r="AC103" i="4"/>
  <c r="AH6" i="4"/>
  <c r="AJ11" i="4"/>
  <c r="AH13" i="4"/>
  <c r="AJ18" i="4"/>
  <c r="Z24" i="4"/>
  <c r="AG33" i="4"/>
  <c r="AF33" i="4"/>
  <c r="AE33" i="4"/>
  <c r="AD33" i="4"/>
  <c r="AC33" i="4"/>
  <c r="AP33" i="4"/>
  <c r="AB33" i="4"/>
  <c r="AA33" i="4"/>
  <c r="AK36" i="4"/>
  <c r="AJ40" i="4"/>
  <c r="AC44" i="4"/>
  <c r="AD86" i="4"/>
  <c r="AO76" i="4"/>
  <c r="AI78" i="4"/>
  <c r="AF79" i="4"/>
  <c r="Z81" i="4"/>
  <c r="AN81" i="4"/>
  <c r="AK82" i="4"/>
  <c r="AH83" i="4"/>
  <c r="AE84" i="4"/>
  <c r="AJ87" i="4"/>
  <c r="AG88" i="4"/>
  <c r="AI92" i="4"/>
  <c r="AF93" i="4"/>
  <c r="Z95" i="4"/>
  <c r="AN95" i="4"/>
  <c r="AE98" i="4"/>
  <c r="AM100" i="4"/>
  <c r="AD103" i="4"/>
  <c r="AI6" i="4"/>
  <c r="AK11" i="4"/>
  <c r="AI13" i="4"/>
  <c r="AK18" i="4"/>
  <c r="AM20" i="4"/>
  <c r="AL20" i="4"/>
  <c r="AN20" i="4"/>
  <c r="AA24" i="4"/>
  <c r="AO25" i="4"/>
  <c r="AA25" i="4"/>
  <c r="AN25" i="4"/>
  <c r="Z25" i="4"/>
  <c r="AK25" i="4"/>
  <c r="AP25" i="4"/>
  <c r="AH33" i="4"/>
  <c r="AI38" i="4"/>
  <c r="AH38" i="4"/>
  <c r="AG38" i="4"/>
  <c r="AF38" i="4"/>
  <c r="AE38" i="4"/>
  <c r="AD38" i="4"/>
  <c r="AP38" i="4"/>
  <c r="AB38" i="4"/>
  <c r="AO38" i="4"/>
  <c r="AA38" i="4"/>
  <c r="AJ38" i="4"/>
  <c r="AK40" i="4"/>
  <c r="AI45" i="4"/>
  <c r="AH45" i="4"/>
  <c r="AG45" i="4"/>
  <c r="AF45" i="4"/>
  <c r="AE45" i="4"/>
  <c r="AD45" i="4"/>
  <c r="AC45" i="4"/>
  <c r="AP45" i="4"/>
  <c r="AB45" i="4"/>
  <c r="AO45" i="4"/>
  <c r="AA45" i="4"/>
  <c r="AN45" i="4"/>
  <c r="Z45" i="4"/>
  <c r="AK45" i="4"/>
  <c r="AL53" i="4"/>
  <c r="AK53" i="4"/>
  <c r="AH53" i="4"/>
  <c r="AO53" i="4"/>
  <c r="AN53" i="4"/>
  <c r="AM53" i="4"/>
  <c r="AJ53" i="4"/>
  <c r="AI53" i="4"/>
  <c r="AG53" i="4"/>
  <c r="AF53" i="4"/>
  <c r="AE53" i="4"/>
  <c r="AD53" i="4"/>
  <c r="AC53" i="4"/>
  <c r="AA53" i="4"/>
  <c r="Z53" i="4"/>
  <c r="AE103" i="4"/>
  <c r="AJ6" i="4"/>
  <c r="AJ13" i="4"/>
  <c r="AB24" i="4"/>
  <c r="AL40" i="4"/>
  <c r="AJ71" i="4"/>
  <c r="AG84" i="4"/>
  <c r="AA86" i="4"/>
  <c r="AO86" i="4"/>
  <c r="AI88" i="4"/>
  <c r="AE94" i="4"/>
  <c r="AG98" i="4"/>
  <c r="AA100" i="4"/>
  <c r="AO100" i="4"/>
  <c r="AL101" i="4"/>
  <c r="AF103" i="4"/>
  <c r="AK6" i="4"/>
  <c r="AM11" i="4"/>
  <c r="AK13" i="4"/>
  <c r="AM18" i="4"/>
  <c r="AC24" i="4"/>
  <c r="AG26" i="4"/>
  <c r="AF26" i="4"/>
  <c r="AC26" i="4"/>
  <c r="AP26" i="4"/>
  <c r="AJ33" i="4"/>
  <c r="AL38" i="4"/>
  <c r="AO40" i="4"/>
  <c r="AB86" i="4"/>
  <c r="AP86" i="4"/>
  <c r="AA91" i="4"/>
  <c r="AO91" i="4"/>
  <c r="AF94" i="4"/>
  <c r="AC95" i="4"/>
  <c r="AK97" i="4"/>
  <c r="AH98" i="4"/>
  <c r="AB100" i="4"/>
  <c r="AP100" i="4"/>
  <c r="AM101" i="4"/>
  <c r="AG103" i="4"/>
  <c r="AL6" i="4"/>
  <c r="AJ8" i="4"/>
  <c r="AH10" i="4"/>
  <c r="Z11" i="4"/>
  <c r="AN11" i="4"/>
  <c r="AF12" i="4"/>
  <c r="AL13" i="4"/>
  <c r="AJ15" i="4"/>
  <c r="Z18" i="4"/>
  <c r="AN18" i="4"/>
  <c r="AA20" i="4"/>
  <c r="AD24" i="4"/>
  <c r="AB25" i="4"/>
  <c r="Z26" i="4"/>
  <c r="AM27" i="4"/>
  <c r="AL27" i="4"/>
  <c r="AI27" i="4"/>
  <c r="AP27" i="4"/>
  <c r="AO32" i="4"/>
  <c r="AK33" i="4"/>
  <c r="AM38" i="4"/>
  <c r="AM41" i="4"/>
  <c r="AN65" i="4"/>
  <c r="AG80" i="4"/>
  <c r="AD81" i="4"/>
  <c r="AL83" i="4"/>
  <c r="AC86" i="4"/>
  <c r="AB91" i="4"/>
  <c r="AP91" i="4"/>
  <c r="AG94" i="4"/>
  <c r="AD95" i="4"/>
  <c r="AC100" i="4"/>
  <c r="Z101" i="4"/>
  <c r="AN101" i="4"/>
  <c r="AK102" i="4"/>
  <c r="AM6" i="4"/>
  <c r="AA11" i="4"/>
  <c r="AO11" i="4"/>
  <c r="AG12" i="4"/>
  <c r="AM13" i="4"/>
  <c r="AK15" i="4"/>
  <c r="AA18" i="4"/>
  <c r="AO18" i="4"/>
  <c r="AB20" i="4"/>
  <c r="AE21" i="4"/>
  <c r="AD21" i="4"/>
  <c r="AN21" i="4"/>
  <c r="AF24" i="4"/>
  <c r="AC25" i="4"/>
  <c r="AA26" i="4"/>
  <c r="Z27" i="4"/>
  <c r="AL33" i="4"/>
  <c r="AE35" i="4"/>
  <c r="AD35" i="4"/>
  <c r="AC35" i="4"/>
  <c r="AP35" i="4"/>
  <c r="AB35" i="4"/>
  <c r="AO35" i="4"/>
  <c r="AA35" i="4"/>
  <c r="AN35" i="4"/>
  <c r="Z35" i="4"/>
  <c r="AN38" i="4"/>
  <c r="AH78" i="4"/>
  <c r="AE81" i="4"/>
  <c r="AM83" i="4"/>
  <c r="AC91" i="4"/>
  <c r="Z92" i="4"/>
  <c r="AH94" i="4"/>
  <c r="AE95" i="4"/>
  <c r="AG99" i="4"/>
  <c r="AL102" i="4"/>
  <c r="AI103" i="4"/>
  <c r="AN6" i="4"/>
  <c r="AL8" i="4"/>
  <c r="AJ10" i="4"/>
  <c r="AB11" i="4"/>
  <c r="AP11" i="4"/>
  <c r="AH12" i="4"/>
  <c r="Z13" i="4"/>
  <c r="AN13" i="4"/>
  <c r="AL15" i="4"/>
  <c r="AJ17" i="4"/>
  <c r="AB18" i="4"/>
  <c r="AP18" i="4"/>
  <c r="AI19" i="4"/>
  <c r="AC20" i="4"/>
  <c r="AO21" i="4"/>
  <c r="AG24" i="4"/>
  <c r="AD25" i="4"/>
  <c r="AB26" i="4"/>
  <c r="AA27" i="4"/>
  <c r="AE28" i="4"/>
  <c r="AD28" i="4"/>
  <c r="AO28" i="4"/>
  <c r="AA28" i="4"/>
  <c r="AP28" i="4"/>
  <c r="AI31" i="4"/>
  <c r="AH31" i="4"/>
  <c r="AG31" i="4"/>
  <c r="AE31" i="4"/>
  <c r="AD31" i="4"/>
  <c r="AA31" i="4"/>
  <c r="AM33" i="4"/>
  <c r="AF35" i="4"/>
  <c r="AD91" i="4"/>
  <c r="AI94" i="4"/>
  <c r="AF95" i="4"/>
  <c r="AC96" i="4"/>
  <c r="AE100" i="4"/>
  <c r="AM102" i="4"/>
  <c r="AA6" i="4"/>
  <c r="AO6" i="4"/>
  <c r="AG7" i="4"/>
  <c r="AM8" i="4"/>
  <c r="AK10" i="4"/>
  <c r="AC11" i="4"/>
  <c r="AI12" i="4"/>
  <c r="AA13" i="4"/>
  <c r="AO13" i="4"/>
  <c r="AG14" i="4"/>
  <c r="AM15" i="4"/>
  <c r="AK17" i="4"/>
  <c r="AC18" i="4"/>
  <c r="AD20" i="4"/>
  <c r="Z21" i="4"/>
  <c r="AP21" i="4"/>
  <c r="AJ24" i="4"/>
  <c r="AE25" i="4"/>
  <c r="AD26" i="4"/>
  <c r="AB27" i="4"/>
  <c r="AK29" i="4"/>
  <c r="AC30" i="4"/>
  <c r="AP30" i="4"/>
  <c r="AB30" i="4"/>
  <c r="AO30" i="4"/>
  <c r="AA30" i="4"/>
  <c r="AM30" i="4"/>
  <c r="AB31" i="4"/>
  <c r="AN33" i="4"/>
  <c r="AG35" i="4"/>
  <c r="AO39" i="4"/>
  <c r="AJ55" i="4"/>
  <c r="AC70" i="4"/>
  <c r="Z74" i="4"/>
  <c r="AN74" i="4"/>
  <c r="AK75" i="4"/>
  <c r="AH76" i="4"/>
  <c r="AE77" i="4"/>
  <c r="AJ80" i="4"/>
  <c r="AG81" i="4"/>
  <c r="AA83" i="4"/>
  <c r="AO83" i="4"/>
  <c r="AI85" i="4"/>
  <c r="AF86" i="4"/>
  <c r="Z88" i="4"/>
  <c r="AN88" i="4"/>
  <c r="AE91" i="4"/>
  <c r="AM93" i="4"/>
  <c r="AG95" i="4"/>
  <c r="AD96" i="4"/>
  <c r="AF100" i="4"/>
  <c r="Z102" i="4"/>
  <c r="AN102" i="4"/>
  <c r="AB6" i="4"/>
  <c r="AP6" i="4"/>
  <c r="AL10" i="4"/>
  <c r="AD11" i="4"/>
  <c r="AJ12" i="4"/>
  <c r="AB13" i="4"/>
  <c r="AP13" i="4"/>
  <c r="Z15" i="4"/>
  <c r="AN15" i="4"/>
  <c r="AL17" i="4"/>
  <c r="AD18" i="4"/>
  <c r="AG19" i="4"/>
  <c r="AK19" i="4"/>
  <c r="AE20" i="4"/>
  <c r="AA21" i="4"/>
  <c r="AK24" i="4"/>
  <c r="AF25" i="4"/>
  <c r="AE26" i="4"/>
  <c r="AC27" i="4"/>
  <c r="Z28" i="4"/>
  <c r="AC31" i="4"/>
  <c r="AO33" i="4"/>
  <c r="AH35" i="4"/>
  <c r="AI90" i="4"/>
  <c r="Z93" i="4"/>
  <c r="AN93" i="4"/>
  <c r="AK94" i="4"/>
  <c r="AH95" i="4"/>
  <c r="AE96" i="4"/>
  <c r="AJ99" i="4"/>
  <c r="AG100" i="4"/>
  <c r="AA102" i="4"/>
  <c r="AO102" i="4"/>
  <c r="AC6" i="4"/>
  <c r="AI7" i="4"/>
  <c r="AA8" i="4"/>
  <c r="AO8" i="4"/>
  <c r="AM10" i="4"/>
  <c r="AE11" i="4"/>
  <c r="AK12" i="4"/>
  <c r="AC13" i="4"/>
  <c r="AA15" i="4"/>
  <c r="AO15" i="4"/>
  <c r="AM17" i="4"/>
  <c r="AE18" i="4"/>
  <c r="AL19" i="4"/>
  <c r="AF20" i="4"/>
  <c r="AB21" i="4"/>
  <c r="AK22" i="4"/>
  <c r="AL24" i="4"/>
  <c r="AG25" i="4"/>
  <c r="AH26" i="4"/>
  <c r="AD27" i="4"/>
  <c r="AB28" i="4"/>
  <c r="Z30" i="4"/>
  <c r="AF31" i="4"/>
  <c r="AM34" i="4"/>
  <c r="AI35" i="4"/>
  <c r="AC37" i="4"/>
  <c r="AP37" i="4"/>
  <c r="AB37" i="4"/>
  <c r="AO37" i="4"/>
  <c r="AA37" i="4"/>
  <c r="AN37" i="4"/>
  <c r="Z37" i="4"/>
  <c r="AM37" i="4"/>
  <c r="AL37" i="4"/>
  <c r="AJ37" i="4"/>
  <c r="AI37" i="4"/>
  <c r="AD37" i="4"/>
  <c r="AB53" i="4"/>
  <c r="AB64" i="4"/>
  <c r="AE101" i="4"/>
  <c r="AD6" i="4"/>
  <c r="AJ7" i="4"/>
  <c r="AB8" i="4"/>
  <c r="AP8" i="4"/>
  <c r="Z10" i="4"/>
  <c r="AN10" i="4"/>
  <c r="AF11" i="4"/>
  <c r="AL12" i="4"/>
  <c r="AD13" i="4"/>
  <c r="AJ14" i="4"/>
  <c r="AB15" i="4"/>
  <c r="AP15" i="4"/>
  <c r="Z17" i="4"/>
  <c r="AN17" i="4"/>
  <c r="AF18" i="4"/>
  <c r="AM19" i="4"/>
  <c r="AG20" i="4"/>
  <c r="AC21" i="4"/>
  <c r="AM24" i="4"/>
  <c r="AH25" i="4"/>
  <c r="AI26" i="4"/>
  <c r="AE27" i="4"/>
  <c r="AC28" i="4"/>
  <c r="AD30" i="4"/>
  <c r="AJ31" i="4"/>
  <c r="AJ35" i="4"/>
  <c r="AE37" i="4"/>
  <c r="AE42" i="4"/>
  <c r="AD42" i="4"/>
  <c r="AC42" i="4"/>
  <c r="AP42" i="4"/>
  <c r="AB42" i="4"/>
  <c r="AO42" i="4"/>
  <c r="AA42" i="4"/>
  <c r="AN42" i="4"/>
  <c r="Z42" i="4"/>
  <c r="AM42" i="4"/>
  <c r="AL42" i="4"/>
  <c r="AK42" i="4"/>
  <c r="AH42" i="4"/>
  <c r="AP53" i="4"/>
  <c r="AD61" i="4"/>
  <c r="AC61" i="4"/>
  <c r="AP61" i="4"/>
  <c r="AB61" i="4"/>
  <c r="AO61" i="4"/>
  <c r="AA61" i="4"/>
  <c r="AN61" i="4"/>
  <c r="Z61" i="4"/>
  <c r="AM61" i="4"/>
  <c r="AJ61" i="4"/>
  <c r="AL61" i="4"/>
  <c r="AK61" i="4"/>
  <c r="AI61" i="4"/>
  <c r="AH61" i="4"/>
  <c r="AF61" i="4"/>
  <c r="AE61" i="4"/>
  <c r="AG96" i="4"/>
  <c r="AA98" i="4"/>
  <c r="AO98" i="4"/>
  <c r="AF101" i="4"/>
  <c r="AC102" i="4"/>
  <c r="AE6" i="4"/>
  <c r="AK7" i="4"/>
  <c r="AC8" i="4"/>
  <c r="AI9" i="4"/>
  <c r="AA10" i="4"/>
  <c r="AO10" i="4"/>
  <c r="AG11" i="4"/>
  <c r="AM12" i="4"/>
  <c r="AE13" i="4"/>
  <c r="AK14" i="4"/>
  <c r="AC15" i="4"/>
  <c r="AI16" i="4"/>
  <c r="AA17" i="4"/>
  <c r="AO17" i="4"/>
  <c r="AG18" i="4"/>
  <c r="AN19" i="4"/>
  <c r="AH20" i="4"/>
  <c r="AF21" i="4"/>
  <c r="AN24" i="4"/>
  <c r="AI25" i="4"/>
  <c r="AJ26" i="4"/>
  <c r="AF27" i="4"/>
  <c r="AF28" i="4"/>
  <c r="AE30" i="4"/>
  <c r="AK31" i="4"/>
  <c r="AK35" i="4"/>
  <c r="AF37" i="4"/>
  <c r="AA40" i="4"/>
  <c r="AI42" i="4"/>
  <c r="AJ45" i="4"/>
  <c r="AO54" i="4"/>
  <c r="AC93" i="4"/>
  <c r="AK95" i="4"/>
  <c r="AB98" i="4"/>
  <c r="AP98" i="4"/>
  <c r="AG101" i="4"/>
  <c r="AD102" i="4"/>
  <c r="AB10" i="4"/>
  <c r="Z12" i="4"/>
  <c r="AB17" i="4"/>
  <c r="Z19" i="4"/>
  <c r="AO19" i="4"/>
  <c r="AI20" i="4"/>
  <c r="AG21" i="4"/>
  <c r="AC23" i="4"/>
  <c r="AP23" i="4"/>
  <c r="AB23" i="4"/>
  <c r="AM23" i="4"/>
  <c r="AO23" i="4"/>
  <c r="AO24" i="4"/>
  <c r="AJ25" i="4"/>
  <c r="AK26" i="4"/>
  <c r="AG27" i="4"/>
  <c r="AG28" i="4"/>
  <c r="AF30" i="4"/>
  <c r="AL31" i="4"/>
  <c r="AL35" i="4"/>
  <c r="AG37" i="4"/>
  <c r="AH40" i="4"/>
  <c r="AJ42" i="4"/>
  <c r="AL45" i="4"/>
  <c r="AN79" i="4"/>
  <c r="AJ48" i="4"/>
  <c r="AL74" i="4"/>
  <c r="AD54" i="4"/>
  <c r="AC54" i="4"/>
  <c r="AN54" i="4"/>
  <c r="Z54" i="4"/>
  <c r="AP54" i="4"/>
  <c r="AP63" i="4"/>
  <c r="AB63" i="4"/>
  <c r="AO63" i="4"/>
  <c r="AA63" i="4"/>
  <c r="AN63" i="4"/>
  <c r="Z63" i="4"/>
  <c r="AM63" i="4"/>
  <c r="AL63" i="4"/>
  <c r="AK63" i="4"/>
  <c r="AH63" i="4"/>
  <c r="AC63" i="4"/>
  <c r="AJ83" i="4"/>
  <c r="AH88" i="4"/>
  <c r="AJ97" i="4"/>
  <c r="AA54" i="4"/>
  <c r="AH57" i="4"/>
  <c r="AG57" i="4"/>
  <c r="AF57" i="4"/>
  <c r="AE57" i="4"/>
  <c r="AD57" i="4"/>
  <c r="AC57" i="4"/>
  <c r="AB57" i="4"/>
  <c r="AL60" i="4"/>
  <c r="AE63" i="4"/>
  <c r="AL67" i="4"/>
  <c r="AI44" i="4"/>
  <c r="AP49" i="4"/>
  <c r="AB49" i="4"/>
  <c r="AO49" i="4"/>
  <c r="AA49" i="4"/>
  <c r="AL49" i="4"/>
  <c r="AM49" i="4"/>
  <c r="AB54" i="4"/>
  <c r="AP56" i="4"/>
  <c r="AB56" i="4"/>
  <c r="AO56" i="4"/>
  <c r="AA56" i="4"/>
  <c r="AN56" i="4"/>
  <c r="AL56" i="4"/>
  <c r="AK56" i="4"/>
  <c r="AI57" i="4"/>
  <c r="AF63" i="4"/>
  <c r="AJ69" i="4"/>
  <c r="AH71" i="4"/>
  <c r="AG71" i="4"/>
  <c r="AF71" i="4"/>
  <c r="AE71" i="4"/>
  <c r="AD71" i="4"/>
  <c r="AC71" i="4"/>
  <c r="AP71" i="4"/>
  <c r="AB71" i="4"/>
  <c r="AO71" i="4"/>
  <c r="AA71" i="4"/>
  <c r="AN71" i="4"/>
  <c r="Z71" i="4"/>
  <c r="AK71" i="4"/>
  <c r="AD75" i="4"/>
  <c r="AP77" i="4"/>
  <c r="AD82" i="4"/>
  <c r="AF87" i="4"/>
  <c r="AE87" i="4"/>
  <c r="AD87" i="4"/>
  <c r="AC87" i="4"/>
  <c r="AP87" i="4"/>
  <c r="AB87" i="4"/>
  <c r="AO87" i="4"/>
  <c r="AA87" i="4"/>
  <c r="AN87" i="4"/>
  <c r="Z87" i="4"/>
  <c r="AM87" i="4"/>
  <c r="AL87" i="4"/>
  <c r="AK87" i="4"/>
  <c r="AI87" i="4"/>
  <c r="AH87" i="4"/>
  <c r="AJ44" i="4"/>
  <c r="AN49" i="4"/>
  <c r="AE54" i="4"/>
  <c r="AJ57" i="4"/>
  <c r="AG63" i="4"/>
  <c r="AL71" i="4"/>
  <c r="AF54" i="4"/>
  <c r="Z56" i="4"/>
  <c r="AK57" i="4"/>
  <c r="AI63" i="4"/>
  <c r="AM71" i="4"/>
  <c r="AJ32" i="4"/>
  <c r="AH34" i="4"/>
  <c r="AJ39" i="4"/>
  <c r="AH41" i="4"/>
  <c r="AL44" i="4"/>
  <c r="AL46" i="4"/>
  <c r="AK46" i="4"/>
  <c r="AN46" i="4"/>
  <c r="AH50" i="4"/>
  <c r="AG50" i="4"/>
  <c r="AD50" i="4"/>
  <c r="AP50" i="4"/>
  <c r="AG54" i="4"/>
  <c r="AC56" i="4"/>
  <c r="AL57" i="4"/>
  <c r="AJ62" i="4"/>
  <c r="AJ63" i="4"/>
  <c r="AN72" i="4"/>
  <c r="AJ76" i="4"/>
  <c r="AL81" i="4"/>
  <c r="AN86" i="4"/>
  <c r="AH90" i="4"/>
  <c r="AG90" i="4"/>
  <c r="AF90" i="4"/>
  <c r="AE90" i="4"/>
  <c r="AD90" i="4"/>
  <c r="AC90" i="4"/>
  <c r="AN90" i="4"/>
  <c r="Z90" i="4"/>
  <c r="AB90" i="4"/>
  <c r="AA90" i="4"/>
  <c r="AP90" i="4"/>
  <c r="AO90" i="4"/>
  <c r="AM90" i="4"/>
  <c r="AK90" i="4"/>
  <c r="AJ90" i="4"/>
  <c r="AK32" i="4"/>
  <c r="AI34" i="4"/>
  <c r="AK39" i="4"/>
  <c r="AI41" i="4"/>
  <c r="AM44" i="4"/>
  <c r="AO46" i="4"/>
  <c r="Z49" i="4"/>
  <c r="Z50" i="4"/>
  <c r="AH54" i="4"/>
  <c r="AD56" i="4"/>
  <c r="AM57" i="4"/>
  <c r="AF59" i="4"/>
  <c r="AE59" i="4"/>
  <c r="AD59" i="4"/>
  <c r="AC59" i="4"/>
  <c r="AP59" i="4"/>
  <c r="AB59" i="4"/>
  <c r="AO59" i="4"/>
  <c r="AA59" i="4"/>
  <c r="Z59" i="4"/>
  <c r="AL32" i="4"/>
  <c r="AJ34" i="4"/>
  <c r="AL39" i="4"/>
  <c r="AJ41" i="4"/>
  <c r="Z44" i="4"/>
  <c r="AN44" i="4"/>
  <c r="Z46" i="4"/>
  <c r="AP46" i="4"/>
  <c r="AC49" i="4"/>
  <c r="AA50" i="4"/>
  <c r="AN51" i="4"/>
  <c r="AI54" i="4"/>
  <c r="AE56" i="4"/>
  <c r="AN57" i="4"/>
  <c r="AH64" i="4"/>
  <c r="AG64" i="4"/>
  <c r="AF64" i="4"/>
  <c r="AE64" i="4"/>
  <c r="AD64" i="4"/>
  <c r="AC64" i="4"/>
  <c r="AN64" i="4"/>
  <c r="Z64" i="4"/>
  <c r="AI64" i="4"/>
  <c r="AM32" i="4"/>
  <c r="AK34" i="4"/>
  <c r="AM39" i="4"/>
  <c r="AK41" i="4"/>
  <c r="AA44" i="4"/>
  <c r="AO44" i="4"/>
  <c r="AA46" i="4"/>
  <c r="AD49" i="4"/>
  <c r="AB50" i="4"/>
  <c r="AJ54" i="4"/>
  <c r="AF56" i="4"/>
  <c r="AO57" i="4"/>
  <c r="AJ64" i="4"/>
  <c r="AF66" i="4"/>
  <c r="AE66" i="4"/>
  <c r="AD66" i="4"/>
  <c r="AC66" i="4"/>
  <c r="AP66" i="4"/>
  <c r="AB66" i="4"/>
  <c r="AO66" i="4"/>
  <c r="AA66" i="4"/>
  <c r="AL66" i="4"/>
  <c r="AG66" i="4"/>
  <c r="AF80" i="4"/>
  <c r="AE80" i="4"/>
  <c r="AD80" i="4"/>
  <c r="AC80" i="4"/>
  <c r="AP80" i="4"/>
  <c r="AB80" i="4"/>
  <c r="AO80" i="4"/>
  <c r="AA80" i="4"/>
  <c r="AN80" i="4"/>
  <c r="Z80" i="4"/>
  <c r="AM80" i="4"/>
  <c r="AL80" i="4"/>
  <c r="AK80" i="4"/>
  <c r="AI80" i="4"/>
  <c r="AH80" i="4"/>
  <c r="AH85" i="4"/>
  <c r="AJ22" i="4"/>
  <c r="AJ29" i="4"/>
  <c r="Z32" i="4"/>
  <c r="AN32" i="4"/>
  <c r="AL34" i="4"/>
  <c r="AJ36" i="4"/>
  <c r="Z39" i="4"/>
  <c r="AN39" i="4"/>
  <c r="AL41" i="4"/>
  <c r="AJ43" i="4"/>
  <c r="AB44" i="4"/>
  <c r="AP44" i="4"/>
  <c r="AB46" i="4"/>
  <c r="AD47" i="4"/>
  <c r="AC47" i="4"/>
  <c r="AN47" i="4"/>
  <c r="AE49" i="4"/>
  <c r="AC50" i="4"/>
  <c r="AF52" i="4"/>
  <c r="AE52" i="4"/>
  <c r="AP52" i="4"/>
  <c r="AB52" i="4"/>
  <c r="AO52" i="4"/>
  <c r="AK54" i="4"/>
  <c r="AG56" i="4"/>
  <c r="AP57" i="4"/>
  <c r="AI59" i="4"/>
  <c r="AK64" i="4"/>
  <c r="AH66" i="4"/>
  <c r="AD68" i="4"/>
  <c r="AF73" i="4"/>
  <c r="AE73" i="4"/>
  <c r="AD73" i="4"/>
  <c r="AC73" i="4"/>
  <c r="AP73" i="4"/>
  <c r="AB73" i="4"/>
  <c r="AO73" i="4"/>
  <c r="AA73" i="4"/>
  <c r="AN73" i="4"/>
  <c r="Z73" i="4"/>
  <c r="AM73" i="4"/>
  <c r="AL73" i="4"/>
  <c r="AI73" i="4"/>
  <c r="AA32" i="4"/>
  <c r="AA39" i="4"/>
  <c r="AC46" i="4"/>
  <c r="AO47" i="4"/>
  <c r="AF49" i="4"/>
  <c r="AE50" i="4"/>
  <c r="AL54" i="4"/>
  <c r="AH56" i="4"/>
  <c r="AN58" i="4"/>
  <c r="AJ59" i="4"/>
  <c r="AL64" i="4"/>
  <c r="AI66" i="4"/>
  <c r="AP70" i="4"/>
  <c r="AB70" i="4"/>
  <c r="AO70" i="4"/>
  <c r="AA70" i="4"/>
  <c r="AN70" i="4"/>
  <c r="Z70" i="4"/>
  <c r="AM70" i="4"/>
  <c r="AL70" i="4"/>
  <c r="AK70" i="4"/>
  <c r="AJ70" i="4"/>
  <c r="AH70" i="4"/>
  <c r="AD70" i="4"/>
  <c r="AJ73" i="4"/>
  <c r="AP84" i="4"/>
  <c r="AJ78" i="4"/>
  <c r="AJ85" i="4"/>
  <c r="AF92" i="4"/>
  <c r="AE92" i="4"/>
  <c r="AD92" i="4"/>
  <c r="AC92" i="4"/>
  <c r="AP92" i="4"/>
  <c r="AB92" i="4"/>
  <c r="AO92" i="4"/>
  <c r="AA92" i="4"/>
  <c r="AL92" i="4"/>
  <c r="AG92" i="4"/>
  <c r="AD94" i="4"/>
  <c r="AP103" i="4"/>
  <c r="AK78" i="4"/>
  <c r="AK85" i="4"/>
  <c r="AH92" i="4"/>
  <c r="AM78" i="4"/>
  <c r="AM85" i="4"/>
  <c r="AP89" i="4"/>
  <c r="AB89" i="4"/>
  <c r="AO89" i="4"/>
  <c r="AA89" i="4"/>
  <c r="AN89" i="4"/>
  <c r="Z89" i="4"/>
  <c r="AM89" i="4"/>
  <c r="AL89" i="4"/>
  <c r="AK89" i="4"/>
  <c r="AH89" i="4"/>
  <c r="AJ92" i="4"/>
  <c r="AJ95" i="4"/>
  <c r="AJ102" i="4"/>
  <c r="AJ68" i="4"/>
  <c r="AJ75" i="4"/>
  <c r="AH77" i="4"/>
  <c r="Z78" i="4"/>
  <c r="AN78" i="4"/>
  <c r="AJ82" i="4"/>
  <c r="AH84" i="4"/>
  <c r="Z85" i="4"/>
  <c r="AN85" i="4"/>
  <c r="AK92" i="4"/>
  <c r="AI77" i="4"/>
  <c r="AA78" i="4"/>
  <c r="AO78" i="4"/>
  <c r="AI84" i="4"/>
  <c r="AA85" i="4"/>
  <c r="AO85" i="4"/>
  <c r="AC89" i="4"/>
  <c r="AM92" i="4"/>
  <c r="AJ77" i="4"/>
  <c r="AB78" i="4"/>
  <c r="AP78" i="4"/>
  <c r="AJ84" i="4"/>
  <c r="AB85" i="4"/>
  <c r="AP85" i="4"/>
  <c r="AD89" i="4"/>
  <c r="AN91" i="4"/>
  <c r="AN92" i="4"/>
  <c r="AP96" i="4"/>
  <c r="AD101" i="4"/>
  <c r="AG60" i="4"/>
  <c r="AM68" i="4"/>
  <c r="AM75" i="4"/>
  <c r="AK77" i="4"/>
  <c r="AC78" i="4"/>
  <c r="AM82" i="4"/>
  <c r="AK84" i="4"/>
  <c r="AC85" i="4"/>
  <c r="AE89" i="4"/>
  <c r="AL93" i="4"/>
  <c r="AJ51" i="4"/>
  <c r="AJ58" i="4"/>
  <c r="AH60" i="4"/>
  <c r="AJ65" i="4"/>
  <c r="AH67" i="4"/>
  <c r="Z68" i="4"/>
  <c r="AN68" i="4"/>
  <c r="AJ72" i="4"/>
  <c r="AH74" i="4"/>
  <c r="Z75" i="4"/>
  <c r="AN75" i="4"/>
  <c r="AL77" i="4"/>
  <c r="AD78" i="4"/>
  <c r="AJ79" i="4"/>
  <c r="AH81" i="4"/>
  <c r="Z82" i="4"/>
  <c r="AN82" i="4"/>
  <c r="AL84" i="4"/>
  <c r="AD85" i="4"/>
  <c r="AJ86" i="4"/>
  <c r="AF89" i="4"/>
  <c r="AA68" i="4"/>
  <c r="AO68" i="4"/>
  <c r="AA75" i="4"/>
  <c r="AO75" i="4"/>
  <c r="AM77" i="4"/>
  <c r="AE78" i="4"/>
  <c r="AA82" i="4"/>
  <c r="AO82" i="4"/>
  <c r="AM84" i="4"/>
  <c r="AE85" i="4"/>
  <c r="AG89" i="4"/>
  <c r="AL100" i="4"/>
  <c r="AJ60" i="4"/>
  <c r="AJ67" i="4"/>
  <c r="AB68" i="4"/>
  <c r="AP68" i="4"/>
  <c r="AJ74" i="4"/>
  <c r="AB75" i="4"/>
  <c r="AP75" i="4"/>
  <c r="Z77" i="4"/>
  <c r="AN77" i="4"/>
  <c r="AF78" i="4"/>
  <c r="AJ81" i="4"/>
  <c r="AB82" i="4"/>
  <c r="AP82" i="4"/>
  <c r="Z84" i="4"/>
  <c r="AN84" i="4"/>
  <c r="AF85" i="4"/>
  <c r="AJ88" i="4"/>
  <c r="AK88" i="4"/>
  <c r="AI89" i="4"/>
  <c r="AH97" i="4"/>
  <c r="AG97" i="4"/>
  <c r="AF97" i="4"/>
  <c r="AE97" i="4"/>
  <c r="AD97" i="4"/>
  <c r="AC97" i="4"/>
  <c r="AP97" i="4"/>
  <c r="AB97" i="4"/>
  <c r="AO97" i="4"/>
  <c r="AA97" i="4"/>
  <c r="AN97" i="4"/>
  <c r="Z97" i="4"/>
  <c r="AM97" i="4"/>
  <c r="AL97" i="4"/>
  <c r="AI48" i="4"/>
  <c r="AM51" i="4"/>
  <c r="AI55" i="4"/>
  <c r="AM58" i="4"/>
  <c r="AK60" i="4"/>
  <c r="AI62" i="4"/>
  <c r="AM65" i="4"/>
  <c r="AK67" i="4"/>
  <c r="AC68" i="4"/>
  <c r="AI69" i="4"/>
  <c r="AM72" i="4"/>
  <c r="AK74" i="4"/>
  <c r="AC75" i="4"/>
  <c r="AI76" i="4"/>
  <c r="AA77" i="4"/>
  <c r="AO77" i="4"/>
  <c r="AG78" i="4"/>
  <c r="AM79" i="4"/>
  <c r="AK81" i="4"/>
  <c r="AC82" i="4"/>
  <c r="AI83" i="4"/>
  <c r="AA84" i="4"/>
  <c r="AO84" i="4"/>
  <c r="AG85" i="4"/>
  <c r="AM86" i="4"/>
  <c r="AL88" i="4"/>
  <c r="AJ89" i="4"/>
  <c r="AN98" i="4"/>
  <c r="Z51" i="4"/>
  <c r="Z58" i="4"/>
  <c r="Z65" i="4"/>
  <c r="Z72" i="4"/>
  <c r="AB77" i="4"/>
  <c r="Z79" i="4"/>
  <c r="AB84" i="4"/>
  <c r="Z86" i="4"/>
  <c r="AM88" i="4"/>
  <c r="AF99" i="4"/>
  <c r="AE99" i="4"/>
  <c r="AD99" i="4"/>
  <c r="AC99" i="4"/>
  <c r="AP99" i="4"/>
  <c r="AB99" i="4"/>
  <c r="AO99" i="4"/>
  <c r="AA99" i="4"/>
  <c r="AN99" i="4"/>
  <c r="Z99" i="4"/>
  <c r="AM99" i="4"/>
  <c r="AL99" i="4"/>
  <c r="AK99" i="4"/>
  <c r="AI99" i="4"/>
  <c r="AH99" i="4"/>
  <c r="AF91" i="4"/>
  <c r="AD93" i="4"/>
  <c r="AJ94" i="4"/>
  <c r="AB95" i="4"/>
  <c r="AP95" i="4"/>
  <c r="AH96" i="4"/>
  <c r="AF98" i="4"/>
  <c r="AD100" i="4"/>
  <c r="AJ101" i="4"/>
  <c r="AB102" i="4"/>
  <c r="AP102" i="4"/>
  <c r="AH103" i="4"/>
  <c r="AI96" i="4"/>
  <c r="AJ96" i="4"/>
  <c r="AJ103" i="4"/>
  <c r="AI91" i="4"/>
  <c r="AG93" i="4"/>
  <c r="AM94" i="4"/>
  <c r="AK96" i="4"/>
  <c r="AI98" i="4"/>
  <c r="AK103" i="4"/>
  <c r="AJ91" i="4"/>
  <c r="AH93" i="4"/>
  <c r="Z94" i="4"/>
  <c r="AN94" i="4"/>
  <c r="AL96" i="4"/>
  <c r="AJ98" i="4"/>
  <c r="AH100" i="4"/>
  <c r="AL103" i="4"/>
  <c r="AK91" i="4"/>
  <c r="AI93" i="4"/>
  <c r="AA94" i="4"/>
  <c r="AO94" i="4"/>
  <c r="AM96" i="4"/>
  <c r="AK98" i="4"/>
  <c r="AI100" i="4"/>
  <c r="AA101" i="4"/>
  <c r="AO101" i="4"/>
  <c r="AG102" i="4"/>
  <c r="AM103" i="4"/>
  <c r="AL91" i="4"/>
  <c r="AJ93" i="4"/>
  <c r="AB94" i="4"/>
  <c r="AP94" i="4"/>
  <c r="Z96" i="4"/>
  <c r="AN96" i="4"/>
  <c r="AL98" i="4"/>
  <c r="AJ100" i="4"/>
  <c r="AB101" i="4"/>
  <c r="AP101" i="4"/>
  <c r="AH102" i="4"/>
  <c r="Z103" i="4"/>
  <c r="AN103" i="4"/>
  <c r="AM91" i="4"/>
  <c r="AK93" i="4"/>
  <c r="AC94" i="4"/>
  <c r="AI95" i="4"/>
  <c r="AA96" i="4"/>
  <c r="AO96" i="4"/>
  <c r="AM98" i="4"/>
  <c r="AK100" i="4"/>
  <c r="AC101" i="4"/>
  <c r="AI102" i="4"/>
  <c r="AA103" i="4"/>
  <c r="AO103" i="4"/>
  <c r="Z91" i="4"/>
  <c r="AB96" i="4"/>
  <c r="Z98" i="4"/>
  <c r="AB103" i="4"/>
  <c r="L9" i="3" l="1"/>
  <c r="O9" i="3"/>
  <c r="AH378" i="2"/>
  <c r="AH3" i="2"/>
  <c r="AH5" i="2" s="1"/>
  <c r="AO2" i="3"/>
  <c r="AA2" i="3"/>
  <c r="AG2" i="3"/>
  <c r="U2" i="3"/>
  <c r="AH2" i="3"/>
  <c r="AI2" i="3"/>
  <c r="B29" i="1"/>
  <c r="B30" i="1"/>
  <c r="AL2" i="3"/>
  <c r="S2" i="3"/>
  <c r="AV2" i="3"/>
  <c r="B35" i="1"/>
  <c r="AU2" i="3"/>
  <c r="B34" i="1"/>
  <c r="AT2" i="3"/>
  <c r="B33" i="1"/>
  <c r="AS2" i="4"/>
  <c r="AS2" i="3"/>
  <c r="B32" i="1"/>
  <c r="AR2" i="3"/>
  <c r="B31" i="1"/>
  <c r="AV7" i="5"/>
  <c r="AU3" i="5"/>
  <c r="AR3" i="5"/>
  <c r="AU2" i="4"/>
  <c r="AR2" i="4"/>
  <c r="AT2" i="4"/>
  <c r="AQ2" i="4"/>
  <c r="BF376" i="2"/>
  <c r="AW3" i="3"/>
  <c r="AW2" i="3" s="1"/>
  <c r="BF379" i="2"/>
  <c r="BF380" i="2"/>
  <c r="BF377" i="2"/>
  <c r="Y11" i="2"/>
  <c r="BD9" i="2"/>
  <c r="BD11" i="2" s="1"/>
  <c r="BD3" i="2"/>
  <c r="BD5" i="2" s="1"/>
  <c r="Y5" i="2"/>
  <c r="B21" i="1"/>
  <c r="B8" i="1"/>
  <c r="Z381" i="2"/>
  <c r="B14" i="1"/>
  <c r="B22" i="1"/>
  <c r="B28" i="1"/>
  <c r="B25" i="1"/>
  <c r="Z3" i="2"/>
  <c r="Z5" i="2" s="1"/>
  <c r="BF366" i="2"/>
  <c r="B6" i="1"/>
  <c r="AV96" i="4"/>
  <c r="AB3" i="5"/>
  <c r="AO3" i="5"/>
  <c r="AH3" i="5"/>
  <c r="AJ3" i="5"/>
  <c r="AM3" i="5"/>
  <c r="X3" i="5"/>
  <c r="T3" i="5"/>
  <c r="V3" i="5"/>
  <c r="AF3" i="5"/>
  <c r="AK3" i="5"/>
  <c r="R3" i="5"/>
  <c r="AP3" i="5"/>
  <c r="AI3" i="5"/>
  <c r="AN3" i="5"/>
  <c r="AA3" i="5"/>
  <c r="AV75" i="4"/>
  <c r="AL3" i="5"/>
  <c r="Z2" i="3"/>
  <c r="B13" i="1"/>
  <c r="AP9" i="2"/>
  <c r="AP11" i="2" s="1"/>
  <c r="AP3" i="2"/>
  <c r="AP5" i="2" s="1"/>
  <c r="Y3" i="5"/>
  <c r="U3" i="5"/>
  <c r="AJ2" i="3"/>
  <c r="B23" i="1"/>
  <c r="W3" i="5"/>
  <c r="AQ2" i="3"/>
  <c r="B20" i="1"/>
  <c r="Z3" i="5"/>
  <c r="AV63" i="4"/>
  <c r="R2" i="4"/>
  <c r="AV78" i="4"/>
  <c r="AV73" i="4"/>
  <c r="Q2" i="4"/>
  <c r="AC2" i="4"/>
  <c r="X2" i="4"/>
  <c r="AK2" i="4"/>
  <c r="T2" i="4"/>
  <c r="O53" i="3"/>
  <c r="L53" i="3"/>
  <c r="O76" i="3"/>
  <c r="L76" i="3"/>
  <c r="AV69" i="4"/>
  <c r="AV36" i="4"/>
  <c r="O24" i="3"/>
  <c r="L24" i="3"/>
  <c r="AV83" i="4"/>
  <c r="AV52" i="4"/>
  <c r="O49" i="3"/>
  <c r="L49" i="3"/>
  <c r="P3" i="5"/>
  <c r="L13" i="3"/>
  <c r="O13" i="3"/>
  <c r="O19" i="3"/>
  <c r="L19" i="3"/>
  <c r="W2" i="3"/>
  <c r="B10" i="1"/>
  <c r="AV9" i="4"/>
  <c r="O37" i="3"/>
  <c r="L37" i="3"/>
  <c r="AW9" i="2"/>
  <c r="AW11" i="2" s="1"/>
  <c r="AW3" i="2"/>
  <c r="AW5" i="2" s="1"/>
  <c r="AV94" i="4"/>
  <c r="AV90" i="4"/>
  <c r="AV54" i="4"/>
  <c r="O104" i="3"/>
  <c r="L104" i="3"/>
  <c r="AV6" i="4"/>
  <c r="O2" i="4"/>
  <c r="AV30" i="4"/>
  <c r="AV18" i="4"/>
  <c r="O98" i="3"/>
  <c r="L98" i="3"/>
  <c r="O102" i="3"/>
  <c r="L102" i="3"/>
  <c r="AV26" i="4"/>
  <c r="W2" i="4"/>
  <c r="L105" i="3"/>
  <c r="O105" i="3"/>
  <c r="O44" i="3"/>
  <c r="L44" i="3"/>
  <c r="O43" i="3"/>
  <c r="L43" i="3"/>
  <c r="O42" i="3"/>
  <c r="L42" i="3"/>
  <c r="O8" i="3"/>
  <c r="L8" i="3"/>
  <c r="B15" i="1"/>
  <c r="AB2" i="3"/>
  <c r="X2" i="3"/>
  <c r="B11" i="1"/>
  <c r="S2" i="4"/>
  <c r="O94" i="3"/>
  <c r="L94" i="3"/>
  <c r="L89" i="3"/>
  <c r="O89" i="3"/>
  <c r="O96" i="3"/>
  <c r="L96" i="3"/>
  <c r="AF2" i="4"/>
  <c r="AV65" i="4"/>
  <c r="AV60" i="4"/>
  <c r="O99" i="3"/>
  <c r="L99" i="3"/>
  <c r="O47" i="3"/>
  <c r="L47" i="3"/>
  <c r="O69" i="3"/>
  <c r="L69" i="3"/>
  <c r="AV76" i="4"/>
  <c r="O73" i="3"/>
  <c r="L73" i="3"/>
  <c r="O59" i="3"/>
  <c r="L59" i="3"/>
  <c r="O45" i="3"/>
  <c r="L45" i="3"/>
  <c r="AV29" i="4"/>
  <c r="AP2" i="3"/>
  <c r="AI3" i="2"/>
  <c r="AI5" i="2" s="1"/>
  <c r="AI378" i="2"/>
  <c r="AI9" i="2"/>
  <c r="AI11" i="2" s="1"/>
  <c r="AV16" i="4"/>
  <c r="O36" i="3"/>
  <c r="L36" i="3"/>
  <c r="AJ3" i="2"/>
  <c r="AJ5" i="2" s="1"/>
  <c r="AJ12" i="2"/>
  <c r="S3" i="5"/>
  <c r="G379" i="2"/>
  <c r="AV59" i="4"/>
  <c r="AV51" i="4"/>
  <c r="AV74" i="4"/>
  <c r="AV22" i="4"/>
  <c r="O70" i="3"/>
  <c r="L70" i="3"/>
  <c r="O74" i="3"/>
  <c r="L74" i="3"/>
  <c r="L46" i="3"/>
  <c r="O46" i="3"/>
  <c r="AV45" i="5" s="1"/>
  <c r="O84" i="3"/>
  <c r="L84" i="3"/>
  <c r="L68" i="3"/>
  <c r="O68" i="3"/>
  <c r="O23" i="3"/>
  <c r="L23" i="3"/>
  <c r="AF2" i="3"/>
  <c r="B19" i="1"/>
  <c r="O55" i="3"/>
  <c r="L55" i="3"/>
  <c r="B12" i="1"/>
  <c r="Y2" i="3"/>
  <c r="AV17" i="4"/>
  <c r="AN9" i="2"/>
  <c r="AN11" i="2" s="1"/>
  <c r="AN3" i="2"/>
  <c r="AN5" i="2" s="1"/>
  <c r="O95" i="3"/>
  <c r="L95" i="3"/>
  <c r="AV56" i="4"/>
  <c r="AV80" i="4"/>
  <c r="AV13" i="4"/>
  <c r="AV82" i="4"/>
  <c r="AV66" i="4"/>
  <c r="AV102" i="4"/>
  <c r="AV37" i="4"/>
  <c r="AV25" i="4"/>
  <c r="O103" i="3"/>
  <c r="L103" i="3"/>
  <c r="AV35" i="4"/>
  <c r="AV100" i="4"/>
  <c r="AJ2" i="4"/>
  <c r="O82" i="3"/>
  <c r="L82" i="3"/>
  <c r="AV103" i="4"/>
  <c r="O77" i="3"/>
  <c r="L77" i="3"/>
  <c r="O72" i="3"/>
  <c r="L72" i="3"/>
  <c r="O48" i="3"/>
  <c r="L48" i="3"/>
  <c r="AV41" i="4"/>
  <c r="O52" i="3"/>
  <c r="L52" i="3"/>
  <c r="O86" i="3"/>
  <c r="L86" i="3"/>
  <c r="O51" i="3"/>
  <c r="L51" i="3"/>
  <c r="O79" i="3"/>
  <c r="L79" i="3"/>
  <c r="L60" i="3"/>
  <c r="O60" i="3"/>
  <c r="O21" i="3"/>
  <c r="L21" i="3"/>
  <c r="AE3" i="5"/>
  <c r="L27" i="3"/>
  <c r="O27" i="3"/>
  <c r="AK2" i="3"/>
  <c r="B24" i="1"/>
  <c r="AO9" i="2"/>
  <c r="AO11" i="2" s="1"/>
  <c r="AO3" i="2"/>
  <c r="AO5" i="2" s="1"/>
  <c r="G376" i="2"/>
  <c r="O33" i="3"/>
  <c r="L33" i="3"/>
  <c r="AV7" i="4"/>
  <c r="AV42" i="4"/>
  <c r="AV101" i="4"/>
  <c r="AV47" i="4"/>
  <c r="AV93" i="4"/>
  <c r="AV27" i="4"/>
  <c r="AO2" i="4"/>
  <c r="AV24" i="4"/>
  <c r="AM2" i="4"/>
  <c r="V2" i="4"/>
  <c r="O90" i="3"/>
  <c r="L90" i="3"/>
  <c r="AV70" i="4"/>
  <c r="AV46" i="4"/>
  <c r="O81" i="3"/>
  <c r="L81" i="3"/>
  <c r="AV50" i="4"/>
  <c r="AV67" i="4"/>
  <c r="O64" i="3"/>
  <c r="L64" i="3"/>
  <c r="AV43" i="4"/>
  <c r="R2" i="3"/>
  <c r="B5" i="1"/>
  <c r="O41" i="3"/>
  <c r="L41" i="3"/>
  <c r="T2" i="3"/>
  <c r="B7" i="1"/>
  <c r="AV34" i="4"/>
  <c r="AV31" i="4"/>
  <c r="AV49" i="4"/>
  <c r="AA2" i="4"/>
  <c r="Y2" i="4"/>
  <c r="O88" i="3"/>
  <c r="L88" i="3"/>
  <c r="O61" i="3"/>
  <c r="L61" i="3"/>
  <c r="O65" i="3"/>
  <c r="L65" i="3"/>
  <c r="AV72" i="4"/>
  <c r="Q3" i="5"/>
  <c r="L30" i="3"/>
  <c r="O30" i="3"/>
  <c r="B17" i="1"/>
  <c r="AD2" i="3"/>
  <c r="O97" i="3"/>
  <c r="L97" i="3"/>
  <c r="AV84" i="4"/>
  <c r="O80" i="3"/>
  <c r="L80" i="3"/>
  <c r="AV77" i="4"/>
  <c r="AV58" i="4"/>
  <c r="O91" i="3"/>
  <c r="L91" i="3"/>
  <c r="AV19" i="4"/>
  <c r="B16" i="1"/>
  <c r="AC2" i="3"/>
  <c r="P2" i="3"/>
  <c r="B3" i="1"/>
  <c r="AV28" i="4"/>
  <c r="O39" i="3"/>
  <c r="L39" i="3"/>
  <c r="AC3" i="5"/>
  <c r="AV23" i="4"/>
  <c r="AV97" i="4"/>
  <c r="AV89" i="4"/>
  <c r="AV85" i="4"/>
  <c r="AV57" i="4"/>
  <c r="P2" i="4"/>
  <c r="O93" i="3"/>
  <c r="L93" i="3"/>
  <c r="AV88" i="4"/>
  <c r="O20" i="3"/>
  <c r="L20" i="3"/>
  <c r="O100" i="3"/>
  <c r="L100" i="3"/>
  <c r="AV79" i="4"/>
  <c r="O57" i="3"/>
  <c r="L57" i="3"/>
  <c r="O15" i="3"/>
  <c r="L15" i="3"/>
  <c r="O87" i="3"/>
  <c r="L87" i="3"/>
  <c r="AV62" i="4"/>
  <c r="O50" i="3"/>
  <c r="L50" i="3"/>
  <c r="O3" i="5"/>
  <c r="AV39" i="4"/>
  <c r="AM2" i="3"/>
  <c r="B26" i="1"/>
  <c r="Z11" i="2"/>
  <c r="AV44" i="4"/>
  <c r="AV87" i="4"/>
  <c r="AD2" i="4"/>
  <c r="AV38" i="4"/>
  <c r="AV20" i="4"/>
  <c r="AV86" i="4"/>
  <c r="AV40" i="4"/>
  <c r="O58" i="3"/>
  <c r="L58" i="3"/>
  <c r="O101" i="3"/>
  <c r="L101" i="3"/>
  <c r="O34" i="3"/>
  <c r="L34" i="3"/>
  <c r="O56" i="3"/>
  <c r="L56" i="3"/>
  <c r="BF369" i="2"/>
  <c r="AG2" i="4"/>
  <c r="V2" i="3"/>
  <c r="B9" i="1"/>
  <c r="O10" i="3"/>
  <c r="L10" i="3"/>
  <c r="AV64" i="4"/>
  <c r="AV99" i="4"/>
  <c r="AV68" i="4"/>
  <c r="AV21" i="4"/>
  <c r="AV15" i="4"/>
  <c r="AV8" i="4"/>
  <c r="AV95" i="4"/>
  <c r="L92" i="3"/>
  <c r="O92" i="3"/>
  <c r="AV33" i="4"/>
  <c r="O29" i="3"/>
  <c r="L29" i="3"/>
  <c r="O66" i="3"/>
  <c r="L66" i="3"/>
  <c r="O17" i="3"/>
  <c r="L17" i="3"/>
  <c r="L83" i="3"/>
  <c r="O83" i="3"/>
  <c r="L40" i="3"/>
  <c r="O40" i="3"/>
  <c r="O12" i="3"/>
  <c r="L12" i="3"/>
  <c r="L14" i="3"/>
  <c r="O14" i="3"/>
  <c r="AG3" i="5"/>
  <c r="L16" i="3"/>
  <c r="O16" i="3"/>
  <c r="AY12" i="2"/>
  <c r="AY14" i="2" s="1"/>
  <c r="AY3" i="2"/>
  <c r="AY5" i="2" s="1"/>
  <c r="AV91" i="4"/>
  <c r="AV98" i="4"/>
  <c r="O71" i="3"/>
  <c r="L71" i="3"/>
  <c r="AV55" i="4"/>
  <c r="O38" i="3"/>
  <c r="L38" i="3"/>
  <c r="L85" i="3"/>
  <c r="O85" i="3"/>
  <c r="AV48" i="4"/>
  <c r="L54" i="3"/>
  <c r="O54" i="3"/>
  <c r="AE2" i="3"/>
  <c r="B18" i="1"/>
  <c r="O22" i="3"/>
  <c r="L22" i="3"/>
  <c r="O11" i="3"/>
  <c r="L11" i="3"/>
  <c r="AV14" i="4"/>
  <c r="H377" i="2"/>
  <c r="AV71" i="4"/>
  <c r="AV61" i="4"/>
  <c r="AP2" i="4"/>
  <c r="O75" i="3"/>
  <c r="L75" i="3"/>
  <c r="AV11" i="4"/>
  <c r="AN2" i="4"/>
  <c r="AI2" i="4"/>
  <c r="AV32" i="4"/>
  <c r="O26" i="3"/>
  <c r="L26" i="3"/>
  <c r="O63" i="3"/>
  <c r="L63" i="3"/>
  <c r="O35" i="3"/>
  <c r="L35" i="3"/>
  <c r="AD3" i="5"/>
  <c r="H380" i="2"/>
  <c r="AV92" i="4"/>
  <c r="AE2" i="4"/>
  <c r="AB2" i="4"/>
  <c r="Z2" i="4"/>
  <c r="AL2" i="4"/>
  <c r="AV53" i="4"/>
  <c r="AV45" i="4"/>
  <c r="U2" i="4"/>
  <c r="AH2" i="4"/>
  <c r="O67" i="3"/>
  <c r="L67" i="3"/>
  <c r="O62" i="3"/>
  <c r="L62" i="3"/>
  <c r="O28" i="3"/>
  <c r="L28" i="3"/>
  <c r="L32" i="3"/>
  <c r="O32" i="3"/>
  <c r="O78" i="3"/>
  <c r="L78" i="3"/>
  <c r="O31" i="3"/>
  <c r="L31" i="3"/>
  <c r="AV81" i="4"/>
  <c r="AV10" i="4"/>
  <c r="AV12" i="4"/>
  <c r="Q2" i="3"/>
  <c r="B4" i="1"/>
  <c r="AN2" i="3"/>
  <c r="B27" i="1"/>
  <c r="O18" i="3"/>
  <c r="L18" i="3"/>
  <c r="O25" i="3"/>
  <c r="L25" i="3"/>
  <c r="B45" i="1" l="1"/>
  <c r="B46" i="1"/>
  <c r="C15" i="1"/>
  <c r="C8" i="1"/>
  <c r="C14" i="1"/>
  <c r="C30" i="1"/>
  <c r="C16" i="1"/>
  <c r="C7" i="1"/>
  <c r="C9" i="1"/>
  <c r="C10" i="1"/>
  <c r="C29" i="1"/>
  <c r="C34" i="1"/>
  <c r="C35" i="1"/>
  <c r="C13" i="1"/>
  <c r="C20" i="1"/>
  <c r="C11" i="1"/>
  <c r="C17" i="1"/>
  <c r="C5" i="1"/>
  <c r="C24" i="1"/>
  <c r="C6" i="1"/>
  <c r="C19" i="1"/>
  <c r="C21" i="1"/>
  <c r="C23" i="1"/>
  <c r="C22" i="1"/>
  <c r="C18" i="1"/>
  <c r="C4" i="1"/>
  <c r="C25" i="1"/>
  <c r="C33" i="1"/>
  <c r="C26" i="1"/>
  <c r="C12" i="1"/>
  <c r="T2" i="5"/>
  <c r="E5" i="1"/>
  <c r="X2" i="5"/>
  <c r="E32" i="1"/>
  <c r="E34" i="1"/>
  <c r="AM2" i="5"/>
  <c r="E35" i="1"/>
  <c r="E12" i="1"/>
  <c r="E28" i="1"/>
  <c r="E20" i="1"/>
  <c r="E6" i="1"/>
  <c r="H26" i="1"/>
  <c r="AH2" i="5"/>
  <c r="E4" i="1"/>
  <c r="H29" i="1"/>
  <c r="E13" i="1"/>
  <c r="H32" i="1"/>
  <c r="E16" i="1"/>
  <c r="Z2" i="5"/>
  <c r="AA2" i="5"/>
  <c r="H16" i="1"/>
  <c r="H20" i="1"/>
  <c r="Y2" i="5"/>
  <c r="E17" i="1"/>
  <c r="E24" i="1"/>
  <c r="AN2" i="5"/>
  <c r="E31" i="1"/>
  <c r="E23" i="1"/>
  <c r="E14" i="1"/>
  <c r="E21" i="1"/>
  <c r="E3" i="1"/>
  <c r="AI2" i="5"/>
  <c r="E25" i="1"/>
  <c r="E22" i="1"/>
  <c r="H10" i="1"/>
  <c r="E9" i="1"/>
  <c r="E11" i="1"/>
  <c r="E30" i="1"/>
  <c r="W2" i="5"/>
  <c r="E7" i="1"/>
  <c r="E19" i="1"/>
  <c r="E33" i="1"/>
  <c r="H9" i="1"/>
  <c r="E15" i="1"/>
  <c r="E26" i="1"/>
  <c r="AJ2" i="5"/>
  <c r="E10" i="1"/>
  <c r="E18" i="1"/>
  <c r="E27" i="1"/>
  <c r="E29" i="1"/>
  <c r="R2" i="5"/>
  <c r="E8" i="1"/>
  <c r="H25" i="1"/>
  <c r="B37" i="1"/>
  <c r="AU2" i="5"/>
  <c r="H35" i="1"/>
  <c r="C32" i="1"/>
  <c r="AR2" i="5"/>
  <c r="C31" i="1"/>
  <c r="AP2" i="5"/>
  <c r="H30" i="1"/>
  <c r="AV37" i="5"/>
  <c r="AV77" i="5"/>
  <c r="AV17" i="5"/>
  <c r="AV20" i="5"/>
  <c r="AV54" i="5"/>
  <c r="AV69" i="5"/>
  <c r="AV46" i="5"/>
  <c r="AV26" i="5"/>
  <c r="AV100" i="5"/>
  <c r="AV101" i="5"/>
  <c r="AV34" i="5"/>
  <c r="AV51" i="5"/>
  <c r="AV35" i="5"/>
  <c r="AV88" i="5"/>
  <c r="AV32" i="5"/>
  <c r="AV78" i="5"/>
  <c r="AV22" i="5"/>
  <c r="AV42" i="5"/>
  <c r="AV65" i="5"/>
  <c r="AV98" i="5"/>
  <c r="AV27" i="5"/>
  <c r="AV28" i="5"/>
  <c r="AV86" i="5"/>
  <c r="AV50" i="5"/>
  <c r="AV81" i="5"/>
  <c r="AV36" i="5"/>
  <c r="AV64" i="5"/>
  <c r="AV58" i="5"/>
  <c r="AV95" i="5"/>
  <c r="AV62" i="5"/>
  <c r="AV79" i="5"/>
  <c r="AV60" i="5"/>
  <c r="AV70" i="5"/>
  <c r="AV75" i="5"/>
  <c r="AV30" i="5"/>
  <c r="AV21" i="5"/>
  <c r="AV96" i="5"/>
  <c r="AV68" i="5"/>
  <c r="AV43" i="5"/>
  <c r="AV103" i="5"/>
  <c r="AV52" i="5"/>
  <c r="AV59" i="5"/>
  <c r="AV12" i="5"/>
  <c r="AV29" i="5"/>
  <c r="AV31" i="5"/>
  <c r="AV53" i="5"/>
  <c r="AV90" i="5"/>
  <c r="AV89" i="5"/>
  <c r="AV44" i="5"/>
  <c r="AV61" i="5"/>
  <c r="AV14" i="5"/>
  <c r="AV40" i="5"/>
  <c r="AV23" i="5"/>
  <c r="AV94" i="5"/>
  <c r="AV41" i="5"/>
  <c r="AV72" i="5"/>
  <c r="AV33" i="5"/>
  <c r="AV99" i="5"/>
  <c r="AV87" i="5"/>
  <c r="AV63" i="5"/>
  <c r="AV93" i="5"/>
  <c r="AV13" i="5"/>
  <c r="AV67" i="5"/>
  <c r="AV97" i="5"/>
  <c r="AV15" i="5"/>
  <c r="AV66" i="5"/>
  <c r="AV11" i="5"/>
  <c r="AV91" i="5"/>
  <c r="AV56" i="5"/>
  <c r="AV85" i="5"/>
  <c r="AV83" i="5"/>
  <c r="AV84" i="5"/>
  <c r="AQ3" i="5"/>
  <c r="AV38" i="5"/>
  <c r="AV102" i="5"/>
  <c r="AV18" i="5"/>
  <c r="AV25" i="5"/>
  <c r="AV74" i="5"/>
  <c r="AV39" i="5"/>
  <c r="AV82" i="5"/>
  <c r="AV19" i="5"/>
  <c r="AS3" i="5" s="1"/>
  <c r="AV47" i="5"/>
  <c r="AV73" i="5"/>
  <c r="AV8" i="5"/>
  <c r="AV55" i="5"/>
  <c r="AV24" i="5"/>
  <c r="AV16" i="5"/>
  <c r="AV57" i="5"/>
  <c r="AV49" i="5"/>
  <c r="AV80" i="5"/>
  <c r="AV71" i="5"/>
  <c r="AV104" i="5"/>
  <c r="AV92" i="5"/>
  <c r="AV48" i="5"/>
  <c r="AV9" i="5"/>
  <c r="AV76" i="5"/>
  <c r="AT3" i="5"/>
  <c r="BF12" i="2"/>
  <c r="BF14" i="2" s="1"/>
  <c r="BF9" i="2"/>
  <c r="BF11" i="2" s="1"/>
  <c r="BF3" i="2"/>
  <c r="BF5" i="2" s="1"/>
  <c r="C28" i="1"/>
  <c r="C27" i="1"/>
  <c r="U2" i="5"/>
  <c r="H12" i="1"/>
  <c r="V2" i="5"/>
  <c r="AO2" i="5"/>
  <c r="H13" i="1"/>
  <c r="BF381" i="2"/>
  <c r="H23" i="1"/>
  <c r="AF2" i="5"/>
  <c r="AB2" i="5"/>
  <c r="H14" i="1"/>
  <c r="AL2" i="5"/>
  <c r="H28" i="1"/>
  <c r="AK2" i="5"/>
  <c r="H15" i="1"/>
  <c r="H11" i="1"/>
  <c r="H27" i="1"/>
  <c r="H24" i="1"/>
  <c r="H22" i="1"/>
  <c r="H8" i="1"/>
  <c r="H6" i="1"/>
  <c r="AV2" i="4"/>
  <c r="C3" i="1"/>
  <c r="AJ14" i="2"/>
  <c r="P2" i="5"/>
  <c r="H4" i="1"/>
  <c r="AE2" i="5"/>
  <c r="H19" i="1"/>
  <c r="AD2" i="5"/>
  <c r="H18" i="1"/>
  <c r="AG2" i="5"/>
  <c r="H21" i="1"/>
  <c r="Q2" i="5"/>
  <c r="H5" i="1"/>
  <c r="BF378" i="2"/>
  <c r="O2" i="5"/>
  <c r="H3" i="1"/>
  <c r="S2" i="5"/>
  <c r="H7" i="1"/>
  <c r="AC2" i="5"/>
  <c r="H17" i="1"/>
  <c r="H45" i="1" l="1"/>
  <c r="E46" i="1"/>
  <c r="C46" i="1"/>
  <c r="C45" i="1"/>
  <c r="E45" i="1"/>
  <c r="I3" i="1"/>
  <c r="G25" i="1"/>
  <c r="G24" i="1"/>
  <c r="G6" i="1"/>
  <c r="G8" i="1"/>
  <c r="G30" i="1"/>
  <c r="G17" i="1"/>
  <c r="G20" i="1"/>
  <c r="G11" i="1"/>
  <c r="G28" i="1"/>
  <c r="G31" i="1"/>
  <c r="G29" i="1"/>
  <c r="G9" i="1"/>
  <c r="G12" i="1"/>
  <c r="G27" i="1"/>
  <c r="G35" i="1"/>
  <c r="G18" i="1"/>
  <c r="G22" i="1"/>
  <c r="G23" i="1"/>
  <c r="G10" i="1"/>
  <c r="G34" i="1"/>
  <c r="G33" i="1"/>
  <c r="G4" i="1"/>
  <c r="G16" i="1"/>
  <c r="G32" i="1"/>
  <c r="G19" i="1"/>
  <c r="G7" i="1"/>
  <c r="G26" i="1"/>
  <c r="G15" i="1"/>
  <c r="G21" i="1"/>
  <c r="G13" i="1"/>
  <c r="G5" i="1"/>
  <c r="G14" i="1"/>
  <c r="I10" i="1"/>
  <c r="I21" i="1"/>
  <c r="I25" i="1"/>
  <c r="I26" i="1"/>
  <c r="I17" i="1"/>
  <c r="I22" i="1"/>
  <c r="I8" i="1"/>
  <c r="I15" i="1"/>
  <c r="I30" i="1"/>
  <c r="I20" i="1"/>
  <c r="I32" i="1"/>
  <c r="I18" i="1"/>
  <c r="I6" i="1"/>
  <c r="I27" i="1"/>
  <c r="I24" i="1"/>
  <c r="I7" i="1"/>
  <c r="I12" i="1"/>
  <c r="I4" i="1"/>
  <c r="I23" i="1"/>
  <c r="I9" i="1"/>
  <c r="I29" i="1"/>
  <c r="G3" i="1"/>
  <c r="I16" i="1"/>
  <c r="I19" i="1"/>
  <c r="I14" i="1"/>
  <c r="E37" i="1"/>
  <c r="E43" i="1" s="1"/>
  <c r="I11" i="1"/>
  <c r="I5" i="1"/>
  <c r="I13" i="1"/>
  <c r="I35" i="1"/>
  <c r="B43" i="1"/>
  <c r="C37" i="1"/>
  <c r="AT2" i="5"/>
  <c r="H34" i="1"/>
  <c r="AS2" i="5"/>
  <c r="H33" i="1"/>
  <c r="AQ2" i="5"/>
  <c r="H31" i="1"/>
  <c r="AV10" i="5"/>
  <c r="I28" i="1"/>
  <c r="H46" i="1" l="1"/>
  <c r="I46" i="1" s="1"/>
  <c r="G45" i="1"/>
  <c r="G46" i="1"/>
  <c r="I45" i="1"/>
  <c r="G37" i="1"/>
  <c r="I31" i="1"/>
  <c r="I33" i="1"/>
  <c r="I34" i="1"/>
  <c r="G43" i="1"/>
  <c r="H37" i="1"/>
  <c r="H43" i="1" s="1"/>
  <c r="I43" i="1" s="1"/>
  <c r="AV3" i="5"/>
  <c r="AV2" i="5" s="1"/>
  <c r="C43" i="1"/>
  <c r="I40" i="1" l="1"/>
  <c r="I37" i="1"/>
</calcChain>
</file>

<file path=xl/sharedStrings.xml><?xml version="1.0" encoding="utf-8"?>
<sst xmlns="http://schemas.openxmlformats.org/spreadsheetml/2006/main" count="1416" uniqueCount="253">
  <si>
    <t>目標</t>
  </si>
  <si>
    <t>Forecast</t>
  </si>
  <si>
    <t>発行</t>
  </si>
  <si>
    <t>承認率</t>
  </si>
  <si>
    <t>発行コスト</t>
  </si>
  <si>
    <t>発行CPA</t>
  </si>
  <si>
    <t>ー</t>
  </si>
  <si>
    <t>9月補填分込みTotal</t>
  </si>
  <si>
    <t>Total</t>
  </si>
  <si>
    <t>Target</t>
  </si>
  <si>
    <t>Actural</t>
  </si>
  <si>
    <t>GAP</t>
  </si>
  <si>
    <t>No.</t>
  </si>
  <si>
    <t>SID</t>
  </si>
  <si>
    <t>媒体名</t>
  </si>
  <si>
    <t>運営者</t>
  </si>
  <si>
    <t>URL</t>
  </si>
  <si>
    <t>Actual</t>
  </si>
  <si>
    <t>Runrate</t>
  </si>
  <si>
    <t>Achievement rate</t>
  </si>
  <si>
    <t>Approval rate(通常)</t>
  </si>
  <si>
    <t>Approval rate(CPN)</t>
  </si>
  <si>
    <t>Commission
①</t>
  </si>
  <si>
    <t>Commission
②</t>
  </si>
  <si>
    <t>Commission
③</t>
  </si>
  <si>
    <t>Commission
④</t>
  </si>
  <si>
    <t>Expected cost</t>
  </si>
  <si>
    <t>Channels</t>
  </si>
  <si>
    <t>Media
Type</t>
  </si>
  <si>
    <t>区分</t>
  </si>
  <si>
    <t>【ポイントサイト】合計</t>
  </si>
  <si>
    <t>Daily Target (Initiative)</t>
  </si>
  <si>
    <t>【比較サイト】合計</t>
  </si>
  <si>
    <t>【REVO】合計</t>
  </si>
  <si>
    <t>【ジャネット】合計</t>
  </si>
  <si>
    <t>250381</t>
  </si>
  <si>
    <t>モッピー(PC) 定額</t>
  </si>
  <si>
    <t>ポイントサイト</t>
  </si>
  <si>
    <t>Promotion Detail</t>
  </si>
  <si>
    <t>162253</t>
  </si>
  <si>
    <t>PC・スマートフォン版ハピタス</t>
  </si>
  <si>
    <t>391434</t>
  </si>
  <si>
    <t>LINEポイントクラブ</t>
  </si>
  <si>
    <t>374455</t>
  </si>
  <si>
    <t>SKYFLAG</t>
  </si>
  <si>
    <t>384209</t>
  </si>
  <si>
    <t>おすすめクレジットカード.net</t>
  </si>
  <si>
    <t>比較サイト</t>
  </si>
  <si>
    <t>388064</t>
  </si>
  <si>
    <t>クラシルリテールネットワーク</t>
  </si>
  <si>
    <t>390299</t>
  </si>
  <si>
    <t>GF Rewards</t>
  </si>
  <si>
    <t>139771</t>
  </si>
  <si>
    <t>価格.comマネーカテゴリ</t>
  </si>
  <si>
    <t>335161</t>
  </si>
  <si>
    <t>クレジット比較ガイド</t>
  </si>
  <si>
    <t>391847</t>
  </si>
  <si>
    <t>'@next</t>
  </si>
  <si>
    <t>387654</t>
  </si>
  <si>
    <t>入れるだけでオンラインショッピングがオトクになる拡張機能アプリ『PLUG』</t>
  </si>
  <si>
    <t>363180</t>
  </si>
  <si>
    <t>mybest</t>
  </si>
  <si>
    <t>391702</t>
  </si>
  <si>
    <t>グローベルラボ</t>
  </si>
  <si>
    <t>392886</t>
  </si>
  <si>
    <t>グラッドワン(還元)</t>
  </si>
  <si>
    <t>135749</t>
  </si>
  <si>
    <t>ポイントインカム</t>
  </si>
  <si>
    <t>392013</t>
  </si>
  <si>
    <t>スマートヴィレッジ</t>
  </si>
  <si>
    <t>355413</t>
  </si>
  <si>
    <t>アプリオ</t>
  </si>
  <si>
    <t>379186</t>
  </si>
  <si>
    <t>creditcard-get</t>
  </si>
  <si>
    <t>129217</t>
  </si>
  <si>
    <t>SPOPRE.com</t>
  </si>
  <si>
    <t>391206</t>
  </si>
  <si>
    <t>ドットマガジン/クレジットカード</t>
  </si>
  <si>
    <t>386941</t>
  </si>
  <si>
    <t>LS特殊ネットワーク(ソケット連携案件専用)</t>
  </si>
  <si>
    <t>370582</t>
  </si>
  <si>
    <t>人気のクレジットカード徹底比較ランキング</t>
  </si>
  <si>
    <t>346991</t>
  </si>
  <si>
    <t>(SP)ECナビ【毎日貯まるポイントサイト】</t>
  </si>
  <si>
    <t>33077</t>
  </si>
  <si>
    <t>ちょびリッチ.コム</t>
  </si>
  <si>
    <t>374919</t>
  </si>
  <si>
    <t>みんかぶchoice</t>
  </si>
  <si>
    <t>385218</t>
  </si>
  <si>
    <t>人気クレカ比較ナビ</t>
  </si>
  <si>
    <t>369103</t>
  </si>
  <si>
    <t>ZUU online</t>
  </si>
  <si>
    <t>391527</t>
  </si>
  <si>
    <t>クレジットカード+</t>
  </si>
  <si>
    <t>1695</t>
  </si>
  <si>
    <t>ワラウ</t>
  </si>
  <si>
    <t>74401</t>
  </si>
  <si>
    <t>ポイントタウン</t>
  </si>
  <si>
    <t>391152</t>
  </si>
  <si>
    <t>NET MONEY</t>
  </si>
  <si>
    <t>368894</t>
  </si>
  <si>
    <t>Powl</t>
  </si>
  <si>
    <t>388297</t>
  </si>
  <si>
    <t>リアン</t>
  </si>
  <si>
    <t>392708</t>
  </si>
  <si>
    <t>グラッドワン</t>
  </si>
  <si>
    <t>79082</t>
  </si>
  <si>
    <t>クチコミランキング</t>
  </si>
  <si>
    <t>349963</t>
  </si>
  <si>
    <t>クレジットカード攻略ガイド</t>
  </si>
  <si>
    <t>355488</t>
  </si>
  <si>
    <t>スーパーポイントスクリーン(ノンインセ枠)</t>
  </si>
  <si>
    <t>356767</t>
  </si>
  <si>
    <t>たあんとnet</t>
  </si>
  <si>
    <t>154908</t>
  </si>
  <si>
    <t>特典・割引使いこなし!クレジットカード比較マニュアル</t>
  </si>
  <si>
    <t>389113</t>
  </si>
  <si>
    <t>CANVAS</t>
  </si>
  <si>
    <t>392086</t>
  </si>
  <si>
    <t>楽天カード専用_AT</t>
  </si>
  <si>
    <t>347872</t>
  </si>
  <si>
    <t>Rebates(リーベイツ)</t>
  </si>
  <si>
    <t>392414</t>
  </si>
  <si>
    <t>グッドカミング</t>
  </si>
  <si>
    <t>380929</t>
  </si>
  <si>
    <t>トウシカ(アプリ)</t>
  </si>
  <si>
    <t>380562</t>
  </si>
  <si>
    <t>Youtube「投資家ぽんちよ」</t>
  </si>
  <si>
    <t>390113</t>
  </si>
  <si>
    <t>アドバイザーナビのクレジットカードメディア</t>
  </si>
  <si>
    <t>285236</t>
  </si>
  <si>
    <t>【SMAAD Reward】</t>
  </si>
  <si>
    <t>379074</t>
  </si>
  <si>
    <t>新ベネフィット・ステーション</t>
  </si>
  <si>
    <t>384575</t>
  </si>
  <si>
    <t>オカネコマガジン</t>
  </si>
  <si>
    <t>82067</t>
  </si>
  <si>
    <t>やさしい株のはじめ方</t>
  </si>
  <si>
    <t>377067</t>
  </si>
  <si>
    <t>楽天経済圏の住人</t>
  </si>
  <si>
    <t>277575</t>
  </si>
  <si>
    <t>ノマド的節約術</t>
  </si>
  <si>
    <t>333191</t>
  </si>
  <si>
    <t>The Goal</t>
  </si>
  <si>
    <t>343579</t>
  </si>
  <si>
    <t>最強クレジットカードガイド</t>
  </si>
  <si>
    <t>248567</t>
  </si>
  <si>
    <t>ザイ・オンライン</t>
  </si>
  <si>
    <t>354876</t>
  </si>
  <si>
    <t>美トリ</t>
  </si>
  <si>
    <t>354959</t>
  </si>
  <si>
    <t>ファンモニ</t>
  </si>
  <si>
    <t>368617</t>
  </si>
  <si>
    <t>BANK ACADEMY</t>
  </si>
  <si>
    <t>372803</t>
  </si>
  <si>
    <t>暮らしのぜんぶ</t>
  </si>
  <si>
    <t>385111</t>
  </si>
  <si>
    <t>ADWAYS DEEE OW</t>
  </si>
  <si>
    <t>391966</t>
  </si>
  <si>
    <t>株式投資 管理・分析アプリ「カビュウ」</t>
  </si>
  <si>
    <t>393660</t>
  </si>
  <si>
    <t>まりもっこりのマネー教室</t>
  </si>
  <si>
    <t>395140</t>
  </si>
  <si>
    <t>ユニカードライフ</t>
  </si>
  <si>
    <t>395211</t>
  </si>
  <si>
    <t>もしもアフィリエイト(楽天カード用)</t>
  </si>
  <si>
    <t>395324</t>
  </si>
  <si>
    <t>お得情報研究家まめ@トラベルノート</t>
  </si>
  <si>
    <t>395465</t>
  </si>
  <si>
    <t>クレジットカードABC</t>
  </si>
  <si>
    <t>ワラウ(商品ID2:楽天プレミアムカード発行)</t>
  </si>
  <si>
    <t>ちょびリッチ.コム(商品ID2:楽天プレミアムカード発行)</t>
  </si>
  <si>
    <t>ポイントタウン(商品ID2:楽天プレミアムカード発行)</t>
  </si>
  <si>
    <t>SPOPRE.com(商品ID2:楽天プレミアムカード発行)</t>
  </si>
  <si>
    <t>ポイントインカム(商品ID2:楽天プレミアムカード発行)</t>
  </si>
  <si>
    <t>PC・スマートフォン版ハピタス(商品ID2:楽天プレミアムカード発行)</t>
  </si>
  <si>
    <t>モッピー(PC) 定額(商品ID2:楽天プレミアムカード発行)</t>
  </si>
  <si>
    <t>(SP)ECナビ【毎日貯まるポイントサイト】(商品ID2:楽天プレミアムカード発行)</t>
  </si>
  <si>
    <t>美トリ(商品ID2:楽天プレミアムカード発行)</t>
  </si>
  <si>
    <t>ファンモニ(商品ID2:楽天プレミアムカード発行)</t>
  </si>
  <si>
    <t>Powl(商品ID2:楽天プレミアムカード発行)</t>
  </si>
  <si>
    <t>入れるだけでオンラインショッピングがオトクになる拡張機能アプリ『PLUG』(商品ID2:楽天プレミアムカード発行)</t>
  </si>
  <si>
    <t>クラシルリテールネットワーク(商品ID2:楽天プレミアムカード発行)</t>
  </si>
  <si>
    <t>リアン(商品ID2:楽天プレミアムカード発行)</t>
  </si>
  <si>
    <t>GF Rewards(商品ID2:楽天プレミアムカード発行)</t>
  </si>
  <si>
    <t>ワラウ(商品ID1:楽天ゴールドカード発行)</t>
  </si>
  <si>
    <t>ちょびリッチ.コム(商品ID1:楽天ゴールドカード発行)</t>
  </si>
  <si>
    <t>ポイントタウン(商品ID1:楽天ゴールドカード発行)</t>
  </si>
  <si>
    <t>SPOPRE.com(商品ID1:楽天ゴールドカード発行)</t>
  </si>
  <si>
    <t>ポイントインカム(商品ID1:楽天ゴールドカード発行)</t>
  </si>
  <si>
    <t>PC・スマートフォン版ハピタス(商品ID1:楽天ゴールドカード発行)</t>
  </si>
  <si>
    <t>モッピー(PC) 定額(商品ID1:楽天ゴールドカード発行)</t>
  </si>
  <si>
    <t>(SP)ECナビ【毎日貯まるポイントサイト】(商品ID1:楽天ゴールドカード発行)</t>
  </si>
  <si>
    <t>美トリ(商品ID1:楽天ゴールドカード発行)</t>
  </si>
  <si>
    <t>ファンモニ(商品ID1:楽天ゴールドカード発行)</t>
  </si>
  <si>
    <t>Powl(商品ID1:楽天ゴールドカード発行)</t>
  </si>
  <si>
    <t>入れるだけでオンラインショッピングがオトクになる拡張機能アプリ『PLUG』(商品ID1:楽天ゴールドカード発行)</t>
  </si>
  <si>
    <t>クラシルリテールネットワーク(商品ID1:楽天ゴールドカード発行)</t>
  </si>
  <si>
    <t>リアン(商品ID1:楽天ゴールドカード発行)</t>
  </si>
  <si>
    <t>GF Rewards(商品ID1:楽天ゴールドカード発行)</t>
  </si>
  <si>
    <t>獲得上位　比較サイト：合計</t>
  </si>
  <si>
    <t>獲得上位　ポイントサイト：合計</t>
  </si>
  <si>
    <t>other【ポイントサイト】</t>
  </si>
  <si>
    <t>other【比較サイト】</t>
  </si>
  <si>
    <t>ヨミ</t>
  </si>
  <si>
    <t>¥7,000</t>
  </si>
  <si>
    <t>¥8,000</t>
  </si>
  <si>
    <t>還元サイト</t>
  </si>
  <si>
    <t>単価①</t>
  </si>
  <si>
    <t>単価②</t>
  </si>
  <si>
    <t>単価③</t>
  </si>
  <si>
    <t>発行数</t>
  </si>
  <si>
    <t>○</t>
  </si>
  <si>
    <t>通常時</t>
  </si>
  <si>
    <t>5000通常</t>
  </si>
  <si>
    <t>5000強化</t>
  </si>
  <si>
    <t>7000pt</t>
  </si>
  <si>
    <t>最新計算</t>
  </si>
  <si>
    <t>10月度サマリ 件数コスト</t>
  </si>
  <si>
    <t>10月度予算</t>
  </si>
  <si>
    <t>10月補填分</t>
  </si>
  <si>
    <t>10月月額費分</t>
  </si>
  <si>
    <t>9月承認(8/21~8/24)
(短縮承認分)</t>
  </si>
  <si>
    <t>通常</t>
  </si>
  <si>
    <t>マジ得</t>
  </si>
  <si>
    <t>作業</t>
    <rPh sb="0" eb="2">
      <t>サギョウ</t>
    </rPh>
    <phoneticPr fontId="2"/>
  </si>
  <si>
    <t>短縮承認対象データ送付</t>
  </si>
  <si>
    <t>短縮承認データ戻し
Janet送付</t>
  </si>
  <si>
    <t>短縮承認</t>
    <rPh sb="0" eb="2">
      <t>タンシュク</t>
    </rPh>
    <rPh sb="2" eb="4">
      <t>ショウニン</t>
    </rPh>
    <phoneticPr fontId="2"/>
  </si>
  <si>
    <t>成果データ送付日
※承認と被る場合は遅延送付</t>
  </si>
  <si>
    <t>締め日</t>
    <rPh sb="0" eb="1">
      <t>シ</t>
    </rPh>
    <rPh sb="2" eb="3">
      <t>ビ</t>
    </rPh>
    <phoneticPr fontId="2"/>
  </si>
  <si>
    <t>締めデータ送付</t>
    <rPh sb="0" eb="1">
      <t>シ</t>
    </rPh>
    <rPh sb="5" eb="7">
      <t>ソウフ</t>
    </rPh>
    <phoneticPr fontId="2"/>
  </si>
  <si>
    <t>締めデータ戻し</t>
    <rPh sb="0" eb="1">
      <t>シ</t>
    </rPh>
    <rPh sb="5" eb="6">
      <t>モド</t>
    </rPh>
    <phoneticPr fontId="2"/>
  </si>
  <si>
    <t>締め承認</t>
    <rPh sb="0" eb="1">
      <t>シ</t>
    </rPh>
    <rPh sb="2" eb="4">
      <t>ショウニン</t>
    </rPh>
    <phoneticPr fontId="2"/>
  </si>
  <si>
    <t>7/28-8/3</t>
  </si>
  <si>
    <t>☆</t>
    <phoneticPr fontId="2"/>
  </si>
  <si>
    <t>★</t>
    <phoneticPr fontId="2"/>
  </si>
  <si>
    <t>8/3-8/11</t>
  </si>
  <si>
    <t>★</t>
  </si>
  <si>
    <t>8/21-8/24</t>
  </si>
  <si>
    <t>8/25-8/31</t>
  </si>
  <si>
    <t>9/1-9/7</t>
  </si>
  <si>
    <t>9/8-9/14</t>
  </si>
  <si>
    <t>9/18-9/23</t>
    <phoneticPr fontId="2"/>
  </si>
  <si>
    <t>9/24-9/28　※要調整</t>
  </si>
  <si>
    <t>短縮承認</t>
  </si>
  <si>
    <t>LINEOA配信費</t>
  </si>
  <si>
    <t>9月承認(9/18~9/23)
(短縮承認分)</t>
  </si>
  <si>
    <t>モッピー/クラシル固定費</t>
  </si>
  <si>
    <t>－</t>
  </si>
  <si>
    <t>9月</t>
  </si>
  <si>
    <t>10月</t>
  </si>
  <si>
    <t>モッピークラシル固定費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</si>
</sst>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42" formatCode="_-&quot;¥&quot;* #,##0_-;\-&quot;¥&quot;* #,##0_-;_-&quot;¥&quot;* &quot;-&quot;_-;_-@_-"/>
    <numFmt numFmtId="164" formatCode="mm/dd"/>
    <numFmt numFmtId="165" formatCode="#,##0;[Red]\(#,##0\);\-"/>
    <numFmt numFmtId="166" formatCode="0.0%"/>
    <numFmt numFmtId="167" formatCode="\¥#,##0;[Red]\(\¥#,##0\);\-"/>
    <numFmt numFmtId="168" formatCode="&quot;¥&quot;#,##0"/>
  </numFmts>
  <fonts count="24">
    <font>
      <sz val="11"/>
      <color theme="1"/>
      <name val="Calibri"/>
      <family val="2"/>
      <scheme val="minor"/>
    </font>
    <font>
      <sz val="11"/>
      <color theme="1"/>
      <name val="Calibri"/>
      <family val="2"/>
      <charset val="128"/>
      <scheme val="minor"/>
    </font>
    <font>
      <b/>
      <sz val="10"/>
      <color rgb="FF000000"/>
      <name val="Meiryo"/>
      <family val="3"/>
      <charset val="128"/>
    </font>
    <font>
      <sz val="10"/>
      <color rgb="FF000000"/>
      <name val="Meiryo"/>
      <family val="3"/>
      <charset val="128"/>
    </font>
    <font>
      <sz val="10"/>
      <color rgb="FF008000"/>
      <name val="Meiryo"/>
      <family val="3"/>
      <charset val="128"/>
    </font>
    <font>
      <sz val="10"/>
      <color rgb="FF0000FF"/>
      <name val="Meiryo"/>
      <family val="3"/>
      <charset val="128"/>
    </font>
    <font>
      <b/>
      <sz val="12"/>
      <name val="Meiryo"/>
      <family val="3"/>
      <charset val="128"/>
    </font>
    <font>
      <sz val="6"/>
      <name val="Calibri"/>
      <family val="3"/>
      <charset val="128"/>
      <scheme val="minor"/>
    </font>
    <font>
      <sz val="11"/>
      <color theme="1"/>
      <name val="Calibri"/>
      <family val="2"/>
      <scheme val="minor"/>
    </font>
    <font>
      <sz val="11"/>
      <color theme="1"/>
      <name val="Rakuten Sans JP"/>
      <family val="2"/>
      <charset val="128"/>
    </font>
    <font>
      <b/>
      <sz val="11"/>
      <color theme="1"/>
      <name val="Rakuten Sans JP"/>
      <family val="2"/>
      <charset val="128"/>
    </font>
    <font>
      <sz val="11"/>
      <color theme="4" tint="0.79998168889431442"/>
      <name val="Rakuten Sans JP"/>
      <family val="2"/>
      <charset val="128"/>
    </font>
    <font>
      <sz val="11"/>
      <color theme="5"/>
      <name val="Rakuten Sans JP"/>
      <family val="2"/>
      <charset val="128"/>
    </font>
    <font>
      <sz val="11"/>
      <color rgb="FFFF0000"/>
      <name val="Rakuten Sans JP"/>
      <family val="2"/>
      <charset val="128"/>
    </font>
    <font>
      <sz val="11"/>
      <name val="Rakuten Sans JP"/>
      <family val="2"/>
      <charset val="128"/>
    </font>
    <font>
      <sz val="11"/>
      <color theme="8" tint="0.39997558519241921"/>
      <name val="Rakuten Sans JP"/>
      <family val="2"/>
      <charset val="128"/>
    </font>
    <font>
      <sz val="11"/>
      <color theme="4" tint="0.39997558519241921"/>
      <name val="Rakuten Sans JP"/>
      <family val="2"/>
      <charset val="128"/>
    </font>
    <font>
      <sz val="11"/>
      <color theme="6" tint="0.59999389629810485"/>
      <name val="Rakuten Sans JP"/>
      <family val="2"/>
      <charset val="128"/>
    </font>
    <font>
      <sz val="11"/>
      <color theme="5" tint="0.59999389629810485"/>
      <name val="Rakuten Sans JP"/>
      <family val="2"/>
      <charset val="128"/>
    </font>
    <font>
      <sz val="11"/>
      <color theme="4" tint="0.59999389629810485"/>
      <name val="Rakuten Sans JP"/>
      <family val="2"/>
      <charset val="128"/>
    </font>
    <font>
      <sz val="10"/>
      <name val="Meiryo"/>
      <family val="3"/>
      <charset val="128"/>
    </font>
    <font>
      <b/>
      <sz val="10"/>
      <color rgb="FF000000"/>
      <name val="Meiryo"/>
      <family val="2"/>
    </font>
    <font>
      <sz val="11"/>
      <color theme="1"/>
      <name val="Meiryo"/>
      <family val="2"/>
    </font>
    <font>
      <sz val="10"/>
      <color rgb="FF000000"/>
      <name val="Meiryo"/>
      <family val="2"/>
    </font>
  </fonts>
  <fills count="19">
    <fill>
      <patternFill patternType="none"/>
    </fill>
    <fill>
      <patternFill patternType="gray125"/>
    </fill>
    <fill>
      <patternFill patternType="solid">
        <fgColor rgb="FFD9D9D9"/>
      </patternFill>
    </fill>
    <fill>
      <patternFill patternType="solid">
        <fgColor rgb="FFDDEBF7"/>
      </patternFill>
    </fill>
    <fill>
      <patternFill patternType="solid">
        <fgColor rgb="FFEDEDED"/>
      </patternFill>
    </fill>
    <fill>
      <patternFill patternType="solid">
        <fgColor rgb="FFFFF2CC"/>
      </patternFill>
    </fill>
    <fill>
      <patternFill patternType="solid">
        <fgColor rgb="FFE2F0D9"/>
      </patternFill>
    </fill>
    <fill>
      <patternFill patternType="solid">
        <fgColor rgb="FFDAEEF3"/>
      </patternFill>
    </fill>
    <fill>
      <patternFill patternType="solid">
        <fgColor rgb="FFFFFF00"/>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6" tint="0.79998168889431442"/>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42" fontId="8" fillId="0" borderId="0" applyFont="0" applyFill="0" applyBorder="0" applyAlignment="0" applyProtection="0"/>
    <xf numFmtId="9" fontId="8" fillId="0" borderId="0" applyFont="0" applyFill="0" applyBorder="0" applyAlignment="0" applyProtection="0"/>
    <xf numFmtId="0" fontId="1" fillId="0" borderId="0">
      <alignment vertical="center"/>
    </xf>
  </cellStyleXfs>
  <cellXfs count="127">
    <xf numFmtId="0" fontId="0" fillId="0" borderId="0" xfId="0"/>
    <xf numFmtId="0" fontId="2" fillId="2" borderId="1" xfId="0" applyFont="1" applyFill="1" applyBorder="1" applyAlignment="1">
      <alignment horizontal="center" vertical="center"/>
    </xf>
    <xf numFmtId="14" fontId="3" fillId="0" borderId="1" xfId="0" applyNumberFormat="1" applyFont="1" applyBorder="1" applyAlignment="1">
      <alignment horizontal="center" vertical="center"/>
    </xf>
    <xf numFmtId="165" fontId="3" fillId="0" borderId="1" xfId="0" applyNumberFormat="1" applyFont="1" applyBorder="1" applyAlignment="1">
      <alignment horizontal="center" vertical="center"/>
    </xf>
    <xf numFmtId="166" fontId="3" fillId="0" borderId="1" xfId="0" applyNumberFormat="1" applyFont="1" applyBorder="1" applyAlignment="1">
      <alignment horizontal="center" vertical="center"/>
    </xf>
    <xf numFmtId="167" fontId="3" fillId="0" borderId="1" xfId="0" applyNumberFormat="1" applyFont="1" applyBorder="1" applyAlignment="1">
      <alignment horizontal="center" vertical="center"/>
    </xf>
    <xf numFmtId="0" fontId="2" fillId="3" borderId="1" xfId="0" applyFont="1" applyFill="1" applyBorder="1" applyAlignment="1">
      <alignment horizontal="left" vertical="center" wrapText="1"/>
    </xf>
    <xf numFmtId="0" fontId="2" fillId="0" borderId="1" xfId="0" applyFont="1" applyBorder="1" applyAlignment="1">
      <alignment horizontal="left" vertical="center" wrapText="1"/>
    </xf>
    <xf numFmtId="0" fontId="5" fillId="0" borderId="1" xfId="0" applyFont="1" applyBorder="1" applyAlignment="1">
      <alignment horizontal="center" vertical="center"/>
    </xf>
    <xf numFmtId="0" fontId="0" fillId="0" borderId="1" xfId="0" applyBorder="1"/>
    <xf numFmtId="165" fontId="3" fillId="5" borderId="1" xfId="0" applyNumberFormat="1" applyFont="1" applyFill="1" applyBorder="1" applyAlignment="1">
      <alignment horizontal="center" vertical="center"/>
    </xf>
    <xf numFmtId="166" fontId="3" fillId="5" borderId="1" xfId="0" applyNumberFormat="1" applyFont="1" applyFill="1" applyBorder="1" applyAlignment="1">
      <alignment horizontal="center" vertical="center"/>
    </xf>
    <xf numFmtId="167" fontId="3" fillId="5" borderId="1" xfId="0" applyNumberFormat="1" applyFont="1" applyFill="1" applyBorder="1" applyAlignment="1">
      <alignment horizontal="center" vertical="center"/>
    </xf>
    <xf numFmtId="164" fontId="2" fillId="3" borderId="1" xfId="0" applyNumberFormat="1" applyFont="1" applyFill="1" applyBorder="1" applyAlignment="1">
      <alignment horizontal="center" vertical="center"/>
    </xf>
    <xf numFmtId="0" fontId="2" fillId="5" borderId="1" xfId="0" applyFont="1" applyFill="1" applyBorder="1" applyAlignment="1">
      <alignment horizontal="center" vertical="center"/>
    </xf>
    <xf numFmtId="0" fontId="2" fillId="3" borderId="1" xfId="0" applyFont="1" applyFill="1" applyBorder="1" applyAlignment="1">
      <alignment horizontal="center" vertical="center" wrapText="1"/>
    </xf>
    <xf numFmtId="165" fontId="5" fillId="0" borderId="1" xfId="0" applyNumberFormat="1" applyFont="1" applyBorder="1" applyAlignment="1">
      <alignment horizontal="center" vertical="center"/>
    </xf>
    <xf numFmtId="164" fontId="3" fillId="4" borderId="1" xfId="0" applyNumberFormat="1" applyFont="1" applyFill="1" applyBorder="1" applyAlignment="1">
      <alignment horizontal="center" vertical="center"/>
    </xf>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0" fillId="7" borderId="1" xfId="0" applyFill="1" applyBorder="1"/>
    <xf numFmtId="0" fontId="2" fillId="7" borderId="1" xfId="0" applyFont="1" applyFill="1" applyBorder="1" applyAlignment="1">
      <alignment horizontal="left" vertical="center" wrapText="1"/>
    </xf>
    <xf numFmtId="165" fontId="3" fillId="7" borderId="1" xfId="0" applyNumberFormat="1" applyFont="1" applyFill="1" applyBorder="1" applyAlignment="1">
      <alignment horizontal="center" vertical="center"/>
    </xf>
    <xf numFmtId="165" fontId="5" fillId="7" borderId="1" xfId="0" applyNumberFormat="1" applyFont="1" applyFill="1" applyBorder="1" applyAlignment="1">
      <alignment horizontal="center" vertical="center"/>
    </xf>
    <xf numFmtId="165" fontId="4" fillId="7" borderId="1" xfId="0" applyNumberFormat="1" applyFont="1" applyFill="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166"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0" fontId="4" fillId="0" borderId="1" xfId="0" applyFont="1" applyBorder="1" applyAlignment="1">
      <alignment horizontal="left" vertical="center" wrapText="1"/>
    </xf>
    <xf numFmtId="167" fontId="4" fillId="0" borderId="1" xfId="0" applyNumberFormat="1" applyFont="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165" fontId="3" fillId="6" borderId="1" xfId="0" applyNumberFormat="1" applyFont="1" applyFill="1" applyBorder="1" applyAlignment="1">
      <alignment horizontal="center" vertical="center"/>
    </xf>
    <xf numFmtId="166" fontId="3" fillId="6" borderId="1" xfId="0" applyNumberFormat="1" applyFont="1" applyFill="1" applyBorder="1" applyAlignment="1">
      <alignment horizontal="center" vertical="center"/>
    </xf>
    <xf numFmtId="166" fontId="4" fillId="6" borderId="1" xfId="0" applyNumberFormat="1" applyFont="1" applyFill="1" applyBorder="1" applyAlignment="1">
      <alignment horizontal="center" vertical="center"/>
    </xf>
    <xf numFmtId="0" fontId="0" fillId="6" borderId="1" xfId="0" applyFill="1" applyBorder="1"/>
    <xf numFmtId="165" fontId="4" fillId="6" borderId="1" xfId="0" applyNumberFormat="1" applyFont="1" applyFill="1" applyBorder="1" applyAlignment="1">
      <alignment horizontal="center" vertical="center"/>
    </xf>
    <xf numFmtId="165" fontId="5" fillId="6" borderId="1" xfId="0" applyNumberFormat="1" applyFont="1" applyFill="1" applyBorder="1" applyAlignment="1">
      <alignment horizontal="center" vertical="center"/>
    </xf>
    <xf numFmtId="0" fontId="4" fillId="6" borderId="1" xfId="0" applyFont="1" applyFill="1" applyBorder="1" applyAlignment="1">
      <alignment horizontal="left" vertical="center" wrapText="1"/>
    </xf>
    <xf numFmtId="167" fontId="4" fillId="6"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165" fontId="3" fillId="3" borderId="1" xfId="0" applyNumberFormat="1" applyFont="1" applyFill="1" applyBorder="1" applyAlignment="1">
      <alignment horizontal="center" vertical="center"/>
    </xf>
    <xf numFmtId="164" fontId="2" fillId="4" borderId="1" xfId="0" applyNumberFormat="1" applyFont="1" applyFill="1" applyBorder="1" applyAlignment="1">
      <alignment horizontal="center" vertical="center"/>
    </xf>
    <xf numFmtId="166" fontId="5" fillId="0" borderId="1" xfId="0" applyNumberFormat="1" applyFont="1" applyBorder="1" applyAlignment="1">
      <alignment horizontal="center" vertical="center"/>
    </xf>
    <xf numFmtId="166" fontId="5" fillId="6" borderId="1" xfId="0" applyNumberFormat="1" applyFont="1" applyFill="1" applyBorder="1" applyAlignment="1">
      <alignment horizontal="center" vertical="center"/>
    </xf>
    <xf numFmtId="167" fontId="3" fillId="6" borderId="1" xfId="0" applyNumberFormat="1" applyFont="1" applyFill="1" applyBorder="1" applyAlignment="1">
      <alignment horizontal="center" vertical="center"/>
    </xf>
    <xf numFmtId="167" fontId="3" fillId="3" borderId="1" xfId="0" applyNumberFormat="1" applyFont="1" applyFill="1" applyBorder="1" applyAlignment="1">
      <alignment horizontal="center" vertical="center"/>
    </xf>
    <xf numFmtId="16" fontId="0" fillId="0" borderId="0" xfId="0" applyNumberFormat="1"/>
    <xf numFmtId="16" fontId="0" fillId="8" borderId="0" xfId="0" applyNumberFormat="1" applyFill="1"/>
    <xf numFmtId="166" fontId="0" fillId="0" borderId="0" xfId="2" applyNumberFormat="1" applyFont="1"/>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3" fontId="0" fillId="0" borderId="0" xfId="0" applyNumberFormat="1"/>
    <xf numFmtId="0" fontId="9" fillId="0" borderId="5" xfId="3" applyFont="1" applyBorder="1" applyAlignment="1">
      <alignment horizontal="center" vertical="center"/>
    </xf>
    <xf numFmtId="0" fontId="10" fillId="0" borderId="5" xfId="3" applyFont="1" applyBorder="1" applyAlignment="1">
      <alignment horizontal="center" vertical="center"/>
    </xf>
    <xf numFmtId="0" fontId="9" fillId="0" borderId="5" xfId="3" applyFont="1" applyBorder="1" applyAlignment="1">
      <alignment horizontal="center" vertical="center" wrapText="1"/>
    </xf>
    <xf numFmtId="0" fontId="1" fillId="0" borderId="0" xfId="3">
      <alignment vertical="center"/>
    </xf>
    <xf numFmtId="14" fontId="9" fillId="9" borderId="5" xfId="3" applyNumberFormat="1" applyFont="1" applyFill="1" applyBorder="1" applyAlignment="1">
      <alignment horizontal="center" vertical="center"/>
    </xf>
    <xf numFmtId="0" fontId="9" fillId="0" borderId="5" xfId="3" applyFont="1" applyBorder="1">
      <alignment vertical="center"/>
    </xf>
    <xf numFmtId="0" fontId="9" fillId="10" borderId="5" xfId="3" applyFont="1" applyFill="1" applyBorder="1">
      <alignment vertical="center"/>
    </xf>
    <xf numFmtId="14" fontId="9" fillId="10" borderId="5" xfId="3" applyNumberFormat="1" applyFont="1" applyFill="1" applyBorder="1" applyAlignment="1">
      <alignment horizontal="center" vertical="center"/>
    </xf>
    <xf numFmtId="14" fontId="9" fillId="11" borderId="5" xfId="3" applyNumberFormat="1" applyFont="1" applyFill="1" applyBorder="1" applyAlignment="1">
      <alignment horizontal="center" vertical="center"/>
    </xf>
    <xf numFmtId="14" fontId="9" fillId="12" borderId="5" xfId="3" applyNumberFormat="1" applyFont="1" applyFill="1" applyBorder="1" applyAlignment="1">
      <alignment horizontal="center" vertical="center"/>
    </xf>
    <xf numFmtId="0" fontId="9" fillId="9" borderId="5" xfId="3" applyFont="1" applyFill="1" applyBorder="1">
      <alignment vertical="center"/>
    </xf>
    <xf numFmtId="0" fontId="11" fillId="0" borderId="5" xfId="3" applyFont="1" applyBorder="1" applyAlignment="1">
      <alignment horizontal="center" vertical="center"/>
    </xf>
    <xf numFmtId="14" fontId="9" fillId="0" borderId="5" xfId="3" applyNumberFormat="1" applyFont="1" applyBorder="1" applyAlignment="1">
      <alignment horizontal="center" vertical="center"/>
    </xf>
    <xf numFmtId="0" fontId="9" fillId="12" borderId="5" xfId="3" applyFont="1" applyFill="1" applyBorder="1">
      <alignment vertical="center"/>
    </xf>
    <xf numFmtId="0" fontId="12" fillId="0" borderId="5" xfId="3" applyFont="1" applyBorder="1" applyAlignment="1">
      <alignment horizontal="center" vertical="center"/>
    </xf>
    <xf numFmtId="0" fontId="13" fillId="0" borderId="5" xfId="3" applyFont="1" applyBorder="1">
      <alignment vertical="center"/>
    </xf>
    <xf numFmtId="14" fontId="9" fillId="13" borderId="5" xfId="3" applyNumberFormat="1" applyFont="1" applyFill="1" applyBorder="1" applyAlignment="1">
      <alignment horizontal="center" vertical="center"/>
    </xf>
    <xf numFmtId="0" fontId="13" fillId="0" borderId="5" xfId="3" applyFont="1" applyBorder="1" applyAlignment="1">
      <alignment horizontal="center" vertical="center"/>
    </xf>
    <xf numFmtId="14" fontId="9" fillId="14" borderId="5" xfId="3" applyNumberFormat="1" applyFont="1" applyFill="1" applyBorder="1" applyAlignment="1">
      <alignment horizontal="center" vertical="center"/>
    </xf>
    <xf numFmtId="0" fontId="14" fillId="13" borderId="5" xfId="3" applyFont="1" applyFill="1" applyBorder="1" applyAlignment="1">
      <alignment horizontal="left" vertical="center"/>
    </xf>
    <xf numFmtId="0" fontId="15" fillId="0" borderId="5" xfId="3" applyFont="1" applyBorder="1" applyAlignment="1">
      <alignment horizontal="center" vertical="center"/>
    </xf>
    <xf numFmtId="0" fontId="16" fillId="0" borderId="5" xfId="3" applyFont="1" applyBorder="1" applyAlignment="1">
      <alignment horizontal="center" vertical="center"/>
    </xf>
    <xf numFmtId="0" fontId="9" fillId="15" borderId="5" xfId="3" applyFont="1" applyFill="1" applyBorder="1">
      <alignment vertical="center"/>
    </xf>
    <xf numFmtId="14" fontId="9" fillId="16" borderId="5" xfId="3" applyNumberFormat="1" applyFont="1" applyFill="1" applyBorder="1" applyAlignment="1">
      <alignment horizontal="center" vertical="center"/>
    </xf>
    <xf numFmtId="0" fontId="9" fillId="11" borderId="5" xfId="3" applyFont="1" applyFill="1" applyBorder="1">
      <alignment vertical="center"/>
    </xf>
    <xf numFmtId="0" fontId="17" fillId="0" borderId="5" xfId="3" applyFont="1" applyBorder="1" applyAlignment="1">
      <alignment horizontal="center" vertical="center"/>
    </xf>
    <xf numFmtId="0" fontId="9" fillId="16" borderId="5" xfId="3" applyFont="1" applyFill="1" applyBorder="1">
      <alignment vertical="center"/>
    </xf>
    <xf numFmtId="0" fontId="18" fillId="0" borderId="5" xfId="3" applyFont="1" applyBorder="1" applyAlignment="1">
      <alignment horizontal="center" vertical="center"/>
    </xf>
    <xf numFmtId="14" fontId="9" fillId="17" borderId="5" xfId="3" applyNumberFormat="1" applyFont="1" applyFill="1" applyBorder="1" applyAlignment="1">
      <alignment horizontal="center" vertical="center"/>
    </xf>
    <xf numFmtId="0" fontId="9" fillId="14" borderId="5" xfId="3" applyFont="1" applyFill="1" applyBorder="1">
      <alignment vertical="center"/>
    </xf>
    <xf numFmtId="0" fontId="19" fillId="0" borderId="5" xfId="3" applyFont="1" applyBorder="1" applyAlignment="1">
      <alignment horizontal="center" vertical="center"/>
    </xf>
    <xf numFmtId="0" fontId="9" fillId="8" borderId="5" xfId="3" applyFont="1" applyFill="1" applyBorder="1">
      <alignment vertical="center"/>
    </xf>
    <xf numFmtId="0" fontId="20" fillId="12" borderId="1" xfId="0" applyFont="1" applyFill="1" applyBorder="1" applyAlignment="1">
      <alignment horizontal="center" vertical="center"/>
    </xf>
    <xf numFmtId="0" fontId="3" fillId="12" borderId="1" xfId="0" applyFont="1" applyFill="1" applyBorder="1" applyAlignment="1">
      <alignment horizontal="center" vertical="center"/>
    </xf>
    <xf numFmtId="168" fontId="5" fillId="0" borderId="1" xfId="1" applyNumberFormat="1" applyFont="1" applyBorder="1" applyAlignment="1">
      <alignment horizontal="center" vertical="center"/>
    </xf>
    <xf numFmtId="6" fontId="0" fillId="0" borderId="0" xfId="0" applyNumberFormat="1"/>
    <xf numFmtId="165" fontId="4" fillId="18" borderId="1" xfId="0" applyNumberFormat="1" applyFont="1" applyFill="1" applyBorder="1" applyAlignment="1">
      <alignment horizontal="center" vertical="center"/>
    </xf>
    <xf numFmtId="0" fontId="21" fillId="0" borderId="1" xfId="0" applyFont="1" applyBorder="1" applyAlignment="1">
      <alignment horizontal="left" vertical="center" wrapText="1"/>
    </xf>
    <xf numFmtId="165" fontId="22" fillId="0" borderId="1" xfId="0" applyNumberFormat="1" applyFont="1" applyBorder="1"/>
    <xf numFmtId="0" fontId="22" fillId="0" borderId="1" xfId="0" applyFont="1" applyBorder="1"/>
    <xf numFmtId="166" fontId="22" fillId="0" borderId="1" xfId="2" applyNumberFormat="1" applyFont="1" applyBorder="1"/>
    <xf numFmtId="168" fontId="22" fillId="0" borderId="1" xfId="1" applyNumberFormat="1" applyFont="1" applyBorder="1"/>
    <xf numFmtId="167" fontId="23" fillId="0" borderId="1" xfId="0" applyNumberFormat="1" applyFont="1" applyBorder="1" applyAlignment="1">
      <alignment horizontal="center" vertical="center"/>
    </xf>
    <xf numFmtId="0" fontId="3" fillId="0" borderId="1" xfId="0" applyFont="1" applyBorder="1" applyAlignment="1">
      <alignment horizontal="center" vertical="center"/>
    </xf>
    <xf numFmtId="0" fontId="0" fillId="0" borderId="2" xfId="0" applyBorder="1"/>
    <xf numFmtId="0" fontId="0" fillId="0" borderId="3" xfId="0" applyBorder="1"/>
    <xf numFmtId="0" fontId="3" fillId="6"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165" fontId="3" fillId="6" borderId="1" xfId="0" applyNumberFormat="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166" fontId="4" fillId="6" borderId="1" xfId="0" applyNumberFormat="1" applyFont="1" applyFill="1" applyBorder="1" applyAlignment="1">
      <alignment horizontal="center" vertical="center"/>
    </xf>
    <xf numFmtId="0" fontId="3" fillId="6" borderId="1" xfId="0" applyFont="1" applyFill="1" applyBorder="1" applyAlignment="1">
      <alignment horizontal="center" vertical="center"/>
    </xf>
    <xf numFmtId="166" fontId="3" fillId="6" borderId="1" xfId="0" applyNumberFormat="1" applyFont="1" applyFill="1" applyBorder="1" applyAlignment="1">
      <alignment horizontal="center" vertical="center"/>
    </xf>
    <xf numFmtId="166" fontId="4" fillId="0" borderId="1" xfId="0" applyNumberFormat="1" applyFont="1" applyBorder="1" applyAlignment="1">
      <alignment horizontal="center" vertical="center"/>
    </xf>
    <xf numFmtId="165" fontId="3" fillId="0" borderId="1" xfId="0" applyNumberFormat="1" applyFont="1" applyBorder="1" applyAlignment="1">
      <alignment horizontal="center" vertical="center"/>
    </xf>
    <xf numFmtId="0" fontId="3" fillId="0" borderId="1" xfId="0" applyFont="1" applyBorder="1" applyAlignment="1">
      <alignment horizontal="center" vertical="center" wrapText="1"/>
    </xf>
    <xf numFmtId="166" fontId="3" fillId="0" borderId="1" xfId="0" applyNumberFormat="1" applyFont="1" applyBorder="1" applyAlignment="1">
      <alignment horizontal="center" vertical="center"/>
    </xf>
    <xf numFmtId="0" fontId="2" fillId="6"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wrapText="1"/>
    </xf>
    <xf numFmtId="0" fontId="2" fillId="7" borderId="1" xfId="0" applyFont="1" applyFill="1" applyBorder="1" applyAlignment="1">
      <alignment horizontal="center" vertical="center" wrapText="1"/>
    </xf>
    <xf numFmtId="0" fontId="0" fillId="7" borderId="1" xfId="0" applyFill="1" applyBorder="1"/>
    <xf numFmtId="0" fontId="0" fillId="0" borderId="1" xfId="0" applyBorder="1"/>
    <xf numFmtId="0" fontId="6" fillId="3" borderId="1" xfId="0" applyFont="1" applyFill="1" applyBorder="1" applyAlignment="1">
      <alignment horizontal="left" vertical="center"/>
    </xf>
    <xf numFmtId="0" fontId="0" fillId="0" borderId="0" xfId="0"/>
    <xf numFmtId="167" fontId="0" fillId="0" borderId="0" xfId="0" applyNumberFormat="1"/>
    <xf numFmtId="165" fontId="0" fillId="0" borderId="0" xfId="0" applyNumberFormat="1"/>
  </cellXfs>
  <cellStyles count="4">
    <cellStyle name="パーセント" xfId="2" builtinId="5"/>
    <cellStyle name="通貨" xfId="1" builtinId="7"/>
    <cellStyle name="標準" xfId="0" builtinId="0"/>
    <cellStyle name="標準 2" xfId="3" xr:uid="{BAB365D4-0F79-489D-98E5-306677E2DF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41738-61ED-46D4-BBA2-D32F5C0544E9}">
  <dimension ref="A1:Q206"/>
  <sheetViews>
    <sheetView showGridLines="0" topLeftCell="A21" zoomScale="85" zoomScaleNormal="85" workbookViewId="0">
      <selection activeCell="J46" sqref="J46"/>
    </sheetView>
  </sheetViews>
  <sheetFormatPr defaultRowHeight="14.5"/>
  <cols>
    <col min="1" max="1" width="14" customWidth="1"/>
    <col min="2" max="3" width="12" customWidth="1"/>
    <col min="4" max="4" width="6" customWidth="1"/>
    <col min="5" max="5" width="12" customWidth="1"/>
    <col min="6" max="6" width="6" customWidth="1"/>
    <col min="7" max="7" width="12" customWidth="1"/>
    <col min="8" max="8" width="16.81640625" customWidth="1"/>
    <col min="9" max="9" width="12" customWidth="1"/>
    <col min="10" max="10" width="10.7265625" bestFit="1" customWidth="1"/>
    <col min="16" max="16" width="11.1796875" bestFit="1" customWidth="1"/>
  </cols>
  <sheetData>
    <row r="1" spans="1:17" ht="28" customHeight="1">
      <c r="B1" s="123" t="s">
        <v>218</v>
      </c>
      <c r="C1" s="124"/>
      <c r="D1" s="124"/>
      <c r="E1" s="124"/>
      <c r="F1" s="124"/>
      <c r="G1" s="124"/>
      <c r="H1" s="124"/>
      <c r="I1" s="124"/>
    </row>
    <row r="2" spans="1:17" ht="22" customHeight="1">
      <c r="B2" s="1" t="s">
        <v>0</v>
      </c>
      <c r="C2" s="1" t="s">
        <v>1</v>
      </c>
      <c r="D2" s="1"/>
      <c r="E2" s="1" t="s">
        <v>2</v>
      </c>
      <c r="F2" s="1"/>
      <c r="G2" s="1" t="s">
        <v>3</v>
      </c>
      <c r="H2" s="1" t="s">
        <v>4</v>
      </c>
      <c r="I2" s="1" t="s">
        <v>5</v>
      </c>
    </row>
    <row r="3" spans="1:17" ht="22" customHeight="1">
      <c r="A3" s="2">
        <v>46283</v>
      </c>
      <c r="B3" s="3">
        <v>409</v>
      </c>
      <c r="C3" s="3">
        <v>409</v>
      </c>
      <c r="D3" s="3"/>
      <c r="E3" s="3">
        <v>142</v>
      </c>
      <c r="F3" s="3"/>
      <c r="G3" s="4">
        <v>0.3471882640586797</v>
      </c>
      <c r="H3" s="5">
        <v>1582053</v>
      </c>
      <c r="I3" s="5">
        <v>11141.218309859154</v>
      </c>
      <c r="J3" s="56"/>
      <c r="K3" s="56"/>
      <c r="L3" s="56"/>
      <c r="M3" s="56"/>
      <c r="N3" s="56"/>
      <c r="O3" s="56"/>
      <c r="P3" s="56"/>
      <c r="Q3" s="56"/>
    </row>
    <row r="4" spans="1:17" ht="22" customHeight="1">
      <c r="A4" s="2">
        <v>46284</v>
      </c>
      <c r="B4" s="3">
        <v>477</v>
      </c>
      <c r="C4" s="3">
        <v>477</v>
      </c>
      <c r="D4" s="3"/>
      <c r="E4" s="3">
        <v>165</v>
      </c>
      <c r="F4" s="3"/>
      <c r="G4" s="4">
        <v>0.34591194968553457</v>
      </c>
      <c r="H4" s="5">
        <v>1805283</v>
      </c>
      <c r="I4" s="5">
        <v>10941.109090909091</v>
      </c>
      <c r="J4" s="56"/>
      <c r="K4" s="56"/>
      <c r="L4" s="56"/>
      <c r="M4" s="56"/>
      <c r="N4" s="56"/>
      <c r="O4" s="56"/>
      <c r="P4" s="56"/>
      <c r="Q4" s="56"/>
    </row>
    <row r="5" spans="1:17" ht="22" customHeight="1">
      <c r="A5" s="2">
        <v>46285</v>
      </c>
      <c r="B5" s="3">
        <v>505</v>
      </c>
      <c r="C5" s="3">
        <v>505</v>
      </c>
      <c r="D5" s="3"/>
      <c r="E5" s="3">
        <v>180</v>
      </c>
      <c r="F5" s="3"/>
      <c r="G5" s="4">
        <v>0.35643564356435642</v>
      </c>
      <c r="H5" s="5">
        <v>2044410</v>
      </c>
      <c r="I5" s="5">
        <v>11357.833333333334</v>
      </c>
      <c r="J5" s="56"/>
      <c r="K5" s="56"/>
      <c r="L5" s="56"/>
      <c r="M5" s="56"/>
      <c r="N5" s="56"/>
      <c r="O5" s="56"/>
      <c r="P5" s="56"/>
      <c r="Q5" s="56"/>
    </row>
    <row r="6" spans="1:17" ht="22" customHeight="1">
      <c r="A6" s="2">
        <v>46286</v>
      </c>
      <c r="B6" s="3">
        <v>451</v>
      </c>
      <c r="C6" s="3">
        <v>451</v>
      </c>
      <c r="D6" s="3"/>
      <c r="E6" s="3">
        <v>151</v>
      </c>
      <c r="F6" s="3"/>
      <c r="G6" s="4">
        <v>0.33481152993348118</v>
      </c>
      <c r="H6" s="5">
        <v>1729554</v>
      </c>
      <c r="I6" s="5">
        <v>11454</v>
      </c>
      <c r="J6" s="56"/>
      <c r="K6" s="56"/>
      <c r="L6" s="56"/>
      <c r="M6" s="56"/>
      <c r="N6" s="56"/>
      <c r="O6" s="56"/>
      <c r="P6" s="56"/>
      <c r="Q6" s="56"/>
    </row>
    <row r="7" spans="1:17" ht="22" customHeight="1">
      <c r="A7" s="2">
        <v>46287</v>
      </c>
      <c r="B7" s="3">
        <v>503</v>
      </c>
      <c r="C7" s="3">
        <v>503</v>
      </c>
      <c r="D7" s="3"/>
      <c r="E7" s="3">
        <v>164</v>
      </c>
      <c r="F7" s="3"/>
      <c r="G7" s="4">
        <v>0.32604373757455268</v>
      </c>
      <c r="H7" s="5">
        <v>1963399</v>
      </c>
      <c r="I7" s="5">
        <v>11971.945121951219</v>
      </c>
      <c r="J7" s="56"/>
      <c r="K7" s="56"/>
      <c r="L7" s="56"/>
      <c r="M7" s="56"/>
      <c r="N7" s="56"/>
      <c r="O7" s="56"/>
      <c r="P7" s="56"/>
      <c r="Q7" s="56"/>
    </row>
    <row r="8" spans="1:17" ht="22" customHeight="1">
      <c r="A8" s="2">
        <v>46288</v>
      </c>
      <c r="B8" s="3">
        <v>479</v>
      </c>
      <c r="C8" s="3">
        <v>479</v>
      </c>
      <c r="D8" s="3"/>
      <c r="E8" s="3">
        <v>163</v>
      </c>
      <c r="F8" s="3"/>
      <c r="G8" s="4">
        <v>0.34029227557411273</v>
      </c>
      <c r="H8" s="5">
        <v>1927075</v>
      </c>
      <c r="I8" s="5">
        <v>11822.546012269939</v>
      </c>
      <c r="J8" s="56"/>
      <c r="K8" s="56"/>
      <c r="L8" s="56"/>
      <c r="M8" s="56"/>
      <c r="N8" s="56"/>
      <c r="O8" s="56"/>
      <c r="P8" s="56"/>
      <c r="Q8" s="56"/>
    </row>
    <row r="9" spans="1:17" ht="22" customHeight="1">
      <c r="A9" s="2">
        <v>46289</v>
      </c>
      <c r="B9" s="3">
        <v>1420</v>
      </c>
      <c r="C9" s="3">
        <v>1420</v>
      </c>
      <c r="D9" s="3"/>
      <c r="E9" s="3">
        <v>777</v>
      </c>
      <c r="F9" s="3"/>
      <c r="G9" s="4">
        <v>0.54718309859154934</v>
      </c>
      <c r="H9" s="5">
        <v>12438840</v>
      </c>
      <c r="I9" s="5">
        <v>16008.803088803088</v>
      </c>
      <c r="J9" s="56"/>
      <c r="K9" s="56"/>
      <c r="L9" s="56"/>
      <c r="M9" s="56"/>
      <c r="N9" s="56"/>
      <c r="O9" s="56"/>
      <c r="P9" s="56"/>
      <c r="Q9" s="56"/>
    </row>
    <row r="10" spans="1:17" ht="22" customHeight="1">
      <c r="A10" s="2">
        <v>46290</v>
      </c>
      <c r="B10" s="3">
        <v>1274</v>
      </c>
      <c r="C10" s="3">
        <v>1274</v>
      </c>
      <c r="D10" s="3"/>
      <c r="E10" s="3">
        <v>682</v>
      </c>
      <c r="F10" s="3"/>
      <c r="G10" s="4">
        <v>0.5353218210361067</v>
      </c>
      <c r="H10" s="5">
        <v>10840194</v>
      </c>
      <c r="I10" s="5">
        <v>15894.712609970675</v>
      </c>
      <c r="J10" s="56"/>
      <c r="K10" s="56"/>
      <c r="L10" s="56"/>
      <c r="M10" s="56"/>
      <c r="N10" s="56"/>
      <c r="O10" s="56"/>
      <c r="P10" s="56"/>
      <c r="Q10" s="56"/>
    </row>
    <row r="11" spans="1:17" ht="22" customHeight="1">
      <c r="A11" s="2">
        <v>46291</v>
      </c>
      <c r="B11" s="3">
        <v>2129</v>
      </c>
      <c r="C11" s="3">
        <v>2129</v>
      </c>
      <c r="D11" s="3"/>
      <c r="E11" s="3">
        <v>1217</v>
      </c>
      <c r="F11" s="3"/>
      <c r="G11" s="4">
        <v>0.57162987317989666</v>
      </c>
      <c r="H11" s="5">
        <v>19868863</v>
      </c>
      <c r="I11" s="5">
        <v>16326.099424815118</v>
      </c>
      <c r="J11" s="56"/>
      <c r="K11" s="56"/>
      <c r="L11" s="56"/>
      <c r="M11" s="56"/>
      <c r="N11" s="56"/>
      <c r="O11" s="56"/>
      <c r="P11" s="56"/>
      <c r="Q11" s="56"/>
    </row>
    <row r="12" spans="1:17" ht="22" customHeight="1">
      <c r="A12" s="2">
        <v>46292</v>
      </c>
      <c r="B12" s="3">
        <v>2977</v>
      </c>
      <c r="C12" s="3">
        <v>2977</v>
      </c>
      <c r="D12" s="3"/>
      <c r="E12" s="3">
        <v>1763</v>
      </c>
      <c r="F12" s="3"/>
      <c r="G12" s="4">
        <v>0.59220691971783679</v>
      </c>
      <c r="H12" s="5">
        <v>29182783</v>
      </c>
      <c r="I12" s="5">
        <v>16552.911514463984</v>
      </c>
      <c r="J12" s="56"/>
      <c r="K12" s="56"/>
      <c r="L12" s="56"/>
      <c r="M12" s="56"/>
      <c r="N12" s="56"/>
      <c r="O12" s="56"/>
      <c r="P12" s="56"/>
      <c r="Q12" s="56"/>
    </row>
    <row r="13" spans="1:17" ht="22" customHeight="1">
      <c r="A13" s="2">
        <v>46293</v>
      </c>
      <c r="B13" s="3">
        <v>1301</v>
      </c>
      <c r="C13" s="3">
        <v>1301</v>
      </c>
      <c r="D13" s="3"/>
      <c r="E13" s="3">
        <v>728</v>
      </c>
      <c r="F13" s="3"/>
      <c r="G13" s="4">
        <v>0.55956956187548035</v>
      </c>
      <c r="H13" s="5">
        <v>11652341</v>
      </c>
      <c r="I13" s="5">
        <v>16005.962912087913</v>
      </c>
      <c r="J13" s="56"/>
      <c r="K13" s="56"/>
      <c r="L13" s="56"/>
      <c r="M13" s="56"/>
      <c r="N13" s="56"/>
      <c r="O13" s="56"/>
      <c r="P13" s="56"/>
      <c r="Q13" s="56"/>
    </row>
    <row r="14" spans="1:17" ht="22" customHeight="1">
      <c r="A14" s="2">
        <v>46294</v>
      </c>
      <c r="B14" s="3">
        <v>366</v>
      </c>
      <c r="C14" s="3">
        <v>366</v>
      </c>
      <c r="D14" s="3"/>
      <c r="E14" s="3">
        <v>151</v>
      </c>
      <c r="F14" s="3"/>
      <c r="G14" s="4">
        <v>0.41256830601092898</v>
      </c>
      <c r="H14" s="5">
        <v>1958345</v>
      </c>
      <c r="I14" s="5">
        <v>12969.172185430463</v>
      </c>
      <c r="J14" s="56"/>
      <c r="K14" s="56"/>
      <c r="L14" s="56"/>
      <c r="M14" s="56"/>
      <c r="N14" s="56"/>
      <c r="O14" s="56"/>
      <c r="P14" s="56"/>
      <c r="Q14" s="56"/>
    </row>
    <row r="15" spans="1:17" ht="22" customHeight="1">
      <c r="A15" s="2">
        <v>46295</v>
      </c>
      <c r="B15" s="3">
        <v>366</v>
      </c>
      <c r="C15" s="3">
        <v>366</v>
      </c>
      <c r="D15" s="3"/>
      <c r="E15" s="3">
        <v>151</v>
      </c>
      <c r="F15" s="3"/>
      <c r="G15" s="4">
        <v>0.41256830601092898</v>
      </c>
      <c r="H15" s="5">
        <v>1958345</v>
      </c>
      <c r="I15" s="5">
        <v>12969.172185430463</v>
      </c>
      <c r="J15" s="56"/>
      <c r="K15" s="56"/>
      <c r="L15" s="56"/>
      <c r="M15" s="56"/>
      <c r="N15" s="56"/>
      <c r="O15" s="56"/>
      <c r="P15" s="56"/>
      <c r="Q15" s="56"/>
    </row>
    <row r="16" spans="1:17" ht="22" customHeight="1">
      <c r="A16" s="2">
        <v>46296</v>
      </c>
      <c r="B16" s="3">
        <v>366</v>
      </c>
      <c r="C16" s="3">
        <v>366</v>
      </c>
      <c r="D16" s="3"/>
      <c r="E16" s="3">
        <v>151</v>
      </c>
      <c r="F16" s="3"/>
      <c r="G16" s="4">
        <v>0.41256830601092898</v>
      </c>
      <c r="H16" s="5">
        <v>1958345</v>
      </c>
      <c r="I16" s="5">
        <v>12969.172185430463</v>
      </c>
      <c r="J16" s="56"/>
      <c r="K16" s="56"/>
      <c r="L16" s="56"/>
      <c r="M16" s="56"/>
      <c r="N16" s="56"/>
      <c r="O16" s="56"/>
      <c r="P16" s="56"/>
      <c r="Q16" s="56"/>
    </row>
    <row r="17" spans="1:17" ht="22" customHeight="1">
      <c r="A17" s="2">
        <v>46297</v>
      </c>
      <c r="B17" s="3">
        <v>363</v>
      </c>
      <c r="C17" s="3">
        <v>363</v>
      </c>
      <c r="D17" s="3"/>
      <c r="E17" s="3">
        <v>149</v>
      </c>
      <c r="F17" s="3"/>
      <c r="G17" s="4">
        <v>0.41046831955922863</v>
      </c>
      <c r="H17" s="5">
        <v>1932044</v>
      </c>
      <c r="I17" s="5">
        <v>12966.738255033557</v>
      </c>
      <c r="J17" s="56"/>
      <c r="K17" s="56"/>
      <c r="L17" s="56"/>
      <c r="M17" s="56"/>
      <c r="N17" s="56"/>
      <c r="O17" s="56"/>
      <c r="P17" s="56"/>
      <c r="Q17" s="56"/>
    </row>
    <row r="18" spans="1:17" ht="22" customHeight="1">
      <c r="A18" s="2">
        <v>46298</v>
      </c>
      <c r="B18" s="3">
        <v>451</v>
      </c>
      <c r="C18" s="3">
        <v>451</v>
      </c>
      <c r="D18" s="3"/>
      <c r="E18" s="3">
        <v>198</v>
      </c>
      <c r="F18" s="3"/>
      <c r="G18" s="4">
        <v>0.43902439024390244</v>
      </c>
      <c r="H18" s="5">
        <v>2577005</v>
      </c>
      <c r="I18" s="5">
        <v>13015.176767676769</v>
      </c>
      <c r="J18" s="56"/>
      <c r="K18" s="56"/>
      <c r="L18" s="56"/>
      <c r="M18" s="56"/>
      <c r="N18" s="56"/>
      <c r="O18" s="56"/>
      <c r="P18" s="56"/>
      <c r="Q18" s="56"/>
    </row>
    <row r="19" spans="1:17" ht="22" customHeight="1">
      <c r="A19" s="2">
        <v>46299</v>
      </c>
      <c r="B19" s="3">
        <v>524</v>
      </c>
      <c r="C19" s="3">
        <v>524</v>
      </c>
      <c r="D19" s="3"/>
      <c r="E19" s="3">
        <v>241</v>
      </c>
      <c r="F19" s="3"/>
      <c r="G19" s="4">
        <v>0.45992366412213742</v>
      </c>
      <c r="H19" s="5">
        <v>3183683</v>
      </c>
      <c r="I19" s="5">
        <v>13210.302904564316</v>
      </c>
      <c r="J19" s="56"/>
      <c r="K19" s="56"/>
      <c r="L19" s="56"/>
      <c r="M19" s="56"/>
      <c r="N19" s="56"/>
      <c r="O19" s="56"/>
      <c r="P19" s="56"/>
      <c r="Q19" s="56"/>
    </row>
    <row r="20" spans="1:17" ht="22" customHeight="1">
      <c r="A20" s="2">
        <v>46300</v>
      </c>
      <c r="B20" s="3">
        <v>373</v>
      </c>
      <c r="C20" s="3">
        <v>373</v>
      </c>
      <c r="D20" s="3"/>
      <c r="E20" s="3">
        <v>156</v>
      </c>
      <c r="F20" s="3"/>
      <c r="G20" s="4">
        <v>0.41823056300268097</v>
      </c>
      <c r="H20" s="5">
        <v>2031319</v>
      </c>
      <c r="I20" s="5">
        <v>13021.275641025641</v>
      </c>
      <c r="J20" s="56"/>
      <c r="K20" s="56"/>
      <c r="L20" s="56"/>
      <c r="M20" s="56"/>
      <c r="N20" s="56"/>
      <c r="O20" s="56"/>
      <c r="P20" s="56"/>
      <c r="Q20" s="56"/>
    </row>
    <row r="21" spans="1:17" ht="22" customHeight="1">
      <c r="A21" s="2">
        <v>46301</v>
      </c>
      <c r="B21" s="3">
        <v>380</v>
      </c>
      <c r="C21" s="3">
        <v>380</v>
      </c>
      <c r="D21" s="3"/>
      <c r="E21" s="3">
        <v>159</v>
      </c>
      <c r="F21" s="3"/>
      <c r="G21" s="4">
        <v>0.41842105263157897</v>
      </c>
      <c r="H21" s="5">
        <v>2061342</v>
      </c>
      <c r="I21" s="5">
        <v>12964.415094339623</v>
      </c>
      <c r="J21" s="56"/>
      <c r="K21" s="56"/>
      <c r="L21" s="56"/>
      <c r="M21" s="56"/>
      <c r="N21" s="56"/>
      <c r="O21" s="56"/>
      <c r="P21" s="56"/>
      <c r="Q21" s="56"/>
    </row>
    <row r="22" spans="1:17" ht="22" customHeight="1">
      <c r="A22" s="2">
        <v>46302</v>
      </c>
      <c r="B22" s="3">
        <v>376</v>
      </c>
      <c r="C22" s="3">
        <v>376</v>
      </c>
      <c r="D22" s="3"/>
      <c r="E22" s="3">
        <v>158</v>
      </c>
      <c r="F22" s="3"/>
      <c r="G22" s="4">
        <v>0.42021276595744683</v>
      </c>
      <c r="H22" s="5">
        <v>2051380</v>
      </c>
      <c r="I22" s="5">
        <v>12983.417721518987</v>
      </c>
      <c r="J22" s="56"/>
      <c r="K22" s="56"/>
      <c r="L22" s="56"/>
      <c r="M22" s="56"/>
      <c r="N22" s="56"/>
      <c r="O22" s="56"/>
      <c r="P22" s="56"/>
      <c r="Q22" s="56"/>
    </row>
    <row r="23" spans="1:17" ht="22" customHeight="1">
      <c r="A23" s="2">
        <v>46303</v>
      </c>
      <c r="B23" s="3">
        <v>373</v>
      </c>
      <c r="C23" s="3">
        <v>373</v>
      </c>
      <c r="D23" s="3"/>
      <c r="E23" s="3">
        <v>157</v>
      </c>
      <c r="F23" s="3"/>
      <c r="G23" s="4">
        <v>0.42091152815013405</v>
      </c>
      <c r="H23" s="5">
        <v>2044946</v>
      </c>
      <c r="I23" s="5">
        <v>13025.133757961783</v>
      </c>
      <c r="J23" s="56"/>
      <c r="K23" s="56"/>
      <c r="L23" s="56"/>
      <c r="M23" s="56"/>
      <c r="N23" s="56"/>
      <c r="O23" s="56"/>
      <c r="P23" s="56"/>
      <c r="Q23" s="56"/>
    </row>
    <row r="24" spans="1:17" ht="22" customHeight="1">
      <c r="A24" s="2">
        <v>46304</v>
      </c>
      <c r="B24" s="3">
        <v>367</v>
      </c>
      <c r="C24" s="3">
        <v>367</v>
      </c>
      <c r="D24" s="3"/>
      <c r="E24" s="3">
        <v>155</v>
      </c>
      <c r="F24" s="3"/>
      <c r="G24" s="4">
        <v>0.42234332425068122</v>
      </c>
      <c r="H24" s="5">
        <v>2011146</v>
      </c>
      <c r="I24" s="5">
        <v>12975.135483870969</v>
      </c>
      <c r="J24" s="56"/>
      <c r="K24" s="56"/>
      <c r="L24" s="56"/>
      <c r="M24" s="56"/>
      <c r="N24" s="56"/>
      <c r="O24" s="56"/>
      <c r="P24" s="56"/>
      <c r="Q24" s="56"/>
    </row>
    <row r="25" spans="1:17" ht="22" customHeight="1">
      <c r="A25" s="2">
        <v>46305</v>
      </c>
      <c r="B25" s="3">
        <v>444</v>
      </c>
      <c r="C25" s="3">
        <v>444</v>
      </c>
      <c r="D25" s="3"/>
      <c r="E25" s="3">
        <v>198</v>
      </c>
      <c r="F25" s="3"/>
      <c r="G25" s="4">
        <v>0.44594594594594594</v>
      </c>
      <c r="H25" s="5">
        <v>2584111</v>
      </c>
      <c r="I25" s="5">
        <v>13051.065656565657</v>
      </c>
      <c r="J25" s="56"/>
      <c r="K25" s="56"/>
      <c r="L25" s="56"/>
      <c r="M25" s="56"/>
      <c r="N25" s="56"/>
      <c r="O25" s="56"/>
      <c r="P25" s="56"/>
      <c r="Q25" s="56"/>
    </row>
    <row r="26" spans="1:17" ht="22" customHeight="1">
      <c r="A26" s="2">
        <v>46306</v>
      </c>
      <c r="B26" s="3">
        <v>472</v>
      </c>
      <c r="C26" s="3">
        <v>472</v>
      </c>
      <c r="D26" s="3"/>
      <c r="E26" s="3">
        <v>212</v>
      </c>
      <c r="F26" s="3"/>
      <c r="G26" s="4">
        <v>0.44915254237288138</v>
      </c>
      <c r="H26" s="5">
        <v>2795912</v>
      </c>
      <c r="I26" s="5">
        <v>13188.264150943396</v>
      </c>
      <c r="J26" s="56"/>
      <c r="K26" s="56"/>
      <c r="L26" s="56"/>
      <c r="M26" s="56"/>
      <c r="N26" s="56"/>
      <c r="O26" s="56"/>
      <c r="P26" s="56"/>
      <c r="Q26" s="56"/>
    </row>
    <row r="27" spans="1:17" ht="22" customHeight="1">
      <c r="A27" s="2">
        <v>46307</v>
      </c>
      <c r="B27" s="3">
        <v>481</v>
      </c>
      <c r="C27" s="3">
        <v>481</v>
      </c>
      <c r="D27" s="3"/>
      <c r="E27" s="3">
        <v>224</v>
      </c>
      <c r="F27" s="3"/>
      <c r="G27" s="4">
        <v>0.46569646569646572</v>
      </c>
      <c r="H27" s="5">
        <v>2961904</v>
      </c>
      <c r="I27" s="5">
        <v>13222.785714285714</v>
      </c>
      <c r="J27" s="56"/>
      <c r="K27" s="56"/>
      <c r="L27" s="56"/>
      <c r="M27" s="56"/>
      <c r="N27" s="56"/>
      <c r="O27" s="56"/>
      <c r="P27" s="56"/>
      <c r="Q27" s="56"/>
    </row>
    <row r="28" spans="1:17" ht="22" customHeight="1">
      <c r="A28" s="2">
        <v>46308</v>
      </c>
      <c r="B28" s="3">
        <v>372</v>
      </c>
      <c r="C28" s="3">
        <v>372</v>
      </c>
      <c r="D28" s="3"/>
      <c r="E28" s="3">
        <v>158</v>
      </c>
      <c r="F28" s="3"/>
      <c r="G28" s="4">
        <v>0.42473118279569894</v>
      </c>
      <c r="H28" s="5">
        <v>2026665</v>
      </c>
      <c r="I28" s="5">
        <v>12826.993670886075</v>
      </c>
      <c r="J28" s="56"/>
      <c r="K28" s="56"/>
      <c r="L28" s="56"/>
      <c r="M28" s="56"/>
      <c r="N28" s="56"/>
      <c r="O28" s="56"/>
      <c r="P28" s="56"/>
      <c r="Q28" s="56"/>
    </row>
    <row r="29" spans="1:17" ht="22" customHeight="1">
      <c r="A29" s="2">
        <v>46309</v>
      </c>
      <c r="B29" s="3">
        <v>369</v>
      </c>
      <c r="C29" s="3">
        <v>369</v>
      </c>
      <c r="D29" s="3"/>
      <c r="E29" s="3">
        <v>157</v>
      </c>
      <c r="F29" s="3"/>
      <c r="G29" s="4">
        <v>0.42547425474254741</v>
      </c>
      <c r="H29" s="5">
        <v>2015929</v>
      </c>
      <c r="I29" s="5">
        <v>12840.312101910828</v>
      </c>
      <c r="J29" s="56"/>
      <c r="K29" s="56"/>
      <c r="L29" s="56"/>
      <c r="M29" s="56"/>
      <c r="N29" s="56"/>
      <c r="O29" s="56"/>
      <c r="P29" s="56"/>
      <c r="Q29" s="56"/>
    </row>
    <row r="30" spans="1:17" ht="22" customHeight="1">
      <c r="A30" s="2">
        <v>46310</v>
      </c>
      <c r="B30" s="3">
        <v>368</v>
      </c>
      <c r="C30" s="3">
        <v>368</v>
      </c>
      <c r="D30" s="3"/>
      <c r="E30" s="3">
        <v>157</v>
      </c>
      <c r="F30" s="3"/>
      <c r="G30" s="4">
        <v>0.4266304347826087</v>
      </c>
      <c r="H30" s="5">
        <v>2010529</v>
      </c>
      <c r="I30" s="5">
        <v>12805.917197452229</v>
      </c>
      <c r="J30" s="56"/>
      <c r="K30" s="56"/>
      <c r="L30" s="56"/>
      <c r="M30" s="56"/>
      <c r="N30" s="56"/>
      <c r="O30" s="56"/>
      <c r="P30" s="56"/>
      <c r="Q30" s="56"/>
    </row>
    <row r="31" spans="1:17" ht="22" customHeight="1">
      <c r="A31" s="2">
        <v>46311</v>
      </c>
      <c r="B31" s="3">
        <v>364</v>
      </c>
      <c r="C31" s="3">
        <v>364</v>
      </c>
      <c r="D31" s="3"/>
      <c r="E31" s="3">
        <v>154</v>
      </c>
      <c r="F31" s="3"/>
      <c r="G31" s="4">
        <v>0.42307692307692307</v>
      </c>
      <c r="H31" s="5">
        <v>1975461</v>
      </c>
      <c r="I31" s="5">
        <v>12827.66883116883</v>
      </c>
      <c r="J31" s="56"/>
      <c r="K31" s="56"/>
      <c r="L31" s="56"/>
      <c r="M31" s="56"/>
      <c r="N31" s="56"/>
      <c r="O31" s="56"/>
      <c r="P31" s="56"/>
      <c r="Q31" s="56"/>
    </row>
    <row r="32" spans="1:17" ht="22" customHeight="1">
      <c r="A32" s="2">
        <v>46312</v>
      </c>
      <c r="B32" s="3">
        <v>453</v>
      </c>
      <c r="C32" s="3">
        <v>453</v>
      </c>
      <c r="D32" s="3"/>
      <c r="E32" s="3">
        <v>202</v>
      </c>
      <c r="F32" s="3"/>
      <c r="G32" s="4">
        <v>0.44591611479028698</v>
      </c>
      <c r="H32" s="5">
        <v>2636377</v>
      </c>
      <c r="I32" s="5">
        <v>13051.371287128713</v>
      </c>
      <c r="J32" s="56"/>
      <c r="K32" s="56"/>
      <c r="L32" s="56"/>
      <c r="M32" s="56"/>
      <c r="N32" s="56"/>
      <c r="O32" s="56"/>
      <c r="P32" s="56"/>
      <c r="Q32" s="56"/>
    </row>
    <row r="33" spans="1:17" ht="22" customHeight="1">
      <c r="A33" s="2">
        <v>46313</v>
      </c>
      <c r="B33" s="3">
        <v>518</v>
      </c>
      <c r="C33" s="3">
        <v>518</v>
      </c>
      <c r="D33" s="3"/>
      <c r="E33" s="3">
        <v>237</v>
      </c>
      <c r="F33" s="3"/>
      <c r="G33" s="4">
        <v>0.4575289575289575</v>
      </c>
      <c r="H33" s="5">
        <v>3127121</v>
      </c>
      <c r="I33" s="5">
        <v>13194.603375527426</v>
      </c>
      <c r="J33" s="56"/>
      <c r="K33" s="56"/>
      <c r="L33" s="56"/>
      <c r="M33" s="56"/>
      <c r="N33" s="56"/>
      <c r="O33" s="56"/>
      <c r="P33" s="56"/>
      <c r="Q33" s="56"/>
    </row>
    <row r="34" spans="1:17" ht="22" customHeight="1">
      <c r="A34" s="2">
        <v>46314</v>
      </c>
      <c r="B34" s="3">
        <v>366</v>
      </c>
      <c r="C34" s="3">
        <v>366</v>
      </c>
      <c r="D34" s="3"/>
      <c r="E34" s="3">
        <v>156</v>
      </c>
      <c r="F34" s="3"/>
      <c r="G34" s="4">
        <v>0.42622950819672129</v>
      </c>
      <c r="H34" s="5">
        <v>1999137</v>
      </c>
      <c r="I34" s="5">
        <v>12814.98076923077</v>
      </c>
      <c r="J34" s="56"/>
      <c r="K34" s="56"/>
      <c r="L34" s="56"/>
      <c r="M34" s="56"/>
      <c r="N34" s="56"/>
      <c r="O34" s="56"/>
      <c r="P34" s="56"/>
      <c r="Q34" s="56"/>
    </row>
    <row r="35" spans="1:17" ht="22" customHeight="1">
      <c r="A35" s="2">
        <v>46315</v>
      </c>
      <c r="B35" s="3">
        <v>366</v>
      </c>
      <c r="C35" s="3">
        <v>366</v>
      </c>
      <c r="D35" s="3"/>
      <c r="E35" s="3">
        <v>156</v>
      </c>
      <c r="F35" s="3"/>
      <c r="G35" s="4">
        <v>0.42622950819672129</v>
      </c>
      <c r="H35" s="5">
        <v>1999137</v>
      </c>
      <c r="I35" s="5">
        <v>12814.9807692308</v>
      </c>
      <c r="J35" s="56"/>
      <c r="K35" s="56"/>
      <c r="L35" s="56"/>
      <c r="M35" s="56"/>
      <c r="N35" s="56"/>
      <c r="O35" s="56"/>
      <c r="P35" s="56"/>
      <c r="Q35" s="56"/>
    </row>
    <row r="36" spans="1:17" ht="22" customHeight="1"/>
    <row r="37" spans="1:17" ht="22" customHeight="1">
      <c r="A37" s="6" t="s">
        <v>219</v>
      </c>
      <c r="B37" s="3">
        <f>SUM(B3:B35)</f>
        <v>20803</v>
      </c>
      <c r="C37" s="3">
        <f>SUM(C3:C35)</f>
        <v>20803</v>
      </c>
      <c r="D37" s="3"/>
      <c r="E37" s="3">
        <f>SUM(E3:E35)</f>
        <v>9969</v>
      </c>
      <c r="F37" s="3"/>
      <c r="G37" s="4">
        <f>AVERAGE(G3:G35)</f>
        <v>0.43395294057175521</v>
      </c>
      <c r="H37" s="5">
        <f>SUM(H3:H35)</f>
        <v>144934978</v>
      </c>
      <c r="I37" s="5">
        <f>AVERAGE(I3:I35)</f>
        <v>13187.430215911427</v>
      </c>
      <c r="J37" s="56"/>
      <c r="K37" s="56"/>
      <c r="L37" s="56"/>
      <c r="M37" s="56"/>
      <c r="N37" s="56"/>
      <c r="O37" s="56"/>
      <c r="P37" s="56"/>
    </row>
    <row r="38" spans="1:17" ht="22" customHeight="1">
      <c r="A38" s="7" t="s">
        <v>220</v>
      </c>
      <c r="B38" s="8">
        <v>100</v>
      </c>
      <c r="C38" s="8">
        <v>100</v>
      </c>
      <c r="D38" s="3"/>
      <c r="E38" s="8">
        <v>100</v>
      </c>
      <c r="F38" s="3"/>
      <c r="G38" s="8" t="s">
        <v>6</v>
      </c>
      <c r="H38" s="5">
        <v>1000000</v>
      </c>
      <c r="I38" s="8" t="s">
        <v>6</v>
      </c>
    </row>
    <row r="39" spans="1:17" ht="22" customHeight="1">
      <c r="A39" s="7" t="s">
        <v>221</v>
      </c>
      <c r="B39" s="8" t="s">
        <v>6</v>
      </c>
      <c r="C39" s="8" t="s">
        <v>6</v>
      </c>
      <c r="D39" s="3"/>
      <c r="E39" s="8" t="s">
        <v>6</v>
      </c>
      <c r="F39" s="3"/>
      <c r="G39" s="8" t="s">
        <v>6</v>
      </c>
      <c r="H39" s="8" t="s">
        <v>6</v>
      </c>
      <c r="I39" s="8" t="s">
        <v>6</v>
      </c>
    </row>
    <row r="40" spans="1:17" ht="24.5" customHeight="1">
      <c r="A40" s="7" t="s">
        <v>222</v>
      </c>
      <c r="B40" s="8" t="s">
        <v>6</v>
      </c>
      <c r="C40" s="8" t="s">
        <v>6</v>
      </c>
      <c r="D40" s="3"/>
      <c r="E40" s="8" t="s">
        <v>6</v>
      </c>
      <c r="F40" s="3"/>
      <c r="G40" s="8" t="s">
        <v>6</v>
      </c>
      <c r="H40" s="8" t="s">
        <v>6</v>
      </c>
      <c r="I40" s="8" t="s">
        <v>6</v>
      </c>
      <c r="J40" s="92"/>
    </row>
    <row r="41" spans="1:17" ht="24.5" customHeight="1">
      <c r="A41" s="7" t="s">
        <v>246</v>
      </c>
      <c r="B41" s="8" t="s">
        <v>6</v>
      </c>
      <c r="C41" s="8" t="s">
        <v>6</v>
      </c>
      <c r="D41" s="3"/>
      <c r="E41" s="8" t="s">
        <v>6</v>
      </c>
      <c r="F41" s="3"/>
      <c r="G41" s="8" t="s">
        <v>6</v>
      </c>
      <c r="H41" s="8">
        <v>0</v>
      </c>
      <c r="I41" s="8" t="s">
        <v>6</v>
      </c>
    </row>
    <row r="42" spans="1:17" ht="24.5" customHeight="1">
      <c r="A42" s="7" t="s">
        <v>252</v>
      </c>
      <c r="B42" s="8" t="s">
        <v>6</v>
      </c>
      <c r="C42" s="8" t="s">
        <v>6</v>
      </c>
      <c r="D42" s="3"/>
      <c r="E42" s="8" t="s">
        <v>6</v>
      </c>
      <c r="F42" s="3"/>
      <c r="G42" s="8" t="s">
        <v>6</v>
      </c>
      <c r="H42" s="91">
        <v>8000000</v>
      </c>
      <c r="I42" s="8" t="s">
        <v>6</v>
      </c>
    </row>
    <row r="43" spans="1:17" ht="32" customHeight="1">
      <c r="A43" s="6" t="s">
        <v>7</v>
      </c>
      <c r="B43" s="10">
        <f>SUM(B36:B39)</f>
        <v>20903</v>
      </c>
      <c r="C43" s="10">
        <f>SUM(C36:C39)</f>
        <v>20903</v>
      </c>
      <c r="D43" s="3"/>
      <c r="E43" s="10">
        <f>SUM(E36:E39)</f>
        <v>10069</v>
      </c>
      <c r="F43" s="3"/>
      <c r="G43" s="11">
        <f>IFERROR(E43/B43,0)</f>
        <v>0.48170119121657179</v>
      </c>
      <c r="H43" s="12">
        <f>SUM(H36:H41)</f>
        <v>145934978</v>
      </c>
      <c r="I43" s="12">
        <f>IFERROR(H43/E43,0)</f>
        <v>14493.492700367464</v>
      </c>
    </row>
    <row r="44" spans="1:17" ht="22" customHeight="1"/>
    <row r="45" spans="1:17" ht="22" customHeight="1">
      <c r="A45" s="94" t="s">
        <v>250</v>
      </c>
      <c r="B45" s="95">
        <f>SUM(B3:B15)</f>
        <v>12657</v>
      </c>
      <c r="C45" s="95">
        <f t="shared" ref="C45:E45" si="0">SUM(C3:C15)</f>
        <v>12657</v>
      </c>
      <c r="D45" s="95">
        <f t="shared" si="0"/>
        <v>0</v>
      </c>
      <c r="E45" s="95">
        <f t="shared" si="0"/>
        <v>6434</v>
      </c>
      <c r="F45" s="96"/>
      <c r="G45" s="97">
        <f>E45/C45</f>
        <v>0.50833530852492692</v>
      </c>
      <c r="H45" s="98">
        <f>SUM(H3:H15)+H42</f>
        <v>106951485</v>
      </c>
      <c r="I45" s="99">
        <f>IFERROR(H45/E45,0)</f>
        <v>16622.860584395399</v>
      </c>
    </row>
    <row r="46" spans="1:17" ht="22" customHeight="1">
      <c r="A46" s="94" t="s">
        <v>251</v>
      </c>
      <c r="B46" s="95">
        <f>SUM(B16:B35)</f>
        <v>8146</v>
      </c>
      <c r="C46" s="95">
        <f t="shared" ref="C46:D46" si="1">SUM(C16:C35)</f>
        <v>8146</v>
      </c>
      <c r="D46" s="95">
        <f t="shared" si="1"/>
        <v>0</v>
      </c>
      <c r="E46" s="95">
        <f>SUM(E16:E35)</f>
        <v>3535</v>
      </c>
      <c r="F46" s="96"/>
      <c r="G46" s="97">
        <f>E46/C46</f>
        <v>0.43395531549226612</v>
      </c>
      <c r="H46" s="98">
        <f>SUM(H16:H35)</f>
        <v>45983493</v>
      </c>
      <c r="I46" s="99">
        <f>IFERROR(H46/E46,0)</f>
        <v>13008.060254596889</v>
      </c>
    </row>
    <row r="47" spans="1:17" ht="22" customHeight="1"/>
    <row r="48" spans="1:17" ht="22" customHeight="1"/>
    <row r="49" ht="22" customHeight="1"/>
    <row r="50" ht="22" customHeight="1"/>
    <row r="51" ht="22" customHeight="1"/>
    <row r="52" ht="22" customHeight="1"/>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sheetData>
  <mergeCells count="1">
    <mergeCell ref="B1:I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06"/>
  <sheetViews>
    <sheetView showGridLines="0" zoomScale="85" zoomScaleNormal="85" workbookViewId="0"/>
  </sheetViews>
  <sheetFormatPr defaultRowHeight="14.5"/>
  <cols>
    <col min="1" max="1" width="14" customWidth="1"/>
    <col min="2" max="3" width="12" customWidth="1"/>
    <col min="4" max="4" width="6" customWidth="1"/>
    <col min="5" max="5" width="12" customWidth="1"/>
    <col min="6" max="6" width="6" customWidth="1"/>
    <col min="7" max="7" width="12" customWidth="1"/>
    <col min="8" max="8" width="16.81640625" customWidth="1"/>
    <col min="9" max="9" width="12" customWidth="1"/>
    <col min="10" max="10" width="13.08984375" bestFit="1" customWidth="1"/>
    <col min="11" max="11" width="11" bestFit="1" customWidth="1"/>
  </cols>
  <sheetData>
    <row r="1" spans="1:9" ht="28" customHeight="1">
      <c r="B1" s="123" t="s">
        <v>218</v>
      </c>
      <c r="C1" s="124"/>
      <c r="D1" s="124"/>
      <c r="E1" s="124"/>
      <c r="F1" s="124"/>
      <c r="G1" s="124"/>
      <c r="H1" s="124"/>
      <c r="I1" s="124"/>
    </row>
    <row r="2" spans="1:9" ht="22" customHeight="1">
      <c r="B2" s="1" t="s">
        <v>0</v>
      </c>
      <c r="C2" s="1" t="s">
        <v>1</v>
      </c>
      <c r="D2" s="1"/>
      <c r="E2" s="1" t="s">
        <v>2</v>
      </c>
      <c r="F2" s="1"/>
      <c r="G2" s="1" t="s">
        <v>3</v>
      </c>
      <c r="H2" s="1" t="s">
        <v>4</v>
      </c>
      <c r="I2" s="1" t="s">
        <v>5</v>
      </c>
    </row>
    <row r="3" spans="1:9" ht="22" customHeight="1">
      <c r="A3" s="2">
        <f>'件数(合算）'!P7</f>
        <v>46283</v>
      </c>
      <c r="B3" s="3">
        <f>'件数(合算）'!P3</f>
        <v>1142</v>
      </c>
      <c r="C3" s="3">
        <f t="shared" ref="C3:C30" si="0">B3</f>
        <v>1142</v>
      </c>
      <c r="D3" s="3"/>
      <c r="E3" s="3">
        <f>'発行(合算）'!O2</f>
        <v>623</v>
      </c>
      <c r="F3" s="3"/>
      <c r="G3" s="4">
        <f t="shared" ref="G3:G30" si="1">IFERROR(E3/B3,0)</f>
        <v>0.54553415061295973</v>
      </c>
      <c r="H3" s="5">
        <f>'コスト計算用(合算）'!O3</f>
        <v>9986591</v>
      </c>
      <c r="I3" s="5">
        <f>IFERROR(H3/E3,0)</f>
        <v>16029.841091492777</v>
      </c>
    </row>
    <row r="4" spans="1:9" ht="22" customHeight="1">
      <c r="A4" s="2">
        <f>'件数(合算）'!Q7</f>
        <v>46284</v>
      </c>
      <c r="B4" s="3">
        <f>'件数(合算）'!Q3</f>
        <v>1917</v>
      </c>
      <c r="C4" s="3">
        <f t="shared" si="0"/>
        <v>1917</v>
      </c>
      <c r="D4" s="3"/>
      <c r="E4" s="3">
        <f>'発行(合算）'!P2</f>
        <v>1103</v>
      </c>
      <c r="F4" s="3"/>
      <c r="G4" s="4">
        <f t="shared" si="1"/>
        <v>0.57537819509650501</v>
      </c>
      <c r="H4" s="5">
        <f>'コスト計算用(合算）'!P3</f>
        <v>18245771</v>
      </c>
      <c r="I4" s="5">
        <f t="shared" ref="I4:I29" si="2">IFERROR(H4/E4,0)</f>
        <v>16541.950135992745</v>
      </c>
    </row>
    <row r="5" spans="1:9" ht="22" customHeight="1">
      <c r="A5" s="2">
        <f>'件数(合算）'!R7</f>
        <v>46285</v>
      </c>
      <c r="B5" s="3">
        <f>'件数(合算）'!R3</f>
        <v>1959</v>
      </c>
      <c r="C5" s="3">
        <f t="shared" si="0"/>
        <v>1959</v>
      </c>
      <c r="D5" s="3"/>
      <c r="E5" s="3">
        <f>'発行(合算）'!Q2</f>
        <v>1116</v>
      </c>
      <c r="F5" s="3"/>
      <c r="G5" s="4">
        <f t="shared" si="1"/>
        <v>0.56967840735068909</v>
      </c>
      <c r="H5" s="5">
        <f>'コスト計算用(合算）'!Q3</f>
        <v>18477743</v>
      </c>
      <c r="I5" s="5">
        <f t="shared" si="2"/>
        <v>16557.117383512545</v>
      </c>
    </row>
    <row r="6" spans="1:9" ht="22" customHeight="1">
      <c r="A6" s="2">
        <f>'件数(合算）'!S7</f>
        <v>46286</v>
      </c>
      <c r="B6" s="3">
        <f>'件数(合算）'!S3</f>
        <v>1506</v>
      </c>
      <c r="C6" s="3">
        <f t="shared" si="0"/>
        <v>1506</v>
      </c>
      <c r="D6" s="3"/>
      <c r="E6" s="3">
        <f>'発行(合算）'!R2</f>
        <v>830</v>
      </c>
      <c r="F6" s="3"/>
      <c r="G6" s="4">
        <f t="shared" si="1"/>
        <v>0.55112881806108893</v>
      </c>
      <c r="H6" s="5">
        <f>'コスト計算用(合算）'!R3</f>
        <v>13716653</v>
      </c>
      <c r="I6" s="5">
        <f t="shared" si="2"/>
        <v>16526.087951807229</v>
      </c>
    </row>
    <row r="7" spans="1:9" ht="22" customHeight="1">
      <c r="A7" s="2">
        <f>'件数(合算）'!T7</f>
        <v>46287</v>
      </c>
      <c r="B7" s="3">
        <f>'件数(合算）'!T3</f>
        <v>1505</v>
      </c>
      <c r="C7" s="3">
        <f t="shared" si="0"/>
        <v>1505</v>
      </c>
      <c r="D7" s="3"/>
      <c r="E7" s="3">
        <f>'発行(合算）'!S2</f>
        <v>811</v>
      </c>
      <c r="F7" s="3"/>
      <c r="G7" s="4">
        <f t="shared" si="1"/>
        <v>0.53887043189368766</v>
      </c>
      <c r="H7" s="5">
        <f>'コスト計算用(合算）'!S3</f>
        <v>13274729</v>
      </c>
      <c r="I7" s="5">
        <f t="shared" si="2"/>
        <v>16368.346485819975</v>
      </c>
    </row>
    <row r="8" spans="1:9" ht="22" customHeight="1">
      <c r="A8" s="2">
        <f>'件数(合算）'!U7</f>
        <v>46288</v>
      </c>
      <c r="B8" s="3">
        <f>'件数(合算）'!U3</f>
        <v>1486</v>
      </c>
      <c r="C8" s="3">
        <f t="shared" si="0"/>
        <v>1486</v>
      </c>
      <c r="D8" s="3"/>
      <c r="E8" s="3">
        <f>'発行(合算）'!T2</f>
        <v>809</v>
      </c>
      <c r="F8" s="3"/>
      <c r="G8" s="4">
        <f t="shared" si="1"/>
        <v>0.544414535666218</v>
      </c>
      <c r="H8" s="5">
        <f>'コスト計算用(合算）'!T3</f>
        <v>13260220</v>
      </c>
      <c r="I8" s="5">
        <f t="shared" si="2"/>
        <v>16390.877626699628</v>
      </c>
    </row>
    <row r="9" spans="1:9" ht="22" customHeight="1">
      <c r="A9" s="2">
        <f>'件数(合算）'!V7</f>
        <v>46289</v>
      </c>
      <c r="B9" s="3">
        <f>'件数(合算）'!V3</f>
        <v>1420</v>
      </c>
      <c r="C9" s="3">
        <f t="shared" si="0"/>
        <v>1420</v>
      </c>
      <c r="D9" s="3"/>
      <c r="E9" s="3">
        <f>'発行(合算）'!U2</f>
        <v>777</v>
      </c>
      <c r="F9" s="3"/>
      <c r="G9" s="4">
        <f t="shared" si="1"/>
        <v>0.54718309859154934</v>
      </c>
      <c r="H9" s="5">
        <f>'コスト計算用(合算）'!U3</f>
        <v>12730012</v>
      </c>
      <c r="I9" s="5">
        <f t="shared" si="2"/>
        <v>16383.541827541827</v>
      </c>
    </row>
    <row r="10" spans="1:9" ht="22" customHeight="1">
      <c r="A10" s="2">
        <f>'件数(合算）'!W7</f>
        <v>46290</v>
      </c>
      <c r="B10" s="3">
        <f>'件数(合算）'!W3</f>
        <v>1274</v>
      </c>
      <c r="C10" s="3">
        <f t="shared" si="0"/>
        <v>1274</v>
      </c>
      <c r="D10" s="3"/>
      <c r="E10" s="3">
        <f>'発行(合算）'!V2</f>
        <v>682</v>
      </c>
      <c r="F10" s="3"/>
      <c r="G10" s="4">
        <f t="shared" si="1"/>
        <v>0.5353218210361067</v>
      </c>
      <c r="H10" s="5">
        <f>'コスト計算用(合算）'!V3</f>
        <v>11074936</v>
      </c>
      <c r="I10" s="5">
        <f t="shared" si="2"/>
        <v>16238.90909090909</v>
      </c>
    </row>
    <row r="11" spans="1:9" ht="22" customHeight="1">
      <c r="A11" s="2">
        <f>'件数(合算）'!X7</f>
        <v>46291</v>
      </c>
      <c r="B11" s="3">
        <f>'件数(合算）'!X3</f>
        <v>2129</v>
      </c>
      <c r="C11" s="3">
        <f t="shared" si="0"/>
        <v>2129</v>
      </c>
      <c r="D11" s="3"/>
      <c r="E11" s="3">
        <f>'発行(合算）'!W2</f>
        <v>1217</v>
      </c>
      <c r="F11" s="3"/>
      <c r="G11" s="4">
        <f t="shared" si="1"/>
        <v>0.57162987317989666</v>
      </c>
      <c r="H11" s="5">
        <f>'コスト計算用(合算）'!W3</f>
        <v>20405499</v>
      </c>
      <c r="I11" s="5">
        <f t="shared" si="2"/>
        <v>16767.049301561216</v>
      </c>
    </row>
    <row r="12" spans="1:9" ht="22" customHeight="1">
      <c r="A12" s="2">
        <f>'件数(合算）'!Y7</f>
        <v>46292</v>
      </c>
      <c r="B12" s="3">
        <f>'件数(合算）'!Y3</f>
        <v>2977</v>
      </c>
      <c r="C12" s="3">
        <f t="shared" si="0"/>
        <v>2977</v>
      </c>
      <c r="D12" s="3"/>
      <c r="E12" s="3">
        <f>'発行(合算）'!X2</f>
        <v>1763</v>
      </c>
      <c r="F12" s="3"/>
      <c r="G12" s="4">
        <f t="shared" si="1"/>
        <v>0.59220691971783679</v>
      </c>
      <c r="H12" s="5">
        <f>'コスト計算用(合算）'!X3</f>
        <v>29914661</v>
      </c>
      <c r="I12" s="5">
        <f t="shared" si="2"/>
        <v>16968.043675553035</v>
      </c>
    </row>
    <row r="13" spans="1:9" ht="22" customHeight="1">
      <c r="A13" s="2">
        <f>'件数(合算）'!Z7</f>
        <v>46293</v>
      </c>
      <c r="B13" s="3">
        <f>'件数(合算）'!Z3</f>
        <v>1301</v>
      </c>
      <c r="C13" s="3">
        <f t="shared" si="0"/>
        <v>1301</v>
      </c>
      <c r="D13" s="3"/>
      <c r="E13" s="3">
        <f>'発行(合算）'!Y2</f>
        <v>728</v>
      </c>
      <c r="F13" s="3"/>
      <c r="G13" s="4">
        <f t="shared" si="1"/>
        <v>0.55956956187548035</v>
      </c>
      <c r="H13" s="5">
        <f>'コスト計算用(合算）'!Y3</f>
        <v>11892163</v>
      </c>
      <c r="I13" s="5">
        <f t="shared" si="2"/>
        <v>16335.388736263736</v>
      </c>
    </row>
    <row r="14" spans="1:9" ht="22" customHeight="1">
      <c r="A14" s="2">
        <f>'件数(合算）'!AA7</f>
        <v>46294</v>
      </c>
      <c r="B14" s="3">
        <f>'件数(合算）'!AA3</f>
        <v>366</v>
      </c>
      <c r="C14" s="3">
        <f t="shared" si="0"/>
        <v>366</v>
      </c>
      <c r="D14" s="3"/>
      <c r="E14" s="3">
        <f>'発行(合算）'!Z2</f>
        <v>151</v>
      </c>
      <c r="F14" s="3"/>
      <c r="G14" s="4">
        <f t="shared" si="1"/>
        <v>0.41256830601092898</v>
      </c>
      <c r="H14" s="5">
        <f>'コスト計算用(合算）'!Z3</f>
        <v>1958345</v>
      </c>
      <c r="I14" s="5">
        <f t="shared" si="2"/>
        <v>12969.172185430463</v>
      </c>
    </row>
    <row r="15" spans="1:9" ht="22" customHeight="1">
      <c r="A15" s="2">
        <f>'件数(合算）'!AB7</f>
        <v>46295</v>
      </c>
      <c r="B15" s="3">
        <f>'件数(合算）'!AB3</f>
        <v>366</v>
      </c>
      <c r="C15" s="3">
        <f t="shared" si="0"/>
        <v>366</v>
      </c>
      <c r="D15" s="3"/>
      <c r="E15" s="3">
        <f>'発行(合算）'!AA2</f>
        <v>151</v>
      </c>
      <c r="F15" s="3"/>
      <c r="G15" s="4">
        <f t="shared" si="1"/>
        <v>0.41256830601092898</v>
      </c>
      <c r="H15" s="5">
        <f>'コスト計算用(合算）'!AA3</f>
        <v>1958345</v>
      </c>
      <c r="I15" s="5">
        <f t="shared" si="2"/>
        <v>12969.172185430463</v>
      </c>
    </row>
    <row r="16" spans="1:9" ht="22" customHeight="1">
      <c r="A16" s="2">
        <f>'件数(合算）'!AC7</f>
        <v>46296</v>
      </c>
      <c r="B16" s="3">
        <f>'件数(合算）'!AC3</f>
        <v>366</v>
      </c>
      <c r="C16" s="3">
        <f t="shared" si="0"/>
        <v>366</v>
      </c>
      <c r="D16" s="3"/>
      <c r="E16" s="3">
        <f>'発行(合算）'!AB2</f>
        <v>151</v>
      </c>
      <c r="F16" s="3"/>
      <c r="G16" s="4">
        <f t="shared" si="1"/>
        <v>0.41256830601092898</v>
      </c>
      <c r="H16" s="5">
        <f>'コスト計算用(合算）'!AB3</f>
        <v>1958345</v>
      </c>
      <c r="I16" s="5">
        <f t="shared" si="2"/>
        <v>12969.172185430463</v>
      </c>
    </row>
    <row r="17" spans="1:9" ht="22" customHeight="1">
      <c r="A17" s="2">
        <f>'件数(合算）'!AD7</f>
        <v>46297</v>
      </c>
      <c r="B17" s="3">
        <f>'件数(合算）'!AD3</f>
        <v>363</v>
      </c>
      <c r="C17" s="3">
        <f t="shared" si="0"/>
        <v>363</v>
      </c>
      <c r="D17" s="3"/>
      <c r="E17" s="3">
        <f>'発行(合算）'!AC2</f>
        <v>149</v>
      </c>
      <c r="F17" s="3"/>
      <c r="G17" s="4">
        <f t="shared" si="1"/>
        <v>0.41046831955922863</v>
      </c>
      <c r="H17" s="5">
        <f>'コスト計算用(合算）'!AC3</f>
        <v>1932044</v>
      </c>
      <c r="I17" s="5">
        <f t="shared" si="2"/>
        <v>12966.738255033557</v>
      </c>
    </row>
    <row r="18" spans="1:9" ht="22" customHeight="1">
      <c r="A18" s="2">
        <f>'件数(合算）'!AE7</f>
        <v>46298</v>
      </c>
      <c r="B18" s="3">
        <f>'件数(合算）'!AE3</f>
        <v>451</v>
      </c>
      <c r="C18" s="3">
        <f t="shared" si="0"/>
        <v>451</v>
      </c>
      <c r="D18" s="3"/>
      <c r="E18" s="3">
        <f>'発行(合算）'!AD2</f>
        <v>198</v>
      </c>
      <c r="F18" s="3"/>
      <c r="G18" s="4">
        <f t="shared" si="1"/>
        <v>0.43902439024390244</v>
      </c>
      <c r="H18" s="5">
        <f>'コスト計算用(合算）'!AD3</f>
        <v>2577005</v>
      </c>
      <c r="I18" s="5">
        <f t="shared" si="2"/>
        <v>13015.176767676769</v>
      </c>
    </row>
    <row r="19" spans="1:9" ht="22" customHeight="1">
      <c r="A19" s="2">
        <f>'件数(合算）'!AF7</f>
        <v>46299</v>
      </c>
      <c r="B19" s="3">
        <f>'件数(合算）'!AF3</f>
        <v>524</v>
      </c>
      <c r="C19" s="3">
        <f t="shared" si="0"/>
        <v>524</v>
      </c>
      <c r="D19" s="3"/>
      <c r="E19" s="3">
        <f>'発行(合算）'!AE2</f>
        <v>241</v>
      </c>
      <c r="F19" s="3"/>
      <c r="G19" s="4">
        <f t="shared" si="1"/>
        <v>0.45992366412213742</v>
      </c>
      <c r="H19" s="5">
        <f>'コスト計算用(合算）'!AE3</f>
        <v>3183683</v>
      </c>
      <c r="I19" s="5">
        <f t="shared" si="2"/>
        <v>13210.302904564316</v>
      </c>
    </row>
    <row r="20" spans="1:9" ht="22" customHeight="1">
      <c r="A20" s="2">
        <f>'件数(合算）'!AG7</f>
        <v>46300</v>
      </c>
      <c r="B20" s="3">
        <f>'件数(合算）'!AG3</f>
        <v>373</v>
      </c>
      <c r="C20" s="3">
        <f t="shared" si="0"/>
        <v>373</v>
      </c>
      <c r="D20" s="3"/>
      <c r="E20" s="3">
        <f>'発行(合算）'!AF2</f>
        <v>156</v>
      </c>
      <c r="F20" s="3"/>
      <c r="G20" s="4">
        <f t="shared" si="1"/>
        <v>0.41823056300268097</v>
      </c>
      <c r="H20" s="5">
        <f>'コスト計算用(合算）'!AF3</f>
        <v>2031319</v>
      </c>
      <c r="I20" s="5">
        <f t="shared" si="2"/>
        <v>13021.275641025641</v>
      </c>
    </row>
    <row r="21" spans="1:9" ht="22" customHeight="1">
      <c r="A21" s="2">
        <f>'件数(合算）'!AH7</f>
        <v>46301</v>
      </c>
      <c r="B21" s="3">
        <f>'件数(合算）'!AH3</f>
        <v>380</v>
      </c>
      <c r="C21" s="3">
        <f t="shared" si="0"/>
        <v>380</v>
      </c>
      <c r="D21" s="3"/>
      <c r="E21" s="3">
        <f>'発行(合算）'!AG2</f>
        <v>159</v>
      </c>
      <c r="F21" s="3"/>
      <c r="G21" s="4">
        <f t="shared" si="1"/>
        <v>0.41842105263157897</v>
      </c>
      <c r="H21" s="5">
        <f>'コスト計算用(合算）'!AG3</f>
        <v>2061342</v>
      </c>
      <c r="I21" s="5">
        <f t="shared" si="2"/>
        <v>12964.415094339623</v>
      </c>
    </row>
    <row r="22" spans="1:9" ht="22" customHeight="1">
      <c r="A22" s="2">
        <f>'件数(合算）'!AI7</f>
        <v>46302</v>
      </c>
      <c r="B22" s="3">
        <f>'件数(合算）'!AI3</f>
        <v>376</v>
      </c>
      <c r="C22" s="3">
        <f t="shared" si="0"/>
        <v>376</v>
      </c>
      <c r="D22" s="3"/>
      <c r="E22" s="3">
        <f>'発行(合算）'!AH2</f>
        <v>158</v>
      </c>
      <c r="F22" s="3"/>
      <c r="G22" s="4">
        <f t="shared" si="1"/>
        <v>0.42021276595744683</v>
      </c>
      <c r="H22" s="5">
        <f>'コスト計算用(合算）'!AH3</f>
        <v>2051380</v>
      </c>
      <c r="I22" s="5">
        <f t="shared" si="2"/>
        <v>12983.417721518987</v>
      </c>
    </row>
    <row r="23" spans="1:9" ht="22" customHeight="1">
      <c r="A23" s="2">
        <f>'件数(合算）'!AJ7</f>
        <v>46303</v>
      </c>
      <c r="B23" s="3">
        <f>'件数(合算）'!AJ3</f>
        <v>373</v>
      </c>
      <c r="C23" s="3">
        <f t="shared" si="0"/>
        <v>373</v>
      </c>
      <c r="D23" s="3"/>
      <c r="E23" s="3">
        <f>'発行(合算）'!AI2</f>
        <v>157</v>
      </c>
      <c r="F23" s="3"/>
      <c r="G23" s="4">
        <f t="shared" si="1"/>
        <v>0.42091152815013405</v>
      </c>
      <c r="H23" s="5">
        <f>'コスト計算用(合算）'!AI3</f>
        <v>2044946</v>
      </c>
      <c r="I23" s="5">
        <f t="shared" si="2"/>
        <v>13025.133757961783</v>
      </c>
    </row>
    <row r="24" spans="1:9" ht="22" customHeight="1">
      <c r="A24" s="2">
        <f>'件数(合算）'!AK7</f>
        <v>46304</v>
      </c>
      <c r="B24" s="3">
        <f>'件数(合算）'!AK3</f>
        <v>367</v>
      </c>
      <c r="C24" s="3">
        <f t="shared" si="0"/>
        <v>367</v>
      </c>
      <c r="D24" s="3"/>
      <c r="E24" s="3">
        <f>'発行(合算）'!AJ2</f>
        <v>155</v>
      </c>
      <c r="F24" s="3"/>
      <c r="G24" s="4">
        <f t="shared" si="1"/>
        <v>0.42234332425068122</v>
      </c>
      <c r="H24" s="5">
        <f>'コスト計算用(合算）'!AJ3</f>
        <v>2011146</v>
      </c>
      <c r="I24" s="5">
        <f t="shared" si="2"/>
        <v>12975.135483870969</v>
      </c>
    </row>
    <row r="25" spans="1:9" ht="22" customHeight="1">
      <c r="A25" s="2">
        <f>'件数(合算）'!AL7</f>
        <v>46305</v>
      </c>
      <c r="B25" s="3">
        <f>'件数(合算）'!AL3</f>
        <v>444</v>
      </c>
      <c r="C25" s="3">
        <f t="shared" si="0"/>
        <v>444</v>
      </c>
      <c r="D25" s="3"/>
      <c r="E25" s="3">
        <f>'発行(合算）'!AK2</f>
        <v>198</v>
      </c>
      <c r="F25" s="3"/>
      <c r="G25" s="4">
        <f t="shared" si="1"/>
        <v>0.44594594594594594</v>
      </c>
      <c r="H25" s="5">
        <f>'コスト計算用(合算）'!AK3</f>
        <v>2584111</v>
      </c>
      <c r="I25" s="5">
        <f t="shared" si="2"/>
        <v>13051.065656565657</v>
      </c>
    </row>
    <row r="26" spans="1:9" ht="22" customHeight="1">
      <c r="A26" s="2">
        <f>'件数(合算）'!AM7</f>
        <v>46306</v>
      </c>
      <c r="B26" s="3">
        <f>'件数(合算）'!AM3</f>
        <v>472</v>
      </c>
      <c r="C26" s="3">
        <f t="shared" si="0"/>
        <v>472</v>
      </c>
      <c r="D26" s="3"/>
      <c r="E26" s="3">
        <f>'発行(合算）'!AL2</f>
        <v>212</v>
      </c>
      <c r="F26" s="3"/>
      <c r="G26" s="4">
        <f t="shared" si="1"/>
        <v>0.44915254237288138</v>
      </c>
      <c r="H26" s="5">
        <f>'コスト計算用(合算）'!AL3</f>
        <v>2795912</v>
      </c>
      <c r="I26" s="5">
        <f t="shared" si="2"/>
        <v>13188.264150943396</v>
      </c>
    </row>
    <row r="27" spans="1:9" ht="22" customHeight="1">
      <c r="A27" s="2">
        <f>'件数(合算）'!AN7</f>
        <v>46307</v>
      </c>
      <c r="B27" s="3">
        <f>'件数(合算）'!AN3</f>
        <v>481</v>
      </c>
      <c r="C27" s="3">
        <f t="shared" si="0"/>
        <v>481</v>
      </c>
      <c r="D27" s="3"/>
      <c r="E27" s="3">
        <f>'発行(合算）'!AM2</f>
        <v>224</v>
      </c>
      <c r="F27" s="3"/>
      <c r="G27" s="4">
        <f t="shared" si="1"/>
        <v>0.46569646569646572</v>
      </c>
      <c r="H27" s="5">
        <f>'コスト計算用(合算）'!AM3</f>
        <v>2961904</v>
      </c>
      <c r="I27" s="5">
        <f t="shared" si="2"/>
        <v>13222.785714285714</v>
      </c>
    </row>
    <row r="28" spans="1:9" ht="22" customHeight="1">
      <c r="A28" s="2">
        <f>'件数(合算）'!AO7</f>
        <v>46308</v>
      </c>
      <c r="B28" s="3">
        <f>'件数(合算）'!AO3</f>
        <v>372</v>
      </c>
      <c r="C28" s="3">
        <f t="shared" si="0"/>
        <v>372</v>
      </c>
      <c r="D28" s="3"/>
      <c r="E28" s="3">
        <f>'発行(合算）'!AN2</f>
        <v>158</v>
      </c>
      <c r="F28" s="3"/>
      <c r="G28" s="4">
        <f t="shared" si="1"/>
        <v>0.42473118279569894</v>
      </c>
      <c r="H28" s="5">
        <f>'コスト計算用(合算）'!AN3</f>
        <v>2026665</v>
      </c>
      <c r="I28" s="5">
        <f t="shared" si="2"/>
        <v>12826.993670886075</v>
      </c>
    </row>
    <row r="29" spans="1:9" ht="22" customHeight="1">
      <c r="A29" s="2">
        <f>'件数(合算）'!AP7</f>
        <v>46309</v>
      </c>
      <c r="B29" s="3">
        <f>'件数(合算）'!AP3</f>
        <v>369</v>
      </c>
      <c r="C29" s="3">
        <f t="shared" si="0"/>
        <v>369</v>
      </c>
      <c r="D29" s="3"/>
      <c r="E29" s="3">
        <f>'発行(合算）'!AO2</f>
        <v>157</v>
      </c>
      <c r="F29" s="3"/>
      <c r="G29" s="4">
        <f t="shared" si="1"/>
        <v>0.42547425474254741</v>
      </c>
      <c r="H29" s="5">
        <f>'コスト計算用(合算）'!AO3</f>
        <v>2015929</v>
      </c>
      <c r="I29" s="5">
        <f t="shared" si="2"/>
        <v>12840.312101910828</v>
      </c>
    </row>
    <row r="30" spans="1:9" ht="22" customHeight="1">
      <c r="A30" s="2">
        <f>'件数(合算）'!AQ7</f>
        <v>46310</v>
      </c>
      <c r="B30" s="3">
        <f>'件数(合算）'!AQ3</f>
        <v>368</v>
      </c>
      <c r="C30" s="3">
        <f t="shared" si="0"/>
        <v>368</v>
      </c>
      <c r="D30" s="3"/>
      <c r="E30" s="3">
        <f>'発行(合算）'!AP2</f>
        <v>157</v>
      </c>
      <c r="F30" s="3"/>
      <c r="G30" s="4">
        <f t="shared" si="1"/>
        <v>0.4266304347826087</v>
      </c>
      <c r="H30" s="5">
        <f>'コスト計算用(合算）'!AP3</f>
        <v>2010529</v>
      </c>
      <c r="I30" s="5">
        <f>IFERROR(H30/E30,0)</f>
        <v>12805.917197452229</v>
      </c>
    </row>
    <row r="31" spans="1:9" ht="22" customHeight="1">
      <c r="A31" s="2">
        <f>'件数(合算）'!AR7</f>
        <v>46311</v>
      </c>
      <c r="B31" s="3">
        <f>'件数(合算）'!AR3</f>
        <v>364</v>
      </c>
      <c r="C31" s="3">
        <f t="shared" ref="C31:C35" si="3">B31</f>
        <v>364</v>
      </c>
      <c r="D31" s="3"/>
      <c r="E31" s="3">
        <f>'発行(合算）'!AQ2</f>
        <v>154</v>
      </c>
      <c r="F31" s="3"/>
      <c r="G31" s="4">
        <f t="shared" ref="G31:G35" si="4">IFERROR(E31/B31,0)</f>
        <v>0.42307692307692307</v>
      </c>
      <c r="H31" s="5">
        <f>'コスト計算用(合算）'!AQ3</f>
        <v>1975461</v>
      </c>
      <c r="I31" s="5">
        <f t="shared" ref="I31:I35" si="5">IFERROR(H31/E31,0)</f>
        <v>12827.66883116883</v>
      </c>
    </row>
    <row r="32" spans="1:9" ht="22" customHeight="1">
      <c r="A32" s="2">
        <f>'件数(合算）'!AS7</f>
        <v>46312</v>
      </c>
      <c r="B32" s="3">
        <f>'件数(合算）'!AS3</f>
        <v>453</v>
      </c>
      <c r="C32" s="3">
        <f t="shared" si="3"/>
        <v>453</v>
      </c>
      <c r="D32" s="3"/>
      <c r="E32" s="3">
        <f>'発行(合算）'!AR2</f>
        <v>202</v>
      </c>
      <c r="F32" s="3"/>
      <c r="G32" s="4">
        <f t="shared" si="4"/>
        <v>0.44591611479028698</v>
      </c>
      <c r="H32" s="5">
        <f>'コスト計算用(合算）'!AR3</f>
        <v>2636377</v>
      </c>
      <c r="I32" s="5">
        <f t="shared" si="5"/>
        <v>13051.371287128713</v>
      </c>
    </row>
    <row r="33" spans="1:11" ht="22" customHeight="1">
      <c r="A33" s="2">
        <f>'件数(合算）'!AT7</f>
        <v>46313</v>
      </c>
      <c r="B33" s="3">
        <f>'件数(合算）'!AT3</f>
        <v>518</v>
      </c>
      <c r="C33" s="3">
        <f>B33</f>
        <v>518</v>
      </c>
      <c r="D33" s="3"/>
      <c r="E33" s="3">
        <f>'発行(合算）'!AS2</f>
        <v>237</v>
      </c>
      <c r="F33" s="3"/>
      <c r="G33" s="4">
        <f t="shared" si="4"/>
        <v>0.4575289575289575</v>
      </c>
      <c r="H33" s="5">
        <f>'コスト計算用(合算）'!AS3</f>
        <v>3127121</v>
      </c>
      <c r="I33" s="5">
        <f t="shared" si="5"/>
        <v>13194.603375527426</v>
      </c>
    </row>
    <row r="34" spans="1:11" ht="22" customHeight="1">
      <c r="A34" s="2">
        <f>'件数(合算）'!AU7</f>
        <v>46314</v>
      </c>
      <c r="B34" s="3">
        <f>'件数(合算）'!AU3</f>
        <v>366</v>
      </c>
      <c r="C34" s="3">
        <f t="shared" si="3"/>
        <v>366</v>
      </c>
      <c r="D34" s="3"/>
      <c r="E34" s="3">
        <f>'発行(合算）'!AT2</f>
        <v>156</v>
      </c>
      <c r="F34" s="3"/>
      <c r="G34" s="4">
        <f t="shared" si="4"/>
        <v>0.42622950819672129</v>
      </c>
      <c r="H34" s="5">
        <f>'コスト計算用(合算）'!AT3</f>
        <v>1999137</v>
      </c>
      <c r="I34" s="5">
        <f t="shared" si="5"/>
        <v>12814.98076923077</v>
      </c>
    </row>
    <row r="35" spans="1:11" ht="22" customHeight="1">
      <c r="A35" s="2">
        <f>'件数(合算）'!AV7</f>
        <v>46315</v>
      </c>
      <c r="B35" s="3">
        <f>'件数(合算）'!AV3</f>
        <v>366</v>
      </c>
      <c r="C35" s="3">
        <f t="shared" si="3"/>
        <v>366</v>
      </c>
      <c r="D35" s="3"/>
      <c r="E35" s="3">
        <f>'発行(合算）'!AU2</f>
        <v>156</v>
      </c>
      <c r="F35" s="3"/>
      <c r="G35" s="4">
        <f t="shared" si="4"/>
        <v>0.42622950819672129</v>
      </c>
      <c r="H35" s="5">
        <f>'コスト計算用(合算）'!AU3</f>
        <v>1999137</v>
      </c>
      <c r="I35" s="5">
        <f t="shared" si="5"/>
        <v>12814.98076923077</v>
      </c>
    </row>
    <row r="36" spans="1:11" ht="22" customHeight="1"/>
    <row r="37" spans="1:11" ht="22" customHeight="1">
      <c r="A37" s="6" t="s">
        <v>219</v>
      </c>
      <c r="B37" s="3">
        <f>SUM(B3:B35)</f>
        <v>27494</v>
      </c>
      <c r="C37" s="3">
        <f>SUM(C3:C35)</f>
        <v>27494</v>
      </c>
      <c r="D37" s="3"/>
      <c r="E37" s="3">
        <f>SUM(E3:E35)</f>
        <v>14296</v>
      </c>
      <c r="F37" s="3"/>
      <c r="G37" s="4">
        <f>AVERAGE(G3:G35)</f>
        <v>0.47256873264116211</v>
      </c>
      <c r="H37" s="5">
        <f>SUM(H3:H35)</f>
        <v>222879161</v>
      </c>
      <c r="I37" s="5">
        <f>AVERAGE(I3:I35)</f>
        <v>14145.915424659615</v>
      </c>
    </row>
    <row r="38" spans="1:11" ht="22" customHeight="1">
      <c r="A38" s="7" t="s">
        <v>220</v>
      </c>
      <c r="B38" s="8">
        <v>100</v>
      </c>
      <c r="C38" s="8">
        <v>100</v>
      </c>
      <c r="D38" s="3"/>
      <c r="E38" s="8">
        <v>100</v>
      </c>
      <c r="F38" s="3"/>
      <c r="G38" s="8" t="s">
        <v>6</v>
      </c>
      <c r="H38" s="5">
        <v>1000000</v>
      </c>
      <c r="I38" s="8" t="s">
        <v>6</v>
      </c>
    </row>
    <row r="39" spans="1:11" ht="22" customHeight="1">
      <c r="A39" s="7" t="s">
        <v>221</v>
      </c>
      <c r="B39" s="8" t="s">
        <v>6</v>
      </c>
      <c r="C39" s="8" t="s">
        <v>6</v>
      </c>
      <c r="D39" s="3"/>
      <c r="E39" s="8" t="s">
        <v>6</v>
      </c>
      <c r="F39" s="3"/>
      <c r="G39" s="8" t="s">
        <v>6</v>
      </c>
      <c r="H39" s="8" t="s">
        <v>6</v>
      </c>
      <c r="I39" s="8" t="s">
        <v>6</v>
      </c>
    </row>
    <row r="40" spans="1:11" ht="24.5" customHeight="1">
      <c r="A40" s="7" t="s">
        <v>247</v>
      </c>
      <c r="B40" s="3">
        <v>-6691</v>
      </c>
      <c r="C40" s="3">
        <v>-6691</v>
      </c>
      <c r="D40" s="3"/>
      <c r="E40" s="3">
        <v>-4327</v>
      </c>
      <c r="F40" s="3"/>
      <c r="G40" s="4">
        <f>E40/C40</f>
        <v>0.64668958302196977</v>
      </c>
      <c r="H40" s="3">
        <v>-77944183</v>
      </c>
      <c r="I40" s="5">
        <f>H40/E40</f>
        <v>18013.44649872891</v>
      </c>
    </row>
    <row r="41" spans="1:11" ht="24.5" customHeight="1">
      <c r="A41" s="7" t="s">
        <v>246</v>
      </c>
      <c r="B41" s="8" t="s">
        <v>6</v>
      </c>
      <c r="C41" s="8" t="s">
        <v>6</v>
      </c>
      <c r="D41" s="3"/>
      <c r="E41" s="8" t="s">
        <v>6</v>
      </c>
      <c r="F41" s="3"/>
      <c r="G41" s="8" t="s">
        <v>6</v>
      </c>
      <c r="H41" s="91" t="s">
        <v>249</v>
      </c>
      <c r="I41" s="8" t="s">
        <v>6</v>
      </c>
    </row>
    <row r="42" spans="1:11" ht="24.5" customHeight="1">
      <c r="A42" s="7" t="s">
        <v>248</v>
      </c>
      <c r="B42" s="8" t="s">
        <v>6</v>
      </c>
      <c r="C42" s="8" t="s">
        <v>6</v>
      </c>
      <c r="D42" s="3"/>
      <c r="E42" s="8" t="s">
        <v>6</v>
      </c>
      <c r="F42" s="3"/>
      <c r="G42" s="8" t="s">
        <v>6</v>
      </c>
      <c r="H42" s="91">
        <v>8000000</v>
      </c>
      <c r="I42" s="8"/>
    </row>
    <row r="43" spans="1:11" ht="32" customHeight="1">
      <c r="A43" s="6" t="s">
        <v>7</v>
      </c>
      <c r="B43" s="10">
        <f>SUM(B37:B40)</f>
        <v>20903</v>
      </c>
      <c r="C43" s="10">
        <f>SUM(C37:C40)</f>
        <v>20903</v>
      </c>
      <c r="D43" s="3"/>
      <c r="E43" s="10">
        <f>SUM(E37:E40)</f>
        <v>10069</v>
      </c>
      <c r="F43" s="3"/>
      <c r="G43" s="11">
        <f>IFERROR(E43/B43,0)</f>
        <v>0.48170119121657179</v>
      </c>
      <c r="H43" s="12">
        <f>SUM(H37:H42)</f>
        <v>153934978</v>
      </c>
      <c r="I43" s="12">
        <f>IFERROR(H43/E43,0)</f>
        <v>15288.010527361208</v>
      </c>
      <c r="J43" s="125"/>
      <c r="K43" s="126"/>
    </row>
    <row r="44" spans="1:11" ht="22" customHeight="1"/>
    <row r="45" spans="1:11" ht="22" customHeight="1">
      <c r="A45" s="94" t="s">
        <v>250</v>
      </c>
      <c r="B45" s="95">
        <f>SUM(B3:B15)</f>
        <v>19348</v>
      </c>
      <c r="C45" s="95">
        <f>SUM(C3:C15)</f>
        <v>19348</v>
      </c>
      <c r="D45" s="95">
        <f t="shared" ref="D45" si="6">SUM(D4:D16)</f>
        <v>0</v>
      </c>
      <c r="E45" s="95">
        <f>SUM(E3:E15)</f>
        <v>10761</v>
      </c>
      <c r="F45" s="96"/>
      <c r="G45" s="97">
        <f>E45/C45</f>
        <v>0.55618151746950584</v>
      </c>
      <c r="H45" s="98">
        <f>SUM(H3:H15)+H42</f>
        <v>184895668</v>
      </c>
      <c r="I45" s="99">
        <f>IFERROR(H45/E45,0)</f>
        <v>17182.015426075643</v>
      </c>
    </row>
    <row r="46" spans="1:11" ht="22" customHeight="1">
      <c r="A46" s="94" t="s">
        <v>251</v>
      </c>
      <c r="B46" s="95">
        <f>SUM(B16:B35)</f>
        <v>8146</v>
      </c>
      <c r="C46" s="95">
        <f>SUM(C16:C35)</f>
        <v>8146</v>
      </c>
      <c r="D46" s="95">
        <f t="shared" ref="D46" si="7">SUM(D17:D36)</f>
        <v>0</v>
      </c>
      <c r="E46" s="95">
        <f>SUM(E16:E35)</f>
        <v>3535</v>
      </c>
      <c r="F46" s="96"/>
      <c r="G46" s="97">
        <f>E46/C46</f>
        <v>0.43395531549226612</v>
      </c>
      <c r="H46" s="98">
        <f>SUM(H17:H36)</f>
        <v>44025148</v>
      </c>
      <c r="I46" s="99">
        <f>IFERROR(H46/E46,0)</f>
        <v>12454.072984441302</v>
      </c>
    </row>
    <row r="47" spans="1:11" ht="22" customHeight="1"/>
    <row r="48" spans="1:11" ht="22" customHeight="1"/>
    <row r="49" ht="22" customHeight="1"/>
    <row r="50" ht="22" customHeight="1"/>
    <row r="51" ht="22" customHeight="1"/>
    <row r="52" ht="22" customHeight="1"/>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sheetData>
  <mergeCells count="1">
    <mergeCell ref="B1:I1"/>
  </mergeCells>
  <phoneticPr fontId="7"/>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M999"/>
  <sheetViews>
    <sheetView showGridLines="0" tabSelected="1" zoomScale="70" zoomScaleNormal="70" workbookViewId="0">
      <pane xSplit="24" ySplit="20" topLeftCell="Z21" activePane="bottomRight" state="frozen"/>
      <selection pane="topRight"/>
      <selection pane="bottomLeft"/>
      <selection pane="bottomRight"/>
    </sheetView>
  </sheetViews>
  <sheetFormatPr defaultRowHeight="14.5"/>
  <cols>
    <col min="2" max="2" width="8" customWidth="1"/>
    <col min="3" max="3" width="14" customWidth="1"/>
    <col min="4" max="4" width="34" customWidth="1"/>
    <col min="5" max="5" width="14" hidden="1" customWidth="1"/>
    <col min="6" max="6" width="24" hidden="1" customWidth="1"/>
    <col min="7" max="8" width="12" hidden="1" customWidth="1"/>
    <col min="9" max="9" width="11" hidden="1" customWidth="1"/>
    <col min="10" max="12" width="14" hidden="1" customWidth="1"/>
    <col min="13" max="16" width="11" hidden="1" customWidth="1"/>
    <col min="17" max="17" width="13" hidden="1" customWidth="1"/>
    <col min="18" max="18" width="11" hidden="1" customWidth="1"/>
    <col min="19" max="19" width="12" hidden="1" customWidth="1"/>
    <col min="20" max="23" width="0" hidden="1" customWidth="1"/>
    <col min="24" max="24" width="24" customWidth="1"/>
    <col min="25" max="58" width="10" customWidth="1"/>
  </cols>
  <sheetData>
    <row r="1" spans="2:65" ht="22" customHeight="1">
      <c r="Y1" s="52"/>
      <c r="Z1" s="52"/>
      <c r="AA1" s="52"/>
      <c r="AB1" s="52"/>
      <c r="AC1" s="52"/>
      <c r="AD1" s="52"/>
      <c r="AE1" s="52"/>
      <c r="AF1" s="52"/>
      <c r="AG1" s="52"/>
      <c r="AH1" s="52"/>
      <c r="AI1" s="52"/>
      <c r="AJ1" s="51"/>
      <c r="AK1" s="51"/>
      <c r="AL1" s="51"/>
      <c r="AM1" s="51"/>
      <c r="AN1" s="51"/>
      <c r="AO1" s="51"/>
      <c r="AP1" s="51"/>
      <c r="AQ1" s="51"/>
      <c r="AR1" s="51"/>
      <c r="AS1" s="51"/>
      <c r="AT1" s="51"/>
      <c r="AU1" s="51"/>
      <c r="AV1" s="51"/>
      <c r="AW1" s="51"/>
      <c r="AX1" s="51"/>
      <c r="AY1" s="51"/>
      <c r="AZ1" s="51"/>
      <c r="BA1" s="51"/>
      <c r="BB1" s="51"/>
      <c r="BC1" s="51"/>
      <c r="BD1" s="51"/>
      <c r="BE1" s="51"/>
      <c r="BF1" s="51"/>
      <c r="BG1" s="51"/>
      <c r="BH1" s="51"/>
      <c r="BI1" s="51"/>
      <c r="BJ1" s="51"/>
      <c r="BK1" s="51"/>
      <c r="BL1" s="51"/>
      <c r="BM1" s="51"/>
    </row>
    <row r="2" spans="2:65" ht="24" customHeight="1">
      <c r="Y2" s="13">
        <v>46283</v>
      </c>
      <c r="Z2" s="13">
        <v>46284</v>
      </c>
      <c r="AA2" s="13">
        <v>46285</v>
      </c>
      <c r="AB2" s="13">
        <v>46286</v>
      </c>
      <c r="AC2" s="13">
        <v>46287</v>
      </c>
      <c r="AD2" s="13">
        <v>46288</v>
      </c>
      <c r="AE2" s="13">
        <v>46289</v>
      </c>
      <c r="AF2" s="13">
        <v>46290</v>
      </c>
      <c r="AG2" s="13">
        <v>46291</v>
      </c>
      <c r="AH2" s="13">
        <v>46292</v>
      </c>
      <c r="AI2" s="13">
        <v>46293</v>
      </c>
      <c r="AJ2" s="13">
        <v>46294</v>
      </c>
      <c r="AK2" s="13">
        <v>46295</v>
      </c>
      <c r="AL2" s="13">
        <v>46296</v>
      </c>
      <c r="AM2" s="13">
        <v>46297</v>
      </c>
      <c r="AN2" s="13">
        <v>46298</v>
      </c>
      <c r="AO2" s="13">
        <v>46299</v>
      </c>
      <c r="AP2" s="13">
        <v>46300</v>
      </c>
      <c r="AQ2" s="13">
        <v>46301</v>
      </c>
      <c r="AR2" s="13">
        <v>46302</v>
      </c>
      <c r="AS2" s="13">
        <v>46303</v>
      </c>
      <c r="AT2" s="13">
        <v>46304</v>
      </c>
      <c r="AU2" s="13">
        <v>46305</v>
      </c>
      <c r="AV2" s="13">
        <v>46306</v>
      </c>
      <c r="AW2" s="13">
        <v>46307</v>
      </c>
      <c r="AX2" s="13">
        <v>46308</v>
      </c>
      <c r="AY2" s="13">
        <v>46309</v>
      </c>
      <c r="AZ2" s="13">
        <v>46310</v>
      </c>
      <c r="BA2" s="13">
        <v>46311</v>
      </c>
      <c r="BB2" s="13">
        <v>46312</v>
      </c>
      <c r="BC2" s="13">
        <v>46313</v>
      </c>
      <c r="BD2" s="13">
        <v>46314</v>
      </c>
      <c r="BE2" s="13">
        <v>46315</v>
      </c>
      <c r="BF2" s="14" t="s">
        <v>8</v>
      </c>
    </row>
    <row r="3" spans="2:65" ht="22" customHeight="1">
      <c r="X3" s="15" t="s">
        <v>9</v>
      </c>
      <c r="Y3" s="3">
        <f t="shared" ref="Y3:AZ3" si="0">Y376+Y379</f>
        <v>1142</v>
      </c>
      <c r="Z3" s="3">
        <f t="shared" si="0"/>
        <v>1917</v>
      </c>
      <c r="AA3" s="3">
        <f t="shared" si="0"/>
        <v>1959</v>
      </c>
      <c r="AB3" s="3">
        <f t="shared" si="0"/>
        <v>1506</v>
      </c>
      <c r="AC3" s="3">
        <f t="shared" si="0"/>
        <v>1505</v>
      </c>
      <c r="AD3" s="3">
        <f t="shared" si="0"/>
        <v>1486</v>
      </c>
      <c r="AE3" s="3">
        <f t="shared" si="0"/>
        <v>1420</v>
      </c>
      <c r="AF3" s="3">
        <f t="shared" si="0"/>
        <v>1274</v>
      </c>
      <c r="AG3" s="3">
        <f t="shared" si="0"/>
        <v>2129</v>
      </c>
      <c r="AH3" s="3">
        <f t="shared" si="0"/>
        <v>2977</v>
      </c>
      <c r="AI3" s="3">
        <f t="shared" si="0"/>
        <v>1301</v>
      </c>
      <c r="AJ3" s="3">
        <f t="shared" si="0"/>
        <v>366</v>
      </c>
      <c r="AK3" s="3">
        <f t="shared" si="0"/>
        <v>366</v>
      </c>
      <c r="AL3" s="3">
        <f t="shared" si="0"/>
        <v>366</v>
      </c>
      <c r="AM3" s="3">
        <f t="shared" si="0"/>
        <v>363</v>
      </c>
      <c r="AN3" s="3">
        <f t="shared" si="0"/>
        <v>451</v>
      </c>
      <c r="AO3" s="3">
        <f t="shared" si="0"/>
        <v>524</v>
      </c>
      <c r="AP3" s="3">
        <f t="shared" si="0"/>
        <v>373</v>
      </c>
      <c r="AQ3" s="3">
        <f t="shared" si="0"/>
        <v>380</v>
      </c>
      <c r="AR3" s="3">
        <f t="shared" si="0"/>
        <v>376</v>
      </c>
      <c r="AS3" s="3">
        <f t="shared" si="0"/>
        <v>373</v>
      </c>
      <c r="AT3" s="3">
        <f t="shared" si="0"/>
        <v>367</v>
      </c>
      <c r="AU3" s="3">
        <f t="shared" si="0"/>
        <v>444</v>
      </c>
      <c r="AV3" s="3">
        <f t="shared" si="0"/>
        <v>472</v>
      </c>
      <c r="AW3" s="3">
        <f t="shared" si="0"/>
        <v>481</v>
      </c>
      <c r="AX3" s="3">
        <f t="shared" si="0"/>
        <v>372</v>
      </c>
      <c r="AY3" s="3">
        <f t="shared" si="0"/>
        <v>369</v>
      </c>
      <c r="AZ3" s="3">
        <f t="shared" si="0"/>
        <v>368</v>
      </c>
      <c r="BA3" s="3">
        <f t="shared" ref="BA3:BE3" si="1">BA376+BA379</f>
        <v>364</v>
      </c>
      <c r="BB3" s="3">
        <f t="shared" si="1"/>
        <v>453</v>
      </c>
      <c r="BC3" s="3">
        <f t="shared" si="1"/>
        <v>518</v>
      </c>
      <c r="BD3" s="3">
        <f t="shared" si="1"/>
        <v>366</v>
      </c>
      <c r="BE3" s="3">
        <f t="shared" si="1"/>
        <v>366</v>
      </c>
      <c r="BF3" s="10">
        <f>SUM(Y3:BE3)</f>
        <v>27494</v>
      </c>
    </row>
    <row r="4" spans="2:65" ht="22" customHeight="1">
      <c r="X4" s="15" t="s">
        <v>10</v>
      </c>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0">
        <f>SUM(Y4:BE4)</f>
        <v>0</v>
      </c>
    </row>
    <row r="5" spans="2:65" ht="22" customHeight="1">
      <c r="X5" s="15" t="s">
        <v>11</v>
      </c>
      <c r="Y5" s="3">
        <f t="shared" ref="Y5:BF5" si="2">Y4-Y3</f>
        <v>-1142</v>
      </c>
      <c r="Z5" s="3">
        <f t="shared" si="2"/>
        <v>-1917</v>
      </c>
      <c r="AA5" s="3">
        <f t="shared" si="2"/>
        <v>-1959</v>
      </c>
      <c r="AB5" s="3">
        <f t="shared" si="2"/>
        <v>-1506</v>
      </c>
      <c r="AC5" s="3">
        <f t="shared" si="2"/>
        <v>-1505</v>
      </c>
      <c r="AD5" s="3">
        <f t="shared" si="2"/>
        <v>-1486</v>
      </c>
      <c r="AE5" s="3">
        <f t="shared" si="2"/>
        <v>-1420</v>
      </c>
      <c r="AF5" s="3">
        <f t="shared" si="2"/>
        <v>-1274</v>
      </c>
      <c r="AG5" s="3">
        <f t="shared" si="2"/>
        <v>-2129</v>
      </c>
      <c r="AH5" s="3">
        <f t="shared" si="2"/>
        <v>-2977</v>
      </c>
      <c r="AI5" s="3">
        <f t="shared" si="2"/>
        <v>-1301</v>
      </c>
      <c r="AJ5" s="3">
        <f t="shared" si="2"/>
        <v>-366</v>
      </c>
      <c r="AK5" s="3">
        <f t="shared" si="2"/>
        <v>-366</v>
      </c>
      <c r="AL5" s="3">
        <f t="shared" si="2"/>
        <v>-366</v>
      </c>
      <c r="AM5" s="3">
        <f t="shared" si="2"/>
        <v>-363</v>
      </c>
      <c r="AN5" s="3">
        <f t="shared" si="2"/>
        <v>-451</v>
      </c>
      <c r="AO5" s="3">
        <f t="shared" si="2"/>
        <v>-524</v>
      </c>
      <c r="AP5" s="3">
        <f t="shared" si="2"/>
        <v>-373</v>
      </c>
      <c r="AQ5" s="3">
        <f t="shared" si="2"/>
        <v>-380</v>
      </c>
      <c r="AR5" s="3">
        <f t="shared" si="2"/>
        <v>-376</v>
      </c>
      <c r="AS5" s="3">
        <f t="shared" si="2"/>
        <v>-373</v>
      </c>
      <c r="AT5" s="3">
        <f t="shared" si="2"/>
        <v>-367</v>
      </c>
      <c r="AU5" s="3">
        <f t="shared" si="2"/>
        <v>-444</v>
      </c>
      <c r="AV5" s="3">
        <f t="shared" si="2"/>
        <v>-472</v>
      </c>
      <c r="AW5" s="3">
        <f t="shared" si="2"/>
        <v>-481</v>
      </c>
      <c r="AX5" s="3">
        <f t="shared" si="2"/>
        <v>-372</v>
      </c>
      <c r="AY5" s="3">
        <f t="shared" si="2"/>
        <v>-369</v>
      </c>
      <c r="AZ5" s="3">
        <f t="shared" si="2"/>
        <v>-368</v>
      </c>
      <c r="BA5" s="3">
        <f t="shared" ref="BA5:BE5" si="3">BA4-BA3</f>
        <v>-364</v>
      </c>
      <c r="BB5" s="3">
        <f t="shared" si="3"/>
        <v>-453</v>
      </c>
      <c r="BC5" s="3">
        <f t="shared" si="3"/>
        <v>-518</v>
      </c>
      <c r="BD5" s="3">
        <f t="shared" si="3"/>
        <v>-366</v>
      </c>
      <c r="BE5" s="3">
        <f t="shared" si="3"/>
        <v>-366</v>
      </c>
      <c r="BF5" s="10">
        <f t="shared" si="2"/>
        <v>-27494</v>
      </c>
    </row>
    <row r="6" spans="2:65" ht="22" customHeight="1"/>
    <row r="7" spans="2:65" ht="22" customHeight="1">
      <c r="Y7" s="17">
        <f t="shared" ref="Y7:AZ7" si="4">Y2</f>
        <v>46283</v>
      </c>
      <c r="Z7" s="17">
        <f t="shared" si="4"/>
        <v>46284</v>
      </c>
      <c r="AA7" s="17">
        <f t="shared" si="4"/>
        <v>46285</v>
      </c>
      <c r="AB7" s="17">
        <f t="shared" si="4"/>
        <v>46286</v>
      </c>
      <c r="AC7" s="17">
        <f t="shared" si="4"/>
        <v>46287</v>
      </c>
      <c r="AD7" s="17">
        <f t="shared" si="4"/>
        <v>46288</v>
      </c>
      <c r="AE7" s="17">
        <f t="shared" si="4"/>
        <v>46289</v>
      </c>
      <c r="AF7" s="17">
        <f t="shared" si="4"/>
        <v>46290</v>
      </c>
      <c r="AG7" s="17">
        <f t="shared" si="4"/>
        <v>46291</v>
      </c>
      <c r="AH7" s="17">
        <f t="shared" si="4"/>
        <v>46292</v>
      </c>
      <c r="AI7" s="17">
        <f t="shared" si="4"/>
        <v>46293</v>
      </c>
      <c r="AJ7" s="17">
        <f t="shared" si="4"/>
        <v>46294</v>
      </c>
      <c r="AK7" s="17">
        <f t="shared" si="4"/>
        <v>46295</v>
      </c>
      <c r="AL7" s="17">
        <f t="shared" si="4"/>
        <v>46296</v>
      </c>
      <c r="AM7" s="17">
        <f t="shared" si="4"/>
        <v>46297</v>
      </c>
      <c r="AN7" s="17">
        <f t="shared" si="4"/>
        <v>46298</v>
      </c>
      <c r="AO7" s="17">
        <f t="shared" si="4"/>
        <v>46299</v>
      </c>
      <c r="AP7" s="17">
        <f t="shared" si="4"/>
        <v>46300</v>
      </c>
      <c r="AQ7" s="17">
        <f t="shared" si="4"/>
        <v>46301</v>
      </c>
      <c r="AR7" s="17">
        <f t="shared" si="4"/>
        <v>46302</v>
      </c>
      <c r="AS7" s="17">
        <f t="shared" si="4"/>
        <v>46303</v>
      </c>
      <c r="AT7" s="17">
        <f t="shared" si="4"/>
        <v>46304</v>
      </c>
      <c r="AU7" s="17">
        <f t="shared" si="4"/>
        <v>46305</v>
      </c>
      <c r="AV7" s="17">
        <f t="shared" si="4"/>
        <v>46306</v>
      </c>
      <c r="AW7" s="17">
        <f t="shared" si="4"/>
        <v>46307</v>
      </c>
      <c r="AX7" s="17">
        <f t="shared" si="4"/>
        <v>46308</v>
      </c>
      <c r="AY7" s="17">
        <f t="shared" si="4"/>
        <v>46309</v>
      </c>
      <c r="AZ7" s="17">
        <f t="shared" si="4"/>
        <v>46310</v>
      </c>
      <c r="BA7" s="17">
        <f t="shared" ref="BA7:BE7" si="5">BA2</f>
        <v>46311</v>
      </c>
      <c r="BB7" s="17">
        <f t="shared" si="5"/>
        <v>46312</v>
      </c>
      <c r="BC7" s="17">
        <f t="shared" si="5"/>
        <v>46313</v>
      </c>
      <c r="BD7" s="17">
        <f t="shared" si="5"/>
        <v>46314</v>
      </c>
      <c r="BE7" s="17">
        <f t="shared" si="5"/>
        <v>46315</v>
      </c>
      <c r="BF7" s="14" t="s">
        <v>8</v>
      </c>
    </row>
    <row r="8" spans="2:65" ht="34" customHeight="1">
      <c r="B8" s="18" t="s">
        <v>12</v>
      </c>
      <c r="C8" s="18" t="s">
        <v>13</v>
      </c>
      <c r="D8" s="18" t="s">
        <v>14</v>
      </c>
      <c r="E8" s="18" t="s">
        <v>15</v>
      </c>
      <c r="F8" s="18" t="s">
        <v>16</v>
      </c>
      <c r="G8" s="18" t="s">
        <v>9</v>
      </c>
      <c r="H8" s="18" t="s">
        <v>17</v>
      </c>
      <c r="I8" s="18" t="s">
        <v>18</v>
      </c>
      <c r="J8" s="18" t="s">
        <v>19</v>
      </c>
      <c r="K8" s="18" t="s">
        <v>20</v>
      </c>
      <c r="L8" s="18" t="s">
        <v>21</v>
      </c>
      <c r="M8" s="18" t="s">
        <v>22</v>
      </c>
      <c r="N8" s="18" t="s">
        <v>23</v>
      </c>
      <c r="O8" s="18" t="s">
        <v>24</v>
      </c>
      <c r="P8" s="18" t="s">
        <v>25</v>
      </c>
      <c r="Q8" s="18" t="s">
        <v>26</v>
      </c>
      <c r="R8" s="18" t="s">
        <v>27</v>
      </c>
      <c r="S8" s="18" t="s">
        <v>28</v>
      </c>
      <c r="X8" s="18" t="s">
        <v>29</v>
      </c>
      <c r="Y8" s="19" t="str">
        <f t="shared" ref="Y8:AZ8" si="6">CHOOSE(WEEKDAY(Y7,2),"月","火","水","木","金","土","日")</f>
        <v>金</v>
      </c>
      <c r="Z8" s="89" t="str">
        <f t="shared" si="6"/>
        <v>土</v>
      </c>
      <c r="AA8" s="89" t="str">
        <f t="shared" si="6"/>
        <v>日</v>
      </c>
      <c r="AB8" s="89" t="str">
        <f t="shared" si="6"/>
        <v>月</v>
      </c>
      <c r="AC8" s="89" t="str">
        <f t="shared" si="6"/>
        <v>火</v>
      </c>
      <c r="AD8" s="89" t="str">
        <f t="shared" si="6"/>
        <v>水</v>
      </c>
      <c r="AE8" s="19" t="str">
        <f t="shared" si="6"/>
        <v>木</v>
      </c>
      <c r="AF8" s="19" t="str">
        <f t="shared" si="6"/>
        <v>金</v>
      </c>
      <c r="AG8" s="90" t="str">
        <f t="shared" si="6"/>
        <v>土</v>
      </c>
      <c r="AH8" s="90" t="str">
        <f t="shared" si="6"/>
        <v>日</v>
      </c>
      <c r="AI8" s="19" t="str">
        <f t="shared" si="6"/>
        <v>月</v>
      </c>
      <c r="AJ8" s="19" t="str">
        <f t="shared" si="6"/>
        <v>火</v>
      </c>
      <c r="AK8" s="19" t="str">
        <f t="shared" si="6"/>
        <v>水</v>
      </c>
      <c r="AL8" s="19" t="str">
        <f t="shared" si="6"/>
        <v>木</v>
      </c>
      <c r="AM8" s="19" t="str">
        <f t="shared" si="6"/>
        <v>金</v>
      </c>
      <c r="AN8" s="90" t="str">
        <f t="shared" si="6"/>
        <v>土</v>
      </c>
      <c r="AO8" s="90" t="str">
        <f t="shared" si="6"/>
        <v>日</v>
      </c>
      <c r="AP8" s="19" t="str">
        <f t="shared" si="6"/>
        <v>月</v>
      </c>
      <c r="AQ8" s="19" t="str">
        <f t="shared" si="6"/>
        <v>火</v>
      </c>
      <c r="AR8" s="19" t="str">
        <f t="shared" si="6"/>
        <v>水</v>
      </c>
      <c r="AS8" s="19" t="str">
        <f t="shared" si="6"/>
        <v>木</v>
      </c>
      <c r="AT8" s="19" t="str">
        <f t="shared" si="6"/>
        <v>金</v>
      </c>
      <c r="AU8" s="90" t="str">
        <f t="shared" si="6"/>
        <v>土</v>
      </c>
      <c r="AV8" s="90" t="str">
        <f t="shared" si="6"/>
        <v>日</v>
      </c>
      <c r="AW8" s="90" t="str">
        <f t="shared" si="6"/>
        <v>月</v>
      </c>
      <c r="AX8" s="19" t="str">
        <f t="shared" si="6"/>
        <v>火</v>
      </c>
      <c r="AY8" s="19" t="str">
        <f t="shared" si="6"/>
        <v>水</v>
      </c>
      <c r="AZ8" s="19" t="str">
        <f t="shared" si="6"/>
        <v>木</v>
      </c>
      <c r="BA8" s="19" t="str">
        <f t="shared" ref="BA8:BE8" si="7">CHOOSE(WEEKDAY(BA7,2),"月","火","水","木","金","土","日")</f>
        <v>金</v>
      </c>
      <c r="BB8" s="90" t="str">
        <f t="shared" si="7"/>
        <v>土</v>
      </c>
      <c r="BC8" s="90" t="str">
        <f t="shared" si="7"/>
        <v>日</v>
      </c>
      <c r="BD8" s="19" t="str">
        <f t="shared" si="7"/>
        <v>月</v>
      </c>
      <c r="BE8" s="19" t="str">
        <f t="shared" si="7"/>
        <v>火</v>
      </c>
      <c r="BF8" s="14"/>
    </row>
    <row r="9" spans="2:65" ht="22" customHeight="1">
      <c r="B9" s="20"/>
      <c r="C9" s="20"/>
      <c r="D9" s="120" t="s">
        <v>30</v>
      </c>
      <c r="E9" s="20"/>
      <c r="F9" s="20"/>
      <c r="G9" s="20"/>
      <c r="H9" s="20"/>
      <c r="I9" s="20"/>
      <c r="J9" s="20"/>
      <c r="K9" s="20"/>
      <c r="L9" s="20"/>
      <c r="M9" s="20"/>
      <c r="N9" s="20"/>
      <c r="O9" s="20"/>
      <c r="P9" s="20"/>
      <c r="Q9" s="20"/>
      <c r="R9" s="20"/>
      <c r="S9" s="20"/>
      <c r="T9" s="20"/>
      <c r="U9" s="20"/>
      <c r="V9" s="20"/>
      <c r="W9" s="20"/>
      <c r="X9" s="21" t="s">
        <v>31</v>
      </c>
      <c r="Y9" s="22">
        <f t="shared" ref="Y9:AZ9" si="8">Y376</f>
        <v>894</v>
      </c>
      <c r="Z9" s="22">
        <f t="shared" si="8"/>
        <v>1648</v>
      </c>
      <c r="AA9" s="22">
        <f t="shared" si="8"/>
        <v>1672</v>
      </c>
      <c r="AB9" s="22">
        <f t="shared" si="8"/>
        <v>1241</v>
      </c>
      <c r="AC9" s="22">
        <f t="shared" si="8"/>
        <v>1211</v>
      </c>
      <c r="AD9" s="22">
        <f t="shared" si="8"/>
        <v>1213</v>
      </c>
      <c r="AE9" s="22">
        <f t="shared" si="8"/>
        <v>1158</v>
      </c>
      <c r="AF9" s="22">
        <f t="shared" si="8"/>
        <v>1001</v>
      </c>
      <c r="AG9" s="22">
        <f t="shared" si="8"/>
        <v>1849</v>
      </c>
      <c r="AH9" s="22">
        <f>AH376</f>
        <v>2695</v>
      </c>
      <c r="AI9" s="22">
        <f t="shared" si="8"/>
        <v>1064</v>
      </c>
      <c r="AJ9" s="22">
        <f t="shared" si="8"/>
        <v>225</v>
      </c>
      <c r="AK9" s="22">
        <f t="shared" si="8"/>
        <v>225</v>
      </c>
      <c r="AL9" s="22">
        <f t="shared" si="8"/>
        <v>225</v>
      </c>
      <c r="AM9" s="22">
        <f t="shared" si="8"/>
        <v>222</v>
      </c>
      <c r="AN9" s="22">
        <f t="shared" si="8"/>
        <v>301</v>
      </c>
      <c r="AO9" s="22">
        <f t="shared" si="8"/>
        <v>376</v>
      </c>
      <c r="AP9" s="22">
        <f t="shared" si="8"/>
        <v>237</v>
      </c>
      <c r="AQ9" s="22">
        <f t="shared" si="8"/>
        <v>241</v>
      </c>
      <c r="AR9" s="22">
        <f t="shared" si="8"/>
        <v>240</v>
      </c>
      <c r="AS9" s="22">
        <f t="shared" si="8"/>
        <v>239</v>
      </c>
      <c r="AT9" s="22">
        <f t="shared" si="8"/>
        <v>236</v>
      </c>
      <c r="AU9" s="22">
        <f t="shared" si="8"/>
        <v>306</v>
      </c>
      <c r="AV9" s="22">
        <f t="shared" si="8"/>
        <v>336</v>
      </c>
      <c r="AW9" s="22">
        <f t="shared" si="8"/>
        <v>346</v>
      </c>
      <c r="AX9" s="22">
        <f t="shared" si="8"/>
        <v>237</v>
      </c>
      <c r="AY9" s="22">
        <f t="shared" si="8"/>
        <v>236</v>
      </c>
      <c r="AZ9" s="22">
        <f t="shared" si="8"/>
        <v>235</v>
      </c>
      <c r="BA9" s="22">
        <f t="shared" ref="BA9:BE9" si="9">BA376</f>
        <v>231</v>
      </c>
      <c r="BB9" s="22">
        <f t="shared" si="9"/>
        <v>308</v>
      </c>
      <c r="BC9" s="22">
        <f t="shared" si="9"/>
        <v>367</v>
      </c>
      <c r="BD9" s="22">
        <f t="shared" si="9"/>
        <v>234</v>
      </c>
      <c r="BE9" s="22">
        <f t="shared" si="9"/>
        <v>234</v>
      </c>
      <c r="BF9" s="10">
        <f>SUM(Y9:BE9)</f>
        <v>21483</v>
      </c>
    </row>
    <row r="10" spans="2:65" ht="22" customHeight="1">
      <c r="B10" s="20"/>
      <c r="C10" s="20"/>
      <c r="D10" s="121"/>
      <c r="E10" s="20"/>
      <c r="F10" s="20"/>
      <c r="G10" s="20"/>
      <c r="H10" s="20"/>
      <c r="I10" s="20"/>
      <c r="J10" s="20"/>
      <c r="K10" s="20"/>
      <c r="L10" s="20"/>
      <c r="M10" s="20"/>
      <c r="N10" s="20"/>
      <c r="O10" s="20"/>
      <c r="P10" s="20"/>
      <c r="Q10" s="20"/>
      <c r="R10" s="20"/>
      <c r="S10" s="20"/>
      <c r="T10" s="20"/>
      <c r="U10" s="20"/>
      <c r="V10" s="20"/>
      <c r="W10" s="20"/>
      <c r="X10" s="21" t="s">
        <v>10</v>
      </c>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10">
        <f>SUM(Y10:BE10)</f>
        <v>0</v>
      </c>
    </row>
    <row r="11" spans="2:65" ht="22" customHeight="1">
      <c r="B11" s="20"/>
      <c r="C11" s="20"/>
      <c r="D11" s="121"/>
      <c r="E11" s="20"/>
      <c r="F11" s="20"/>
      <c r="G11" s="20"/>
      <c r="H11" s="20"/>
      <c r="I11" s="20"/>
      <c r="J11" s="20"/>
      <c r="K11" s="20"/>
      <c r="L11" s="20"/>
      <c r="M11" s="20"/>
      <c r="N11" s="20"/>
      <c r="O11" s="20"/>
      <c r="P11" s="20"/>
      <c r="Q11" s="20"/>
      <c r="R11" s="20"/>
      <c r="S11" s="20"/>
      <c r="T11" s="20"/>
      <c r="U11" s="20"/>
      <c r="V11" s="20"/>
      <c r="W11" s="20"/>
      <c r="X11" s="21" t="s">
        <v>11</v>
      </c>
      <c r="Y11" s="22">
        <f t="shared" ref="Y11:BF11" si="10">Y10-Y9</f>
        <v>-894</v>
      </c>
      <c r="Z11" s="22">
        <f t="shared" si="10"/>
        <v>-1648</v>
      </c>
      <c r="AA11" s="22">
        <f t="shared" si="10"/>
        <v>-1672</v>
      </c>
      <c r="AB11" s="22">
        <f t="shared" si="10"/>
        <v>-1241</v>
      </c>
      <c r="AC11" s="22">
        <f t="shared" si="10"/>
        <v>-1211</v>
      </c>
      <c r="AD11" s="22">
        <f t="shared" si="10"/>
        <v>-1213</v>
      </c>
      <c r="AE11" s="22">
        <f t="shared" si="10"/>
        <v>-1158</v>
      </c>
      <c r="AF11" s="22">
        <f t="shared" si="10"/>
        <v>-1001</v>
      </c>
      <c r="AG11" s="22">
        <f t="shared" si="10"/>
        <v>-1849</v>
      </c>
      <c r="AH11" s="22">
        <f t="shared" si="10"/>
        <v>-2695</v>
      </c>
      <c r="AI11" s="22">
        <f t="shared" si="10"/>
        <v>-1064</v>
      </c>
      <c r="AJ11" s="22">
        <f t="shared" si="10"/>
        <v>-225</v>
      </c>
      <c r="AK11" s="22">
        <f t="shared" si="10"/>
        <v>-225</v>
      </c>
      <c r="AL11" s="22">
        <f t="shared" si="10"/>
        <v>-225</v>
      </c>
      <c r="AM11" s="22">
        <f t="shared" si="10"/>
        <v>-222</v>
      </c>
      <c r="AN11" s="22">
        <f t="shared" si="10"/>
        <v>-301</v>
      </c>
      <c r="AO11" s="22">
        <f t="shared" si="10"/>
        <v>-376</v>
      </c>
      <c r="AP11" s="22">
        <f t="shared" si="10"/>
        <v>-237</v>
      </c>
      <c r="AQ11" s="22">
        <f t="shared" si="10"/>
        <v>-241</v>
      </c>
      <c r="AR11" s="22">
        <f t="shared" si="10"/>
        <v>-240</v>
      </c>
      <c r="AS11" s="22">
        <f t="shared" si="10"/>
        <v>-239</v>
      </c>
      <c r="AT11" s="22">
        <f t="shared" si="10"/>
        <v>-236</v>
      </c>
      <c r="AU11" s="22">
        <f t="shared" si="10"/>
        <v>-306</v>
      </c>
      <c r="AV11" s="22">
        <f t="shared" si="10"/>
        <v>-336</v>
      </c>
      <c r="AW11" s="22">
        <f t="shared" si="10"/>
        <v>-346</v>
      </c>
      <c r="AX11" s="22">
        <f t="shared" si="10"/>
        <v>-237</v>
      </c>
      <c r="AY11" s="22">
        <f t="shared" si="10"/>
        <v>-236</v>
      </c>
      <c r="AZ11" s="22">
        <f t="shared" si="10"/>
        <v>-235</v>
      </c>
      <c r="BA11" s="22">
        <f t="shared" ref="BA11:BE11" si="11">BA10-BA9</f>
        <v>-231</v>
      </c>
      <c r="BB11" s="22">
        <f t="shared" si="11"/>
        <v>-308</v>
      </c>
      <c r="BC11" s="22">
        <f t="shared" si="11"/>
        <v>-367</v>
      </c>
      <c r="BD11" s="22">
        <f t="shared" si="11"/>
        <v>-234</v>
      </c>
      <c r="BE11" s="22">
        <f t="shared" si="11"/>
        <v>-234</v>
      </c>
      <c r="BF11" s="10">
        <f t="shared" si="10"/>
        <v>-21483</v>
      </c>
    </row>
    <row r="12" spans="2:65" ht="22" customHeight="1">
      <c r="B12" s="20"/>
      <c r="C12" s="20"/>
      <c r="D12" s="120" t="s">
        <v>32</v>
      </c>
      <c r="E12" s="20"/>
      <c r="F12" s="20"/>
      <c r="G12" s="20"/>
      <c r="H12" s="20"/>
      <c r="I12" s="20"/>
      <c r="J12" s="20"/>
      <c r="K12" s="20"/>
      <c r="L12" s="20"/>
      <c r="M12" s="20"/>
      <c r="N12" s="20"/>
      <c r="O12" s="20"/>
      <c r="P12" s="20"/>
      <c r="Q12" s="20"/>
      <c r="R12" s="20"/>
      <c r="S12" s="20"/>
      <c r="T12" s="20"/>
      <c r="U12" s="20"/>
      <c r="V12" s="20"/>
      <c r="W12" s="20"/>
      <c r="X12" s="21" t="s">
        <v>31</v>
      </c>
      <c r="Y12" s="22">
        <f t="shared" ref="Y12:AZ12" si="12">Y379</f>
        <v>248</v>
      </c>
      <c r="Z12" s="22">
        <f t="shared" si="12"/>
        <v>269</v>
      </c>
      <c r="AA12" s="22">
        <f t="shared" si="12"/>
        <v>287</v>
      </c>
      <c r="AB12" s="22">
        <f t="shared" si="12"/>
        <v>265</v>
      </c>
      <c r="AC12" s="22">
        <f t="shared" si="12"/>
        <v>294</v>
      </c>
      <c r="AD12" s="22">
        <f t="shared" si="12"/>
        <v>273</v>
      </c>
      <c r="AE12" s="22">
        <f t="shared" si="12"/>
        <v>262</v>
      </c>
      <c r="AF12" s="22">
        <f t="shared" si="12"/>
        <v>273</v>
      </c>
      <c r="AG12" s="22">
        <f t="shared" si="12"/>
        <v>280</v>
      </c>
      <c r="AH12" s="22">
        <f t="shared" si="12"/>
        <v>282</v>
      </c>
      <c r="AI12" s="22">
        <f t="shared" si="12"/>
        <v>237</v>
      </c>
      <c r="AJ12" s="22">
        <f t="shared" si="12"/>
        <v>141</v>
      </c>
      <c r="AK12" s="22">
        <f t="shared" si="12"/>
        <v>141</v>
      </c>
      <c r="AL12" s="22">
        <f t="shared" si="12"/>
        <v>141</v>
      </c>
      <c r="AM12" s="22">
        <f t="shared" si="12"/>
        <v>141</v>
      </c>
      <c r="AN12" s="22">
        <f t="shared" si="12"/>
        <v>150</v>
      </c>
      <c r="AO12" s="22">
        <f t="shared" si="12"/>
        <v>148</v>
      </c>
      <c r="AP12" s="22">
        <f t="shared" si="12"/>
        <v>136</v>
      </c>
      <c r="AQ12" s="22">
        <f t="shared" si="12"/>
        <v>139</v>
      </c>
      <c r="AR12" s="22">
        <f t="shared" si="12"/>
        <v>136</v>
      </c>
      <c r="AS12" s="22">
        <f t="shared" si="12"/>
        <v>134</v>
      </c>
      <c r="AT12" s="22">
        <f t="shared" si="12"/>
        <v>131</v>
      </c>
      <c r="AU12" s="22">
        <f t="shared" si="12"/>
        <v>138</v>
      </c>
      <c r="AV12" s="22">
        <f t="shared" si="12"/>
        <v>136</v>
      </c>
      <c r="AW12" s="22">
        <f t="shared" si="12"/>
        <v>135</v>
      </c>
      <c r="AX12" s="22">
        <f t="shared" si="12"/>
        <v>135</v>
      </c>
      <c r="AY12" s="22">
        <f t="shared" si="12"/>
        <v>133</v>
      </c>
      <c r="AZ12" s="22">
        <f t="shared" si="12"/>
        <v>133</v>
      </c>
      <c r="BA12" s="22">
        <f t="shared" ref="BA12:BE12" si="13">BA379</f>
        <v>133</v>
      </c>
      <c r="BB12" s="22">
        <f t="shared" si="13"/>
        <v>145</v>
      </c>
      <c r="BC12" s="22">
        <f t="shared" si="13"/>
        <v>151</v>
      </c>
      <c r="BD12" s="22">
        <f t="shared" si="13"/>
        <v>132</v>
      </c>
      <c r="BE12" s="22">
        <f t="shared" si="13"/>
        <v>132</v>
      </c>
      <c r="BF12" s="10">
        <f>SUM(Y12:BE12)</f>
        <v>6011</v>
      </c>
    </row>
    <row r="13" spans="2:65" ht="22" customHeight="1">
      <c r="B13" s="20"/>
      <c r="C13" s="20"/>
      <c r="D13" s="121"/>
      <c r="E13" s="20"/>
      <c r="F13" s="20"/>
      <c r="G13" s="20"/>
      <c r="H13" s="20"/>
      <c r="I13" s="20"/>
      <c r="J13" s="20"/>
      <c r="K13" s="20"/>
      <c r="L13" s="20"/>
      <c r="M13" s="20"/>
      <c r="N13" s="20"/>
      <c r="O13" s="20"/>
      <c r="P13" s="20"/>
      <c r="Q13" s="20"/>
      <c r="R13" s="20"/>
      <c r="S13" s="20"/>
      <c r="T13" s="20"/>
      <c r="U13" s="20"/>
      <c r="V13" s="20"/>
      <c r="W13" s="20"/>
      <c r="X13" s="21" t="s">
        <v>10</v>
      </c>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10">
        <f>SUM(Y13:BE13)</f>
        <v>0</v>
      </c>
    </row>
    <row r="14" spans="2:65" ht="22" customHeight="1">
      <c r="B14" s="20"/>
      <c r="C14" s="20"/>
      <c r="D14" s="121"/>
      <c r="E14" s="20"/>
      <c r="F14" s="20"/>
      <c r="G14" s="20"/>
      <c r="H14" s="20"/>
      <c r="I14" s="20"/>
      <c r="J14" s="20"/>
      <c r="K14" s="20"/>
      <c r="L14" s="20"/>
      <c r="M14" s="20"/>
      <c r="N14" s="20"/>
      <c r="O14" s="20"/>
      <c r="P14" s="20"/>
      <c r="Q14" s="20"/>
      <c r="R14" s="20"/>
      <c r="S14" s="20"/>
      <c r="T14" s="20"/>
      <c r="U14" s="20"/>
      <c r="V14" s="20"/>
      <c r="W14" s="20"/>
      <c r="X14" s="21" t="s">
        <v>11</v>
      </c>
      <c r="Y14" s="22">
        <f t="shared" ref="Y14:BF14" si="14">Y13-Y12</f>
        <v>-248</v>
      </c>
      <c r="Z14" s="22">
        <f t="shared" si="14"/>
        <v>-269</v>
      </c>
      <c r="AA14" s="22">
        <f t="shared" si="14"/>
        <v>-287</v>
      </c>
      <c r="AB14" s="22">
        <f t="shared" si="14"/>
        <v>-265</v>
      </c>
      <c r="AC14" s="22">
        <f t="shared" si="14"/>
        <v>-294</v>
      </c>
      <c r="AD14" s="22">
        <f t="shared" si="14"/>
        <v>-273</v>
      </c>
      <c r="AE14" s="22">
        <f t="shared" si="14"/>
        <v>-262</v>
      </c>
      <c r="AF14" s="22">
        <f t="shared" si="14"/>
        <v>-273</v>
      </c>
      <c r="AG14" s="22">
        <f t="shared" si="14"/>
        <v>-280</v>
      </c>
      <c r="AH14" s="22">
        <f t="shared" si="14"/>
        <v>-282</v>
      </c>
      <c r="AI14" s="22">
        <f t="shared" si="14"/>
        <v>-237</v>
      </c>
      <c r="AJ14" s="22">
        <f t="shared" si="14"/>
        <v>-141</v>
      </c>
      <c r="AK14" s="22">
        <f t="shared" si="14"/>
        <v>-141</v>
      </c>
      <c r="AL14" s="22">
        <f t="shared" si="14"/>
        <v>-141</v>
      </c>
      <c r="AM14" s="22">
        <f t="shared" si="14"/>
        <v>-141</v>
      </c>
      <c r="AN14" s="22">
        <f t="shared" si="14"/>
        <v>-150</v>
      </c>
      <c r="AO14" s="22">
        <f t="shared" si="14"/>
        <v>-148</v>
      </c>
      <c r="AP14" s="22">
        <f t="shared" si="14"/>
        <v>-136</v>
      </c>
      <c r="AQ14" s="22">
        <f t="shared" si="14"/>
        <v>-139</v>
      </c>
      <c r="AR14" s="22">
        <f t="shared" si="14"/>
        <v>-136</v>
      </c>
      <c r="AS14" s="22">
        <f t="shared" si="14"/>
        <v>-134</v>
      </c>
      <c r="AT14" s="22">
        <f t="shared" si="14"/>
        <v>-131</v>
      </c>
      <c r="AU14" s="22">
        <f t="shared" si="14"/>
        <v>-138</v>
      </c>
      <c r="AV14" s="22">
        <f t="shared" si="14"/>
        <v>-136</v>
      </c>
      <c r="AW14" s="22">
        <f t="shared" si="14"/>
        <v>-135</v>
      </c>
      <c r="AX14" s="22">
        <f t="shared" si="14"/>
        <v>-135</v>
      </c>
      <c r="AY14" s="22">
        <f t="shared" si="14"/>
        <v>-133</v>
      </c>
      <c r="AZ14" s="22">
        <f t="shared" si="14"/>
        <v>-133</v>
      </c>
      <c r="BA14" s="22">
        <f t="shared" ref="BA14:BE14" si="15">BA13-BA12</f>
        <v>-133</v>
      </c>
      <c r="BB14" s="22">
        <f t="shared" si="15"/>
        <v>-145</v>
      </c>
      <c r="BC14" s="22">
        <f t="shared" si="15"/>
        <v>-151</v>
      </c>
      <c r="BD14" s="22">
        <f t="shared" si="15"/>
        <v>-132</v>
      </c>
      <c r="BE14" s="22">
        <f t="shared" si="15"/>
        <v>-132</v>
      </c>
      <c r="BF14" s="10">
        <f t="shared" si="14"/>
        <v>-6011</v>
      </c>
    </row>
    <row r="15" spans="2:65" ht="22" customHeight="1">
      <c r="B15" s="20"/>
      <c r="C15" s="20"/>
      <c r="D15" s="120" t="s">
        <v>33</v>
      </c>
      <c r="E15" s="20"/>
      <c r="F15" s="20"/>
      <c r="G15" s="20"/>
      <c r="H15" s="20"/>
      <c r="I15" s="20"/>
      <c r="J15" s="20"/>
      <c r="K15" s="20"/>
      <c r="L15" s="20"/>
      <c r="M15" s="20"/>
      <c r="N15" s="20"/>
      <c r="O15" s="20"/>
      <c r="P15" s="20"/>
      <c r="Q15" s="20"/>
      <c r="R15" s="20"/>
      <c r="S15" s="20"/>
      <c r="T15" s="20"/>
      <c r="U15" s="20"/>
      <c r="V15" s="20"/>
      <c r="W15" s="20"/>
      <c r="X15" s="21" t="s">
        <v>31</v>
      </c>
      <c r="Y15" s="22">
        <f>0</f>
        <v>0</v>
      </c>
      <c r="Z15" s="22">
        <f>0</f>
        <v>0</v>
      </c>
      <c r="AA15" s="22">
        <f>0</f>
        <v>0</v>
      </c>
      <c r="AB15" s="22">
        <f>0</f>
        <v>0</v>
      </c>
      <c r="AC15" s="22">
        <f>0</f>
        <v>0</v>
      </c>
      <c r="AD15" s="22">
        <f>0</f>
        <v>0</v>
      </c>
      <c r="AE15" s="22">
        <f>0</f>
        <v>0</v>
      </c>
      <c r="AF15" s="22">
        <f>0</f>
        <v>0</v>
      </c>
      <c r="AG15" s="22">
        <f>0</f>
        <v>0</v>
      </c>
      <c r="AH15" s="22">
        <f>0</f>
        <v>0</v>
      </c>
      <c r="AI15" s="22">
        <f>0</f>
        <v>0</v>
      </c>
      <c r="AJ15" s="22">
        <f>0</f>
        <v>0</v>
      </c>
      <c r="AK15" s="22">
        <f>0</f>
        <v>0</v>
      </c>
      <c r="AL15" s="22">
        <f>0</f>
        <v>0</v>
      </c>
      <c r="AM15" s="22">
        <f>0</f>
        <v>0</v>
      </c>
      <c r="AN15" s="22">
        <f>0</f>
        <v>0</v>
      </c>
      <c r="AO15" s="22">
        <f>0</f>
        <v>0</v>
      </c>
      <c r="AP15" s="22">
        <f>0</f>
        <v>0</v>
      </c>
      <c r="AQ15" s="22">
        <f>0</f>
        <v>0</v>
      </c>
      <c r="AR15" s="22">
        <f>0</f>
        <v>0</v>
      </c>
      <c r="AS15" s="22">
        <f>0</f>
        <v>0</v>
      </c>
      <c r="AT15" s="22">
        <f>0</f>
        <v>0</v>
      </c>
      <c r="AU15" s="22">
        <f>0</f>
        <v>0</v>
      </c>
      <c r="AV15" s="22">
        <f>0</f>
        <v>0</v>
      </c>
      <c r="AW15" s="22">
        <f>0</f>
        <v>0</v>
      </c>
      <c r="AX15" s="22">
        <f>0</f>
        <v>0</v>
      </c>
      <c r="AY15" s="22">
        <f>0</f>
        <v>0</v>
      </c>
      <c r="AZ15" s="22">
        <f>0</f>
        <v>0</v>
      </c>
      <c r="BA15" s="22">
        <f>0</f>
        <v>0</v>
      </c>
      <c r="BB15" s="22">
        <f>0</f>
        <v>0</v>
      </c>
      <c r="BC15" s="22">
        <f>0</f>
        <v>0</v>
      </c>
      <c r="BD15" s="22">
        <f>0</f>
        <v>0</v>
      </c>
      <c r="BE15" s="22">
        <f>0</f>
        <v>0</v>
      </c>
      <c r="BF15" s="10">
        <f t="shared" ref="BF15:BF16" si="16">SUM(Y15:BE15)</f>
        <v>0</v>
      </c>
    </row>
    <row r="16" spans="2:65" ht="22" customHeight="1">
      <c r="B16" s="20"/>
      <c r="C16" s="20"/>
      <c r="D16" s="121"/>
      <c r="E16" s="20"/>
      <c r="F16" s="20"/>
      <c r="G16" s="20"/>
      <c r="H16" s="20"/>
      <c r="I16" s="20"/>
      <c r="J16" s="20"/>
      <c r="K16" s="20"/>
      <c r="L16" s="20"/>
      <c r="M16" s="20"/>
      <c r="N16" s="20"/>
      <c r="O16" s="20"/>
      <c r="P16" s="20"/>
      <c r="Q16" s="20"/>
      <c r="R16" s="20"/>
      <c r="S16" s="20"/>
      <c r="T16" s="20"/>
      <c r="U16" s="20"/>
      <c r="V16" s="20"/>
      <c r="W16" s="20"/>
      <c r="X16" s="21" t="s">
        <v>10</v>
      </c>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10">
        <f t="shared" si="16"/>
        <v>0</v>
      </c>
    </row>
    <row r="17" spans="2:58" ht="22" customHeight="1">
      <c r="B17" s="20"/>
      <c r="C17" s="20"/>
      <c r="D17" s="121"/>
      <c r="E17" s="20"/>
      <c r="F17" s="20"/>
      <c r="G17" s="20"/>
      <c r="H17" s="20"/>
      <c r="I17" s="20"/>
      <c r="J17" s="20"/>
      <c r="K17" s="20"/>
      <c r="L17" s="20"/>
      <c r="M17" s="20"/>
      <c r="N17" s="20"/>
      <c r="O17" s="20"/>
      <c r="P17" s="20"/>
      <c r="Q17" s="20"/>
      <c r="R17" s="20"/>
      <c r="S17" s="20"/>
      <c r="T17" s="20"/>
      <c r="U17" s="20"/>
      <c r="V17" s="20"/>
      <c r="W17" s="20"/>
      <c r="X17" s="21" t="s">
        <v>11</v>
      </c>
      <c r="Y17" s="22">
        <f t="shared" ref="Y17:BF17" si="17">Y16-Y15</f>
        <v>0</v>
      </c>
      <c r="Z17" s="22">
        <f t="shared" si="17"/>
        <v>0</v>
      </c>
      <c r="AA17" s="22">
        <f t="shared" si="17"/>
        <v>0</v>
      </c>
      <c r="AB17" s="22">
        <f t="shared" si="17"/>
        <v>0</v>
      </c>
      <c r="AC17" s="22">
        <f t="shared" si="17"/>
        <v>0</v>
      </c>
      <c r="AD17" s="22">
        <f t="shared" si="17"/>
        <v>0</v>
      </c>
      <c r="AE17" s="22">
        <f t="shared" si="17"/>
        <v>0</v>
      </c>
      <c r="AF17" s="22">
        <f t="shared" si="17"/>
        <v>0</v>
      </c>
      <c r="AG17" s="22">
        <f t="shared" si="17"/>
        <v>0</v>
      </c>
      <c r="AH17" s="22">
        <f t="shared" si="17"/>
        <v>0</v>
      </c>
      <c r="AI17" s="22">
        <f t="shared" si="17"/>
        <v>0</v>
      </c>
      <c r="AJ17" s="22">
        <f t="shared" si="17"/>
        <v>0</v>
      </c>
      <c r="AK17" s="22">
        <f t="shared" si="17"/>
        <v>0</v>
      </c>
      <c r="AL17" s="22">
        <f t="shared" si="17"/>
        <v>0</v>
      </c>
      <c r="AM17" s="22">
        <f t="shared" si="17"/>
        <v>0</v>
      </c>
      <c r="AN17" s="22">
        <f t="shared" si="17"/>
        <v>0</v>
      </c>
      <c r="AO17" s="22">
        <f t="shared" si="17"/>
        <v>0</v>
      </c>
      <c r="AP17" s="22">
        <f t="shared" si="17"/>
        <v>0</v>
      </c>
      <c r="AQ17" s="22">
        <f t="shared" si="17"/>
        <v>0</v>
      </c>
      <c r="AR17" s="22">
        <f t="shared" si="17"/>
        <v>0</v>
      </c>
      <c r="AS17" s="22">
        <f t="shared" si="17"/>
        <v>0</v>
      </c>
      <c r="AT17" s="22">
        <f t="shared" si="17"/>
        <v>0</v>
      </c>
      <c r="AU17" s="22">
        <f t="shared" si="17"/>
        <v>0</v>
      </c>
      <c r="AV17" s="22">
        <f t="shared" si="17"/>
        <v>0</v>
      </c>
      <c r="AW17" s="22">
        <f t="shared" si="17"/>
        <v>0</v>
      </c>
      <c r="AX17" s="22">
        <f t="shared" si="17"/>
        <v>0</v>
      </c>
      <c r="AY17" s="22">
        <f t="shared" si="17"/>
        <v>0</v>
      </c>
      <c r="AZ17" s="22">
        <f t="shared" si="17"/>
        <v>0</v>
      </c>
      <c r="BA17" s="22">
        <f t="shared" ref="BA17:BE17" si="18">BA16-BA15</f>
        <v>0</v>
      </c>
      <c r="BB17" s="22">
        <f t="shared" si="18"/>
        <v>0</v>
      </c>
      <c r="BC17" s="22">
        <f t="shared" si="18"/>
        <v>0</v>
      </c>
      <c r="BD17" s="22">
        <f t="shared" si="18"/>
        <v>0</v>
      </c>
      <c r="BE17" s="22">
        <f t="shared" si="18"/>
        <v>0</v>
      </c>
      <c r="BF17" s="10">
        <f t="shared" si="17"/>
        <v>0</v>
      </c>
    </row>
    <row r="18" spans="2:58" ht="22" customHeight="1">
      <c r="B18" s="20"/>
      <c r="C18" s="20"/>
      <c r="D18" s="120" t="s">
        <v>34</v>
      </c>
      <c r="E18" s="20"/>
      <c r="F18" s="20"/>
      <c r="G18" s="20"/>
      <c r="H18" s="20"/>
      <c r="I18" s="20"/>
      <c r="J18" s="20"/>
      <c r="K18" s="20"/>
      <c r="L18" s="20"/>
      <c r="M18" s="20"/>
      <c r="N18" s="20"/>
      <c r="O18" s="20"/>
      <c r="P18" s="20"/>
      <c r="Q18" s="20"/>
      <c r="R18" s="20"/>
      <c r="S18" s="20"/>
      <c r="T18" s="20"/>
      <c r="U18" s="20"/>
      <c r="V18" s="20"/>
      <c r="W18" s="20"/>
      <c r="X18" s="21" t="s">
        <v>31</v>
      </c>
      <c r="Y18" s="24">
        <v>2</v>
      </c>
      <c r="Z18" s="24">
        <v>2</v>
      </c>
      <c r="AA18" s="24">
        <v>2</v>
      </c>
      <c r="AB18" s="24">
        <v>2</v>
      </c>
      <c r="AC18" s="24">
        <v>2</v>
      </c>
      <c r="AD18" s="24">
        <v>2</v>
      </c>
      <c r="AE18" s="24">
        <v>2</v>
      </c>
      <c r="AF18" s="24">
        <v>2</v>
      </c>
      <c r="AG18" s="24">
        <v>2</v>
      </c>
      <c r="AH18" s="24">
        <v>2</v>
      </c>
      <c r="AI18" s="24">
        <v>2</v>
      </c>
      <c r="AJ18" s="24">
        <v>2</v>
      </c>
      <c r="AK18" s="24">
        <v>2</v>
      </c>
      <c r="AL18" s="24">
        <v>2</v>
      </c>
      <c r="AM18" s="24">
        <v>2</v>
      </c>
      <c r="AN18" s="24">
        <v>2</v>
      </c>
      <c r="AO18" s="24">
        <v>2</v>
      </c>
      <c r="AP18" s="24">
        <v>2</v>
      </c>
      <c r="AQ18" s="24">
        <v>2</v>
      </c>
      <c r="AR18" s="24">
        <v>2</v>
      </c>
      <c r="AS18" s="24">
        <v>2</v>
      </c>
      <c r="AT18" s="24">
        <v>2</v>
      </c>
      <c r="AU18" s="24">
        <v>2</v>
      </c>
      <c r="AV18" s="24">
        <v>2</v>
      </c>
      <c r="AW18" s="24">
        <v>2</v>
      </c>
      <c r="AX18" s="24">
        <v>2</v>
      </c>
      <c r="AY18" s="24">
        <v>2</v>
      </c>
      <c r="AZ18" s="24">
        <v>2</v>
      </c>
      <c r="BA18" s="24">
        <v>2</v>
      </c>
      <c r="BB18" s="24">
        <v>2</v>
      </c>
      <c r="BC18" s="24">
        <v>2</v>
      </c>
      <c r="BD18" s="24">
        <v>2</v>
      </c>
      <c r="BE18" s="24">
        <v>2</v>
      </c>
      <c r="BF18" s="10">
        <f>SUM(Y18:BE18)</f>
        <v>66</v>
      </c>
    </row>
    <row r="19" spans="2:58" ht="22" customHeight="1">
      <c r="B19" s="20"/>
      <c r="C19" s="20"/>
      <c r="D19" s="121"/>
      <c r="E19" s="20"/>
      <c r="F19" s="20"/>
      <c r="G19" s="20"/>
      <c r="H19" s="20"/>
      <c r="I19" s="20"/>
      <c r="J19" s="20"/>
      <c r="K19" s="20"/>
      <c r="L19" s="20"/>
      <c r="M19" s="20"/>
      <c r="N19" s="20"/>
      <c r="O19" s="20"/>
      <c r="P19" s="20"/>
      <c r="Q19" s="20"/>
      <c r="R19" s="20"/>
      <c r="S19" s="20"/>
      <c r="T19" s="20"/>
      <c r="U19" s="20"/>
      <c r="V19" s="20"/>
      <c r="W19" s="20"/>
      <c r="X19" s="21" t="s">
        <v>10</v>
      </c>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10">
        <f>SUM(Y19:BE19)</f>
        <v>0</v>
      </c>
    </row>
    <row r="20" spans="2:58" ht="22" customHeight="1">
      <c r="B20" s="20"/>
      <c r="C20" s="20"/>
      <c r="D20" s="121"/>
      <c r="E20" s="20"/>
      <c r="F20" s="20"/>
      <c r="G20" s="20"/>
      <c r="H20" s="20"/>
      <c r="I20" s="20"/>
      <c r="J20" s="20"/>
      <c r="K20" s="20"/>
      <c r="L20" s="20"/>
      <c r="M20" s="20"/>
      <c r="N20" s="20"/>
      <c r="O20" s="20"/>
      <c r="P20" s="20"/>
      <c r="Q20" s="20"/>
      <c r="R20" s="20"/>
      <c r="S20" s="20"/>
      <c r="T20" s="20"/>
      <c r="U20" s="20"/>
      <c r="V20" s="20"/>
      <c r="W20" s="20"/>
      <c r="X20" s="21" t="s">
        <v>11</v>
      </c>
      <c r="Y20" s="22">
        <f t="shared" ref="Y20:BF20" si="19">Y19-Y18</f>
        <v>-2</v>
      </c>
      <c r="Z20" s="22">
        <f t="shared" si="19"/>
        <v>-2</v>
      </c>
      <c r="AA20" s="22">
        <f t="shared" si="19"/>
        <v>-2</v>
      </c>
      <c r="AB20" s="22">
        <f t="shared" si="19"/>
        <v>-2</v>
      </c>
      <c r="AC20" s="22">
        <f t="shared" si="19"/>
        <v>-2</v>
      </c>
      <c r="AD20" s="22">
        <f t="shared" si="19"/>
        <v>-2</v>
      </c>
      <c r="AE20" s="22">
        <f t="shared" si="19"/>
        <v>-2</v>
      </c>
      <c r="AF20" s="22">
        <f t="shared" si="19"/>
        <v>-2</v>
      </c>
      <c r="AG20" s="22">
        <f t="shared" si="19"/>
        <v>-2</v>
      </c>
      <c r="AH20" s="22">
        <f t="shared" si="19"/>
        <v>-2</v>
      </c>
      <c r="AI20" s="22">
        <f t="shared" si="19"/>
        <v>-2</v>
      </c>
      <c r="AJ20" s="22">
        <f t="shared" si="19"/>
        <v>-2</v>
      </c>
      <c r="AK20" s="22">
        <f t="shared" si="19"/>
        <v>-2</v>
      </c>
      <c r="AL20" s="22">
        <f t="shared" si="19"/>
        <v>-2</v>
      </c>
      <c r="AM20" s="22">
        <f t="shared" si="19"/>
        <v>-2</v>
      </c>
      <c r="AN20" s="22">
        <f t="shared" si="19"/>
        <v>-2</v>
      </c>
      <c r="AO20" s="22">
        <f t="shared" si="19"/>
        <v>-2</v>
      </c>
      <c r="AP20" s="22">
        <f t="shared" si="19"/>
        <v>-2</v>
      </c>
      <c r="AQ20" s="22">
        <f t="shared" si="19"/>
        <v>-2</v>
      </c>
      <c r="AR20" s="22">
        <f t="shared" si="19"/>
        <v>-2</v>
      </c>
      <c r="AS20" s="22">
        <f t="shared" si="19"/>
        <v>-2</v>
      </c>
      <c r="AT20" s="22">
        <f t="shared" si="19"/>
        <v>-2</v>
      </c>
      <c r="AU20" s="22">
        <f t="shared" si="19"/>
        <v>-2</v>
      </c>
      <c r="AV20" s="22">
        <f t="shared" si="19"/>
        <v>-2</v>
      </c>
      <c r="AW20" s="22">
        <f t="shared" si="19"/>
        <v>-2</v>
      </c>
      <c r="AX20" s="22">
        <f t="shared" si="19"/>
        <v>-2</v>
      </c>
      <c r="AY20" s="22">
        <f t="shared" si="19"/>
        <v>-2</v>
      </c>
      <c r="AZ20" s="22">
        <f t="shared" si="19"/>
        <v>-2</v>
      </c>
      <c r="BA20" s="22">
        <f t="shared" ref="BA20:BE20" si="20">BA19-BA18</f>
        <v>-2</v>
      </c>
      <c r="BB20" s="22">
        <f t="shared" si="20"/>
        <v>-2</v>
      </c>
      <c r="BC20" s="22">
        <f t="shared" si="20"/>
        <v>-2</v>
      </c>
      <c r="BD20" s="22">
        <f t="shared" si="20"/>
        <v>-2</v>
      </c>
      <c r="BE20" s="22">
        <f t="shared" si="20"/>
        <v>-2</v>
      </c>
      <c r="BF20" s="10">
        <f t="shared" si="19"/>
        <v>-66</v>
      </c>
    </row>
    <row r="21" spans="2:58" ht="22" customHeight="1">
      <c r="B21" s="104">
        <v>1</v>
      </c>
      <c r="C21" s="118" t="s">
        <v>35</v>
      </c>
      <c r="D21" s="105" t="s">
        <v>36</v>
      </c>
      <c r="E21" s="115"/>
      <c r="F21" s="119"/>
      <c r="G21" s="114">
        <f>SUM(Y21:AZ21)</f>
        <v>4113</v>
      </c>
      <c r="H21" s="114">
        <f>SUM(Y22:AZ22)</f>
        <v>0</v>
      </c>
      <c r="I21" s="100"/>
      <c r="J21" s="116">
        <f>IFERROR(H21/G21,0)</f>
        <v>0</v>
      </c>
      <c r="K21" s="113">
        <v>0.60783487784330248</v>
      </c>
      <c r="L21" s="113">
        <v>0.60783487784330248</v>
      </c>
      <c r="M21" s="100"/>
      <c r="N21" s="100"/>
      <c r="O21" s="100"/>
      <c r="P21" s="100"/>
      <c r="Q21" s="100"/>
      <c r="R21" s="100"/>
      <c r="S21" s="115" t="s">
        <v>37</v>
      </c>
      <c r="T21" s="9"/>
      <c r="U21" s="9"/>
      <c r="V21" s="9"/>
      <c r="W21" s="9"/>
      <c r="X21" s="7" t="s">
        <v>31</v>
      </c>
      <c r="Y21" s="29">
        <v>198</v>
      </c>
      <c r="Z21" s="29">
        <v>383</v>
      </c>
      <c r="AA21" s="29">
        <v>331</v>
      </c>
      <c r="AB21" s="29">
        <v>218</v>
      </c>
      <c r="AC21" s="29">
        <v>264</v>
      </c>
      <c r="AD21" s="29">
        <v>228</v>
      </c>
      <c r="AE21" s="29">
        <v>209</v>
      </c>
      <c r="AF21" s="29">
        <v>171</v>
      </c>
      <c r="AG21" s="29">
        <v>330</v>
      </c>
      <c r="AH21" s="29">
        <v>543</v>
      </c>
      <c r="AI21" s="29">
        <v>225</v>
      </c>
      <c r="AJ21" s="29">
        <v>53</v>
      </c>
      <c r="AK21" s="29">
        <v>53</v>
      </c>
      <c r="AL21" s="29">
        <v>53</v>
      </c>
      <c r="AM21" s="29">
        <v>50</v>
      </c>
      <c r="AN21" s="29">
        <v>66</v>
      </c>
      <c r="AO21" s="29">
        <v>89</v>
      </c>
      <c r="AP21" s="29">
        <v>53</v>
      </c>
      <c r="AQ21" s="29">
        <v>53</v>
      </c>
      <c r="AR21" s="29">
        <v>53</v>
      </c>
      <c r="AS21" s="29">
        <v>53</v>
      </c>
      <c r="AT21" s="29">
        <v>50</v>
      </c>
      <c r="AU21" s="29">
        <v>66</v>
      </c>
      <c r="AV21" s="29">
        <v>76</v>
      </c>
      <c r="AW21" s="29">
        <v>83</v>
      </c>
      <c r="AX21" s="29">
        <v>54</v>
      </c>
      <c r="AY21" s="29">
        <v>54</v>
      </c>
      <c r="AZ21" s="29">
        <v>54</v>
      </c>
      <c r="BA21" s="29">
        <v>50</v>
      </c>
      <c r="BB21" s="29">
        <v>66</v>
      </c>
      <c r="BC21" s="29">
        <v>89</v>
      </c>
      <c r="BD21" s="29">
        <v>54</v>
      </c>
      <c r="BE21" s="29">
        <v>54</v>
      </c>
      <c r="BF21" s="10">
        <f>SUM(Y21:BE21)</f>
        <v>4426</v>
      </c>
    </row>
    <row r="22" spans="2:58" ht="22" customHeight="1">
      <c r="B22" s="101"/>
      <c r="C22" s="101"/>
      <c r="D22" s="101"/>
      <c r="E22" s="101"/>
      <c r="F22" s="101"/>
      <c r="G22" s="101"/>
      <c r="H22" s="101"/>
      <c r="I22" s="101"/>
      <c r="J22" s="101"/>
      <c r="K22" s="101"/>
      <c r="L22" s="101"/>
      <c r="M22" s="101"/>
      <c r="N22" s="101"/>
      <c r="O22" s="101"/>
      <c r="P22" s="101"/>
      <c r="Q22" s="101"/>
      <c r="R22" s="101"/>
      <c r="S22" s="101"/>
      <c r="T22" s="9"/>
      <c r="U22" s="9"/>
      <c r="V22" s="9"/>
      <c r="W22" s="9"/>
      <c r="X22" s="7" t="s">
        <v>10</v>
      </c>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0">
        <f>SUM(Y22:BE22)</f>
        <v>0</v>
      </c>
    </row>
    <row r="23" spans="2:58" ht="22" customHeight="1">
      <c r="B23" s="101"/>
      <c r="C23" s="101"/>
      <c r="D23" s="101"/>
      <c r="E23" s="101"/>
      <c r="F23" s="101"/>
      <c r="G23" s="101"/>
      <c r="H23" s="101"/>
      <c r="I23" s="101"/>
      <c r="J23" s="101"/>
      <c r="K23" s="101"/>
      <c r="L23" s="101"/>
      <c r="M23" s="101"/>
      <c r="N23" s="101"/>
      <c r="O23" s="101"/>
      <c r="P23" s="101"/>
      <c r="Q23" s="101"/>
      <c r="R23" s="101"/>
      <c r="S23" s="101"/>
      <c r="T23" s="9"/>
      <c r="U23" s="9"/>
      <c r="V23" s="9"/>
      <c r="W23" s="9"/>
      <c r="X23" s="30" t="s">
        <v>38</v>
      </c>
      <c r="Y23" s="31">
        <v>18000</v>
      </c>
      <c r="Z23" s="31">
        <v>18000</v>
      </c>
      <c r="AA23" s="31">
        <v>18000</v>
      </c>
      <c r="AB23" s="31">
        <v>18000</v>
      </c>
      <c r="AC23" s="31">
        <v>18000</v>
      </c>
      <c r="AD23" s="31">
        <v>18000</v>
      </c>
      <c r="AE23" s="31">
        <v>18000</v>
      </c>
      <c r="AF23" s="31">
        <v>18000</v>
      </c>
      <c r="AG23" s="31">
        <v>18000</v>
      </c>
      <c r="AH23" s="31">
        <v>18000</v>
      </c>
      <c r="AI23" s="31">
        <v>18000</v>
      </c>
      <c r="AJ23" s="31">
        <v>15000</v>
      </c>
      <c r="AK23" s="31">
        <v>15000</v>
      </c>
      <c r="AL23" s="31">
        <v>15000</v>
      </c>
      <c r="AM23" s="31">
        <v>15000</v>
      </c>
      <c r="AN23" s="31">
        <v>15000</v>
      </c>
      <c r="AO23" s="31">
        <v>15000</v>
      </c>
      <c r="AP23" s="31">
        <v>15000</v>
      </c>
      <c r="AQ23" s="31">
        <v>15000</v>
      </c>
      <c r="AR23" s="31">
        <v>15000</v>
      </c>
      <c r="AS23" s="31">
        <v>15000</v>
      </c>
      <c r="AT23" s="31">
        <v>15000</v>
      </c>
      <c r="AU23" s="31">
        <v>15000</v>
      </c>
      <c r="AV23" s="31">
        <v>15000</v>
      </c>
      <c r="AW23" s="31">
        <v>15000</v>
      </c>
      <c r="AX23" s="31">
        <v>15000</v>
      </c>
      <c r="AY23" s="31">
        <v>15000</v>
      </c>
      <c r="AZ23" s="31">
        <v>15000</v>
      </c>
      <c r="BA23" s="31">
        <v>15000</v>
      </c>
      <c r="BB23" s="31">
        <v>15000</v>
      </c>
      <c r="BC23" s="31">
        <v>15000</v>
      </c>
      <c r="BD23" s="31">
        <v>15000</v>
      </c>
      <c r="BE23" s="31">
        <v>15000</v>
      </c>
      <c r="BF23" s="12">
        <f>SUM(Y23:BE23)</f>
        <v>528000</v>
      </c>
    </row>
    <row r="24" spans="2:58" ht="22" customHeight="1">
      <c r="B24" s="102"/>
      <c r="C24" s="102"/>
      <c r="D24" s="102"/>
      <c r="E24" s="102"/>
      <c r="F24" s="102"/>
      <c r="G24" s="102"/>
      <c r="H24" s="102"/>
      <c r="I24" s="102"/>
      <c r="J24" s="102"/>
      <c r="K24" s="102"/>
      <c r="L24" s="102"/>
      <c r="M24" s="102"/>
      <c r="N24" s="102"/>
      <c r="O24" s="102"/>
      <c r="P24" s="102"/>
      <c r="Q24" s="102"/>
      <c r="R24" s="102"/>
      <c r="S24" s="102"/>
      <c r="T24" s="9"/>
      <c r="U24" s="9"/>
      <c r="V24" s="9"/>
      <c r="W24" s="9"/>
      <c r="X24" s="7" t="s">
        <v>11</v>
      </c>
      <c r="Y24" s="3">
        <f t="shared" ref="Y24:BE24" si="21">Y22-Y21</f>
        <v>-198</v>
      </c>
      <c r="Z24" s="3">
        <f t="shared" si="21"/>
        <v>-383</v>
      </c>
      <c r="AA24" s="3">
        <f t="shared" si="21"/>
        <v>-331</v>
      </c>
      <c r="AB24" s="3">
        <f t="shared" si="21"/>
        <v>-218</v>
      </c>
      <c r="AC24" s="3">
        <f t="shared" si="21"/>
        <v>-264</v>
      </c>
      <c r="AD24" s="3">
        <f t="shared" si="21"/>
        <v>-228</v>
      </c>
      <c r="AE24" s="3">
        <f t="shared" si="21"/>
        <v>-209</v>
      </c>
      <c r="AF24" s="3">
        <f t="shared" si="21"/>
        <v>-171</v>
      </c>
      <c r="AG24" s="3">
        <f t="shared" si="21"/>
        <v>-330</v>
      </c>
      <c r="AH24" s="3">
        <f t="shared" si="21"/>
        <v>-543</v>
      </c>
      <c r="AI24" s="3">
        <f t="shared" si="21"/>
        <v>-225</v>
      </c>
      <c r="AJ24" s="3">
        <f t="shared" si="21"/>
        <v>-53</v>
      </c>
      <c r="AK24" s="3">
        <f t="shared" si="21"/>
        <v>-53</v>
      </c>
      <c r="AL24" s="3">
        <f t="shared" si="21"/>
        <v>-53</v>
      </c>
      <c r="AM24" s="3">
        <f t="shared" si="21"/>
        <v>-50</v>
      </c>
      <c r="AN24" s="3">
        <f t="shared" si="21"/>
        <v>-66</v>
      </c>
      <c r="AO24" s="3">
        <f t="shared" si="21"/>
        <v>-89</v>
      </c>
      <c r="AP24" s="3">
        <f t="shared" si="21"/>
        <v>-53</v>
      </c>
      <c r="AQ24" s="3">
        <f t="shared" si="21"/>
        <v>-53</v>
      </c>
      <c r="AR24" s="3">
        <f t="shared" si="21"/>
        <v>-53</v>
      </c>
      <c r="AS24" s="3">
        <f t="shared" si="21"/>
        <v>-53</v>
      </c>
      <c r="AT24" s="3">
        <f t="shared" si="21"/>
        <v>-50</v>
      </c>
      <c r="AU24" s="3">
        <f t="shared" si="21"/>
        <v>-66</v>
      </c>
      <c r="AV24" s="3">
        <f t="shared" si="21"/>
        <v>-76</v>
      </c>
      <c r="AW24" s="3">
        <f t="shared" si="21"/>
        <v>-83</v>
      </c>
      <c r="AX24" s="3">
        <f t="shared" si="21"/>
        <v>-54</v>
      </c>
      <c r="AY24" s="3">
        <f t="shared" si="21"/>
        <v>-54</v>
      </c>
      <c r="AZ24" s="3">
        <f t="shared" si="21"/>
        <v>-54</v>
      </c>
      <c r="BA24" s="3">
        <f t="shared" si="21"/>
        <v>-50</v>
      </c>
      <c r="BB24" s="3">
        <f t="shared" si="21"/>
        <v>-66</v>
      </c>
      <c r="BC24" s="3">
        <f t="shared" si="21"/>
        <v>-89</v>
      </c>
      <c r="BD24" s="3">
        <f t="shared" si="21"/>
        <v>-54</v>
      </c>
      <c r="BE24" s="3">
        <f t="shared" si="21"/>
        <v>-54</v>
      </c>
      <c r="BF24" s="10">
        <f>BF22-BF21</f>
        <v>-4426</v>
      </c>
    </row>
    <row r="25" spans="2:58" ht="22" customHeight="1">
      <c r="B25" s="107">
        <v>2</v>
      </c>
      <c r="C25" s="117" t="s">
        <v>39</v>
      </c>
      <c r="D25" s="108" t="s">
        <v>40</v>
      </c>
      <c r="E25" s="103"/>
      <c r="F25" s="109"/>
      <c r="G25" s="106">
        <f>SUM(Y25:AZ25)</f>
        <v>2397</v>
      </c>
      <c r="H25" s="106">
        <f>SUM(Y26:AZ26)</f>
        <v>0</v>
      </c>
      <c r="I25" s="111"/>
      <c r="J25" s="112">
        <f>IFERROR(H25/G25,0)</f>
        <v>0</v>
      </c>
      <c r="K25" s="110">
        <v>0.72017353579175702</v>
      </c>
      <c r="L25" s="110">
        <v>0.72017353579175702</v>
      </c>
      <c r="M25" s="111"/>
      <c r="N25" s="111"/>
      <c r="O25" s="111"/>
      <c r="P25" s="111"/>
      <c r="Q25" s="111"/>
      <c r="R25" s="111"/>
      <c r="S25" s="103" t="s">
        <v>37</v>
      </c>
      <c r="T25" s="39"/>
      <c r="U25" s="39"/>
      <c r="V25" s="39"/>
      <c r="W25" s="39"/>
      <c r="X25" s="33" t="s">
        <v>31</v>
      </c>
      <c r="Y25" s="40">
        <v>106</v>
      </c>
      <c r="Z25" s="40">
        <v>162</v>
      </c>
      <c r="AA25" s="40">
        <v>185</v>
      </c>
      <c r="AB25" s="40">
        <v>98</v>
      </c>
      <c r="AC25" s="40">
        <v>109</v>
      </c>
      <c r="AD25" s="40">
        <v>112</v>
      </c>
      <c r="AE25" s="40">
        <v>94</v>
      </c>
      <c r="AF25" s="40">
        <v>108</v>
      </c>
      <c r="AG25" s="40">
        <v>143</v>
      </c>
      <c r="AH25" s="40">
        <v>251</v>
      </c>
      <c r="AI25" s="40">
        <v>132</v>
      </c>
      <c r="AJ25" s="40">
        <v>40</v>
      </c>
      <c r="AK25" s="40">
        <v>40</v>
      </c>
      <c r="AL25" s="40">
        <v>40</v>
      </c>
      <c r="AM25" s="40">
        <v>40</v>
      </c>
      <c r="AN25" s="40">
        <v>68</v>
      </c>
      <c r="AO25" s="40">
        <v>88</v>
      </c>
      <c r="AP25" s="40">
        <v>45</v>
      </c>
      <c r="AQ25" s="40">
        <v>45</v>
      </c>
      <c r="AR25" s="40">
        <v>45</v>
      </c>
      <c r="AS25" s="40">
        <v>45</v>
      </c>
      <c r="AT25" s="40">
        <v>45</v>
      </c>
      <c r="AU25" s="40">
        <v>65</v>
      </c>
      <c r="AV25" s="40">
        <v>70</v>
      </c>
      <c r="AW25" s="40">
        <v>86</v>
      </c>
      <c r="AX25" s="40">
        <v>45</v>
      </c>
      <c r="AY25" s="40">
        <v>45</v>
      </c>
      <c r="AZ25" s="40">
        <v>45</v>
      </c>
      <c r="BA25" s="40">
        <v>45</v>
      </c>
      <c r="BB25" s="40">
        <v>75</v>
      </c>
      <c r="BC25" s="40">
        <v>88</v>
      </c>
      <c r="BD25" s="40">
        <v>45</v>
      </c>
      <c r="BE25" s="40">
        <v>45</v>
      </c>
      <c r="BF25" s="10">
        <f>SUM(Y25:BE25)</f>
        <v>2695</v>
      </c>
    </row>
    <row r="26" spans="2:58" ht="22" customHeight="1">
      <c r="B26" s="101"/>
      <c r="C26" s="101"/>
      <c r="D26" s="101"/>
      <c r="E26" s="101"/>
      <c r="F26" s="101"/>
      <c r="G26" s="101"/>
      <c r="H26" s="101"/>
      <c r="I26" s="101"/>
      <c r="J26" s="101"/>
      <c r="K26" s="101"/>
      <c r="L26" s="101"/>
      <c r="M26" s="101"/>
      <c r="N26" s="101"/>
      <c r="O26" s="101"/>
      <c r="P26" s="101"/>
      <c r="Q26" s="101"/>
      <c r="R26" s="101"/>
      <c r="S26" s="101"/>
      <c r="T26" s="39"/>
      <c r="U26" s="39"/>
      <c r="V26" s="39"/>
      <c r="W26" s="39"/>
      <c r="X26" s="33" t="s">
        <v>10</v>
      </c>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10">
        <f>SUM(Y26:BE26)</f>
        <v>0</v>
      </c>
    </row>
    <row r="27" spans="2:58" ht="22" customHeight="1">
      <c r="B27" s="101"/>
      <c r="C27" s="101"/>
      <c r="D27" s="101"/>
      <c r="E27" s="101"/>
      <c r="F27" s="101"/>
      <c r="G27" s="101"/>
      <c r="H27" s="101"/>
      <c r="I27" s="101"/>
      <c r="J27" s="101"/>
      <c r="K27" s="101"/>
      <c r="L27" s="101"/>
      <c r="M27" s="101"/>
      <c r="N27" s="101"/>
      <c r="O27" s="101"/>
      <c r="P27" s="101"/>
      <c r="Q27" s="101"/>
      <c r="R27" s="101"/>
      <c r="S27" s="101"/>
      <c r="T27" s="39"/>
      <c r="U27" s="39"/>
      <c r="V27" s="39"/>
      <c r="W27" s="39"/>
      <c r="X27" s="42" t="s">
        <v>38</v>
      </c>
      <c r="Y27" s="43">
        <v>19000</v>
      </c>
      <c r="Z27" s="43">
        <v>19000</v>
      </c>
      <c r="AA27" s="43">
        <v>19000</v>
      </c>
      <c r="AB27" s="43">
        <v>19000</v>
      </c>
      <c r="AC27" s="43">
        <v>19000</v>
      </c>
      <c r="AD27" s="43">
        <v>19000</v>
      </c>
      <c r="AE27" s="43">
        <v>19000</v>
      </c>
      <c r="AF27" s="43">
        <v>19000</v>
      </c>
      <c r="AG27" s="43">
        <v>19000</v>
      </c>
      <c r="AH27" s="43">
        <v>19000</v>
      </c>
      <c r="AI27" s="43">
        <v>19000</v>
      </c>
      <c r="AJ27" s="43">
        <v>15000</v>
      </c>
      <c r="AK27" s="43">
        <v>15000</v>
      </c>
      <c r="AL27" s="43">
        <v>15000</v>
      </c>
      <c r="AM27" s="43">
        <v>15000</v>
      </c>
      <c r="AN27" s="43">
        <v>15000</v>
      </c>
      <c r="AO27" s="43">
        <v>15000</v>
      </c>
      <c r="AP27" s="43">
        <v>15000</v>
      </c>
      <c r="AQ27" s="43">
        <v>15000</v>
      </c>
      <c r="AR27" s="43">
        <v>15000</v>
      </c>
      <c r="AS27" s="43">
        <v>15000</v>
      </c>
      <c r="AT27" s="43">
        <v>15000</v>
      </c>
      <c r="AU27" s="43">
        <v>15000</v>
      </c>
      <c r="AV27" s="43">
        <v>15000</v>
      </c>
      <c r="AW27" s="43">
        <v>15000</v>
      </c>
      <c r="AX27" s="43">
        <v>15000</v>
      </c>
      <c r="AY27" s="43">
        <v>15000</v>
      </c>
      <c r="AZ27" s="43">
        <v>15000</v>
      </c>
      <c r="BA27" s="43">
        <v>15000</v>
      </c>
      <c r="BB27" s="43">
        <v>15000</v>
      </c>
      <c r="BC27" s="43">
        <v>15000</v>
      </c>
      <c r="BD27" s="43">
        <v>15000</v>
      </c>
      <c r="BE27" s="43">
        <v>15000</v>
      </c>
      <c r="BF27" s="12">
        <f>SUM(Y27:BE27)</f>
        <v>539000</v>
      </c>
    </row>
    <row r="28" spans="2:58" ht="22" customHeight="1">
      <c r="B28" s="102"/>
      <c r="C28" s="102"/>
      <c r="D28" s="102"/>
      <c r="E28" s="102"/>
      <c r="F28" s="102"/>
      <c r="G28" s="102"/>
      <c r="H28" s="102"/>
      <c r="I28" s="102"/>
      <c r="J28" s="102"/>
      <c r="K28" s="102"/>
      <c r="L28" s="102"/>
      <c r="M28" s="102"/>
      <c r="N28" s="102"/>
      <c r="O28" s="102"/>
      <c r="P28" s="102"/>
      <c r="Q28" s="102"/>
      <c r="R28" s="102"/>
      <c r="S28" s="102"/>
      <c r="T28" s="39"/>
      <c r="U28" s="39"/>
      <c r="V28" s="39"/>
      <c r="W28" s="39"/>
      <c r="X28" s="33" t="s">
        <v>11</v>
      </c>
      <c r="Y28" s="36">
        <f t="shared" ref="Y28:BF28" si="22">Y26-Y25</f>
        <v>-106</v>
      </c>
      <c r="Z28" s="36">
        <f t="shared" si="22"/>
        <v>-162</v>
      </c>
      <c r="AA28" s="36">
        <f t="shared" si="22"/>
        <v>-185</v>
      </c>
      <c r="AB28" s="36">
        <f t="shared" si="22"/>
        <v>-98</v>
      </c>
      <c r="AC28" s="36">
        <f t="shared" si="22"/>
        <v>-109</v>
      </c>
      <c r="AD28" s="36">
        <f t="shared" si="22"/>
        <v>-112</v>
      </c>
      <c r="AE28" s="36">
        <f t="shared" si="22"/>
        <v>-94</v>
      </c>
      <c r="AF28" s="36">
        <f t="shared" si="22"/>
        <v>-108</v>
      </c>
      <c r="AG28" s="36">
        <f t="shared" si="22"/>
        <v>-143</v>
      </c>
      <c r="AH28" s="36">
        <f t="shared" si="22"/>
        <v>-251</v>
      </c>
      <c r="AI28" s="36">
        <f t="shared" si="22"/>
        <v>-132</v>
      </c>
      <c r="AJ28" s="36">
        <f t="shared" si="22"/>
        <v>-40</v>
      </c>
      <c r="AK28" s="36">
        <f t="shared" si="22"/>
        <v>-40</v>
      </c>
      <c r="AL28" s="36">
        <f t="shared" si="22"/>
        <v>-40</v>
      </c>
      <c r="AM28" s="36">
        <f t="shared" si="22"/>
        <v>-40</v>
      </c>
      <c r="AN28" s="36">
        <f t="shared" si="22"/>
        <v>-68</v>
      </c>
      <c r="AO28" s="36">
        <f t="shared" si="22"/>
        <v>-88</v>
      </c>
      <c r="AP28" s="36">
        <f t="shared" si="22"/>
        <v>-45</v>
      </c>
      <c r="AQ28" s="36">
        <f t="shared" si="22"/>
        <v>-45</v>
      </c>
      <c r="AR28" s="36">
        <f t="shared" si="22"/>
        <v>-45</v>
      </c>
      <c r="AS28" s="36">
        <f t="shared" si="22"/>
        <v>-45</v>
      </c>
      <c r="AT28" s="36">
        <f t="shared" si="22"/>
        <v>-45</v>
      </c>
      <c r="AU28" s="36">
        <f t="shared" si="22"/>
        <v>-65</v>
      </c>
      <c r="AV28" s="36">
        <f t="shared" si="22"/>
        <v>-70</v>
      </c>
      <c r="AW28" s="36">
        <f t="shared" si="22"/>
        <v>-86</v>
      </c>
      <c r="AX28" s="36">
        <f t="shared" si="22"/>
        <v>-45</v>
      </c>
      <c r="AY28" s="36">
        <f t="shared" si="22"/>
        <v>-45</v>
      </c>
      <c r="AZ28" s="36">
        <f t="shared" si="22"/>
        <v>-45</v>
      </c>
      <c r="BA28" s="36">
        <f t="shared" si="22"/>
        <v>-45</v>
      </c>
      <c r="BB28" s="36">
        <f t="shared" si="22"/>
        <v>-75</v>
      </c>
      <c r="BC28" s="36">
        <f t="shared" si="22"/>
        <v>-88</v>
      </c>
      <c r="BD28" s="36">
        <f t="shared" si="22"/>
        <v>-45</v>
      </c>
      <c r="BE28" s="36">
        <f t="shared" si="22"/>
        <v>-45</v>
      </c>
      <c r="BF28" s="10">
        <f t="shared" si="22"/>
        <v>-2695</v>
      </c>
    </row>
    <row r="29" spans="2:58" ht="22" customHeight="1">
      <c r="B29" s="104">
        <v>3</v>
      </c>
      <c r="C29" s="118" t="s">
        <v>41</v>
      </c>
      <c r="D29" s="105" t="s">
        <v>42</v>
      </c>
      <c r="E29" s="115"/>
      <c r="F29" s="119"/>
      <c r="G29" s="114">
        <f>SUM(Y29:AZ29)</f>
        <v>7203</v>
      </c>
      <c r="H29" s="114">
        <f>SUM(Y30:AZ30)</f>
        <v>0</v>
      </c>
      <c r="I29" s="100"/>
      <c r="J29" s="116">
        <f>IFERROR(H29/G29,0)</f>
        <v>0</v>
      </c>
      <c r="K29" s="113">
        <v>0.56428571428571428</v>
      </c>
      <c r="L29" s="113">
        <v>0.56428571428571428</v>
      </c>
      <c r="M29" s="100"/>
      <c r="N29" s="100"/>
      <c r="O29" s="100"/>
      <c r="P29" s="100"/>
      <c r="Q29" s="100"/>
      <c r="R29" s="100"/>
      <c r="S29" s="115" t="s">
        <v>37</v>
      </c>
      <c r="T29" s="9"/>
      <c r="U29" s="9"/>
      <c r="V29" s="9"/>
      <c r="W29" s="9"/>
      <c r="X29" s="7" t="s">
        <v>31</v>
      </c>
      <c r="Y29" s="29">
        <v>344</v>
      </c>
      <c r="Z29" s="29">
        <v>729</v>
      </c>
      <c r="AA29" s="29">
        <v>701</v>
      </c>
      <c r="AB29" s="29">
        <v>589</v>
      </c>
      <c r="AC29" s="29">
        <v>484</v>
      </c>
      <c r="AD29" s="29">
        <v>498</v>
      </c>
      <c r="AE29" s="29">
        <v>516</v>
      </c>
      <c r="AF29" s="29">
        <v>416</v>
      </c>
      <c r="AG29" s="29">
        <v>951</v>
      </c>
      <c r="AH29" s="29">
        <v>1297</v>
      </c>
      <c r="AI29" s="29">
        <v>425</v>
      </c>
      <c r="AJ29" s="29">
        <v>13</v>
      </c>
      <c r="AK29" s="29">
        <v>13</v>
      </c>
      <c r="AL29" s="29">
        <v>13</v>
      </c>
      <c r="AM29" s="29">
        <v>13</v>
      </c>
      <c r="AN29" s="29">
        <v>14</v>
      </c>
      <c r="AO29" s="29">
        <v>20</v>
      </c>
      <c r="AP29" s="29">
        <v>13</v>
      </c>
      <c r="AQ29" s="29">
        <v>13</v>
      </c>
      <c r="AR29" s="29">
        <v>13</v>
      </c>
      <c r="AS29" s="29">
        <v>13</v>
      </c>
      <c r="AT29" s="29">
        <v>13</v>
      </c>
      <c r="AU29" s="29">
        <v>20</v>
      </c>
      <c r="AV29" s="29">
        <v>20</v>
      </c>
      <c r="AW29" s="29">
        <v>23</v>
      </c>
      <c r="AX29" s="29">
        <v>13</v>
      </c>
      <c r="AY29" s="29">
        <v>13</v>
      </c>
      <c r="AZ29" s="29">
        <v>13</v>
      </c>
      <c r="BA29" s="29">
        <v>13</v>
      </c>
      <c r="BB29" s="29">
        <v>14</v>
      </c>
      <c r="BC29" s="29">
        <v>20</v>
      </c>
      <c r="BD29" s="29">
        <v>13</v>
      </c>
      <c r="BE29" s="29">
        <v>13</v>
      </c>
      <c r="BF29" s="10">
        <f>SUM(Y29:BE29)</f>
        <v>7276</v>
      </c>
    </row>
    <row r="30" spans="2:58" ht="22" customHeight="1">
      <c r="B30" s="101"/>
      <c r="C30" s="101"/>
      <c r="D30" s="101"/>
      <c r="E30" s="101"/>
      <c r="F30" s="101"/>
      <c r="G30" s="101"/>
      <c r="H30" s="101"/>
      <c r="I30" s="101"/>
      <c r="J30" s="101"/>
      <c r="K30" s="101"/>
      <c r="L30" s="101"/>
      <c r="M30" s="101"/>
      <c r="N30" s="101"/>
      <c r="O30" s="101"/>
      <c r="P30" s="101"/>
      <c r="Q30" s="101"/>
      <c r="R30" s="101"/>
      <c r="S30" s="101"/>
      <c r="T30" s="9"/>
      <c r="U30" s="9"/>
      <c r="V30" s="9"/>
      <c r="W30" s="9"/>
      <c r="X30" s="7" t="s">
        <v>10</v>
      </c>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0">
        <f>SUM(Y30:BE30)</f>
        <v>0</v>
      </c>
    </row>
    <row r="31" spans="2:58" ht="22" customHeight="1">
      <c r="B31" s="101"/>
      <c r="C31" s="101"/>
      <c r="D31" s="101"/>
      <c r="E31" s="101"/>
      <c r="F31" s="101"/>
      <c r="G31" s="101"/>
      <c r="H31" s="101"/>
      <c r="I31" s="101"/>
      <c r="J31" s="101"/>
      <c r="K31" s="101"/>
      <c r="L31" s="101"/>
      <c r="M31" s="101"/>
      <c r="N31" s="101"/>
      <c r="O31" s="101"/>
      <c r="P31" s="101"/>
      <c r="Q31" s="101"/>
      <c r="R31" s="101"/>
      <c r="S31" s="101"/>
      <c r="T31" s="9"/>
      <c r="U31" s="9"/>
      <c r="V31" s="9"/>
      <c r="W31" s="9"/>
      <c r="X31" s="30" t="s">
        <v>38</v>
      </c>
      <c r="Y31" s="31">
        <v>21500</v>
      </c>
      <c r="Z31" s="31">
        <v>21500</v>
      </c>
      <c r="AA31" s="31">
        <v>21500</v>
      </c>
      <c r="AB31" s="31">
        <v>21500</v>
      </c>
      <c r="AC31" s="31">
        <v>21500</v>
      </c>
      <c r="AD31" s="31">
        <v>21500</v>
      </c>
      <c r="AE31" s="31">
        <v>21500</v>
      </c>
      <c r="AF31" s="31">
        <v>21500</v>
      </c>
      <c r="AG31" s="31">
        <v>21500</v>
      </c>
      <c r="AH31" s="31">
        <v>21500</v>
      </c>
      <c r="AI31" s="31">
        <v>21500</v>
      </c>
      <c r="AJ31" s="31">
        <v>13000</v>
      </c>
      <c r="AK31" s="31">
        <v>13000</v>
      </c>
      <c r="AL31" s="31">
        <v>13000</v>
      </c>
      <c r="AM31" s="31">
        <v>13000</v>
      </c>
      <c r="AN31" s="31">
        <v>13000</v>
      </c>
      <c r="AO31" s="31">
        <v>13000</v>
      </c>
      <c r="AP31" s="31">
        <v>13000</v>
      </c>
      <c r="AQ31" s="31">
        <v>13000</v>
      </c>
      <c r="AR31" s="31">
        <v>13000</v>
      </c>
      <c r="AS31" s="31">
        <v>13000</v>
      </c>
      <c r="AT31" s="31">
        <v>13000</v>
      </c>
      <c r="AU31" s="31">
        <v>13000</v>
      </c>
      <c r="AV31" s="31">
        <v>13000</v>
      </c>
      <c r="AW31" s="31">
        <v>13000</v>
      </c>
      <c r="AX31" s="31">
        <v>13000</v>
      </c>
      <c r="AY31" s="31">
        <v>13000</v>
      </c>
      <c r="AZ31" s="31">
        <v>13000</v>
      </c>
      <c r="BA31" s="31">
        <v>13000</v>
      </c>
      <c r="BB31" s="31">
        <v>13000</v>
      </c>
      <c r="BC31" s="31">
        <v>13000</v>
      </c>
      <c r="BD31" s="31">
        <v>13000</v>
      </c>
      <c r="BE31" s="31">
        <v>13000</v>
      </c>
      <c r="BF31" s="12">
        <f>SUM(Y31:BE31)</f>
        <v>522500</v>
      </c>
    </row>
    <row r="32" spans="2:58" ht="22" customHeight="1">
      <c r="B32" s="102"/>
      <c r="C32" s="102"/>
      <c r="D32" s="102"/>
      <c r="E32" s="102"/>
      <c r="F32" s="102"/>
      <c r="G32" s="102"/>
      <c r="H32" s="102"/>
      <c r="I32" s="102"/>
      <c r="J32" s="102"/>
      <c r="K32" s="102"/>
      <c r="L32" s="102"/>
      <c r="M32" s="102"/>
      <c r="N32" s="102"/>
      <c r="O32" s="102"/>
      <c r="P32" s="102"/>
      <c r="Q32" s="102"/>
      <c r="R32" s="102"/>
      <c r="S32" s="102"/>
      <c r="T32" s="9"/>
      <c r="U32" s="9"/>
      <c r="V32" s="9"/>
      <c r="W32" s="9"/>
      <c r="X32" s="7" t="s">
        <v>11</v>
      </c>
      <c r="Y32" s="3">
        <f t="shared" ref="Y32:BE32" si="23">Y30-Y29</f>
        <v>-344</v>
      </c>
      <c r="Z32" s="3">
        <f t="shared" si="23"/>
        <v>-729</v>
      </c>
      <c r="AA32" s="3">
        <f t="shared" si="23"/>
        <v>-701</v>
      </c>
      <c r="AB32" s="3">
        <f t="shared" si="23"/>
        <v>-589</v>
      </c>
      <c r="AC32" s="3">
        <f t="shared" si="23"/>
        <v>-484</v>
      </c>
      <c r="AD32" s="3">
        <f t="shared" si="23"/>
        <v>-498</v>
      </c>
      <c r="AE32" s="3">
        <f t="shared" si="23"/>
        <v>-516</v>
      </c>
      <c r="AF32" s="3">
        <f t="shared" si="23"/>
        <v>-416</v>
      </c>
      <c r="AG32" s="3">
        <f t="shared" si="23"/>
        <v>-951</v>
      </c>
      <c r="AH32" s="3">
        <f t="shared" si="23"/>
        <v>-1297</v>
      </c>
      <c r="AI32" s="3">
        <f t="shared" si="23"/>
        <v>-425</v>
      </c>
      <c r="AJ32" s="3">
        <f t="shared" si="23"/>
        <v>-13</v>
      </c>
      <c r="AK32" s="3">
        <f t="shared" si="23"/>
        <v>-13</v>
      </c>
      <c r="AL32" s="3">
        <f t="shared" si="23"/>
        <v>-13</v>
      </c>
      <c r="AM32" s="3">
        <f t="shared" si="23"/>
        <v>-13</v>
      </c>
      <c r="AN32" s="3">
        <f t="shared" si="23"/>
        <v>-14</v>
      </c>
      <c r="AO32" s="3">
        <f t="shared" si="23"/>
        <v>-20</v>
      </c>
      <c r="AP32" s="3">
        <f t="shared" si="23"/>
        <v>-13</v>
      </c>
      <c r="AQ32" s="3">
        <f t="shared" si="23"/>
        <v>-13</v>
      </c>
      <c r="AR32" s="3">
        <f t="shared" si="23"/>
        <v>-13</v>
      </c>
      <c r="AS32" s="3">
        <f t="shared" si="23"/>
        <v>-13</v>
      </c>
      <c r="AT32" s="3">
        <f t="shared" si="23"/>
        <v>-13</v>
      </c>
      <c r="AU32" s="3">
        <f t="shared" si="23"/>
        <v>-20</v>
      </c>
      <c r="AV32" s="3">
        <f t="shared" si="23"/>
        <v>-20</v>
      </c>
      <c r="AW32" s="3">
        <f t="shared" si="23"/>
        <v>-23</v>
      </c>
      <c r="AX32" s="3">
        <f t="shared" si="23"/>
        <v>-13</v>
      </c>
      <c r="AY32" s="3">
        <f t="shared" si="23"/>
        <v>-13</v>
      </c>
      <c r="AZ32" s="3">
        <f t="shared" si="23"/>
        <v>-13</v>
      </c>
      <c r="BA32" s="3">
        <f t="shared" si="23"/>
        <v>-13</v>
      </c>
      <c r="BB32" s="3">
        <f t="shared" si="23"/>
        <v>-14</v>
      </c>
      <c r="BC32" s="3">
        <f t="shared" si="23"/>
        <v>-20</v>
      </c>
      <c r="BD32" s="3">
        <f t="shared" si="23"/>
        <v>-13</v>
      </c>
      <c r="BE32" s="3">
        <f t="shared" si="23"/>
        <v>-13</v>
      </c>
      <c r="BF32" s="10">
        <f>BF30-BF29</f>
        <v>-7276</v>
      </c>
    </row>
    <row r="33" spans="2:58" ht="22" customHeight="1">
      <c r="B33" s="107">
        <v>4</v>
      </c>
      <c r="C33" s="117" t="s">
        <v>43</v>
      </c>
      <c r="D33" s="108" t="s">
        <v>44</v>
      </c>
      <c r="E33" s="103"/>
      <c r="F33" s="109"/>
      <c r="G33" s="106">
        <f>SUM(Y33:AZ33)</f>
        <v>1040</v>
      </c>
      <c r="H33" s="106">
        <f>SUM(Y34:AZ34)</f>
        <v>0</v>
      </c>
      <c r="I33" s="111"/>
      <c r="J33" s="112">
        <f>IFERROR(H33/G33,0)</f>
        <v>0</v>
      </c>
      <c r="K33" s="110">
        <v>0.60776942355889729</v>
      </c>
      <c r="L33" s="110">
        <v>0.60776942355889729</v>
      </c>
      <c r="M33" s="111"/>
      <c r="N33" s="111"/>
      <c r="O33" s="111"/>
      <c r="P33" s="111"/>
      <c r="Q33" s="111"/>
      <c r="R33" s="111"/>
      <c r="S33" s="103" t="s">
        <v>37</v>
      </c>
      <c r="T33" s="39"/>
      <c r="U33" s="39"/>
      <c r="V33" s="39"/>
      <c r="W33" s="39"/>
      <c r="X33" s="33" t="s">
        <v>31</v>
      </c>
      <c r="Y33" s="40">
        <v>42</v>
      </c>
      <c r="Z33" s="40">
        <v>52</v>
      </c>
      <c r="AA33" s="40">
        <v>65</v>
      </c>
      <c r="AB33" s="40">
        <v>43</v>
      </c>
      <c r="AC33" s="40">
        <v>52</v>
      </c>
      <c r="AD33" s="40">
        <v>51</v>
      </c>
      <c r="AE33" s="40">
        <v>74</v>
      </c>
      <c r="AF33" s="40">
        <v>43</v>
      </c>
      <c r="AG33" s="40">
        <v>57</v>
      </c>
      <c r="AH33" s="40">
        <v>113</v>
      </c>
      <c r="AI33" s="40">
        <v>58</v>
      </c>
      <c r="AJ33" s="40">
        <v>22</v>
      </c>
      <c r="AK33" s="40">
        <v>22</v>
      </c>
      <c r="AL33" s="40">
        <v>22</v>
      </c>
      <c r="AM33" s="40">
        <v>22</v>
      </c>
      <c r="AN33" s="40">
        <v>26</v>
      </c>
      <c r="AO33" s="40">
        <v>28</v>
      </c>
      <c r="AP33" s="40">
        <v>22</v>
      </c>
      <c r="AQ33" s="40">
        <v>22</v>
      </c>
      <c r="AR33" s="40">
        <v>22</v>
      </c>
      <c r="AS33" s="40">
        <v>22</v>
      </c>
      <c r="AT33" s="40">
        <v>22</v>
      </c>
      <c r="AU33" s="40">
        <v>24</v>
      </c>
      <c r="AV33" s="40">
        <v>24</v>
      </c>
      <c r="AW33" s="40">
        <v>24</v>
      </c>
      <c r="AX33" s="40">
        <v>22</v>
      </c>
      <c r="AY33" s="40">
        <v>22</v>
      </c>
      <c r="AZ33" s="40">
        <v>22</v>
      </c>
      <c r="BA33" s="40">
        <v>22</v>
      </c>
      <c r="BB33" s="40">
        <v>25</v>
      </c>
      <c r="BC33" s="40">
        <v>25</v>
      </c>
      <c r="BD33" s="40">
        <v>22</v>
      </c>
      <c r="BE33" s="40">
        <v>22</v>
      </c>
      <c r="BF33" s="10">
        <f>SUM(Y33:BE33)</f>
        <v>1156</v>
      </c>
    </row>
    <row r="34" spans="2:58" ht="22" customHeight="1">
      <c r="B34" s="101"/>
      <c r="C34" s="101"/>
      <c r="D34" s="101"/>
      <c r="E34" s="101"/>
      <c r="F34" s="101"/>
      <c r="G34" s="101"/>
      <c r="H34" s="101"/>
      <c r="I34" s="101"/>
      <c r="J34" s="101"/>
      <c r="K34" s="101"/>
      <c r="L34" s="101"/>
      <c r="M34" s="101"/>
      <c r="N34" s="101"/>
      <c r="O34" s="101"/>
      <c r="P34" s="101"/>
      <c r="Q34" s="101"/>
      <c r="R34" s="101"/>
      <c r="S34" s="101"/>
      <c r="T34" s="39"/>
      <c r="U34" s="39"/>
      <c r="V34" s="39"/>
      <c r="W34" s="39"/>
      <c r="X34" s="33" t="s">
        <v>10</v>
      </c>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1"/>
      <c r="BF34" s="10">
        <f>SUM(Y34:BE34)</f>
        <v>0</v>
      </c>
    </row>
    <row r="35" spans="2:58" ht="22" customHeight="1">
      <c r="B35" s="101"/>
      <c r="C35" s="101"/>
      <c r="D35" s="101"/>
      <c r="E35" s="101"/>
      <c r="F35" s="101"/>
      <c r="G35" s="101"/>
      <c r="H35" s="101"/>
      <c r="I35" s="101"/>
      <c r="J35" s="101"/>
      <c r="K35" s="101"/>
      <c r="L35" s="101"/>
      <c r="M35" s="101"/>
      <c r="N35" s="101"/>
      <c r="O35" s="101"/>
      <c r="P35" s="101"/>
      <c r="Q35" s="101"/>
      <c r="R35" s="101"/>
      <c r="S35" s="101"/>
      <c r="T35" s="39"/>
      <c r="U35" s="39"/>
      <c r="V35" s="39"/>
      <c r="W35" s="39"/>
      <c r="X35" s="42" t="s">
        <v>38</v>
      </c>
      <c r="Y35" s="43">
        <v>15000</v>
      </c>
      <c r="Z35" s="43">
        <v>15000</v>
      </c>
      <c r="AA35" s="43">
        <v>15000</v>
      </c>
      <c r="AB35" s="43">
        <v>15000</v>
      </c>
      <c r="AC35" s="43">
        <v>15000</v>
      </c>
      <c r="AD35" s="43">
        <v>15000</v>
      </c>
      <c r="AE35" s="43">
        <v>15000</v>
      </c>
      <c r="AF35" s="43">
        <v>15000</v>
      </c>
      <c r="AG35" s="43">
        <v>15000</v>
      </c>
      <c r="AH35" s="43">
        <v>15000</v>
      </c>
      <c r="AI35" s="43">
        <v>15000</v>
      </c>
      <c r="AJ35" s="43">
        <v>12000</v>
      </c>
      <c r="AK35" s="43">
        <v>12000</v>
      </c>
      <c r="AL35" s="43">
        <v>12000</v>
      </c>
      <c r="AM35" s="43">
        <v>12000</v>
      </c>
      <c r="AN35" s="43">
        <v>12000</v>
      </c>
      <c r="AO35" s="43">
        <v>12000</v>
      </c>
      <c r="AP35" s="43">
        <v>12000</v>
      </c>
      <c r="AQ35" s="43">
        <v>12000</v>
      </c>
      <c r="AR35" s="43">
        <v>12000</v>
      </c>
      <c r="AS35" s="43">
        <v>12000</v>
      </c>
      <c r="AT35" s="43">
        <v>12000</v>
      </c>
      <c r="AU35" s="43">
        <v>12000</v>
      </c>
      <c r="AV35" s="43">
        <v>12000</v>
      </c>
      <c r="AW35" s="43">
        <v>12000</v>
      </c>
      <c r="AX35" s="43">
        <v>12000</v>
      </c>
      <c r="AY35" s="43">
        <v>12000</v>
      </c>
      <c r="AZ35" s="43">
        <v>12000</v>
      </c>
      <c r="BA35" s="43">
        <v>12000</v>
      </c>
      <c r="BB35" s="43">
        <v>12000</v>
      </c>
      <c r="BC35" s="43">
        <v>12000</v>
      </c>
      <c r="BD35" s="43">
        <v>12000</v>
      </c>
      <c r="BE35" s="43">
        <v>12000</v>
      </c>
      <c r="BF35" s="12">
        <f>SUM(Y35:BE35)</f>
        <v>429000</v>
      </c>
    </row>
    <row r="36" spans="2:58" ht="22" customHeight="1">
      <c r="B36" s="102"/>
      <c r="C36" s="102"/>
      <c r="D36" s="102"/>
      <c r="E36" s="102"/>
      <c r="F36" s="102"/>
      <c r="G36" s="102"/>
      <c r="H36" s="102"/>
      <c r="I36" s="102"/>
      <c r="J36" s="102"/>
      <c r="K36" s="102"/>
      <c r="L36" s="102"/>
      <c r="M36" s="102"/>
      <c r="N36" s="102"/>
      <c r="O36" s="102"/>
      <c r="P36" s="102"/>
      <c r="Q36" s="102"/>
      <c r="R36" s="102"/>
      <c r="S36" s="102"/>
      <c r="T36" s="39"/>
      <c r="U36" s="39"/>
      <c r="V36" s="39"/>
      <c r="W36" s="39"/>
      <c r="X36" s="33" t="s">
        <v>11</v>
      </c>
      <c r="Y36" s="36">
        <f t="shared" ref="Y36:BF36" si="24">Y34-Y33</f>
        <v>-42</v>
      </c>
      <c r="Z36" s="36">
        <f t="shared" si="24"/>
        <v>-52</v>
      </c>
      <c r="AA36" s="36">
        <f t="shared" si="24"/>
        <v>-65</v>
      </c>
      <c r="AB36" s="36">
        <f t="shared" si="24"/>
        <v>-43</v>
      </c>
      <c r="AC36" s="36">
        <f t="shared" si="24"/>
        <v>-52</v>
      </c>
      <c r="AD36" s="36">
        <f t="shared" si="24"/>
        <v>-51</v>
      </c>
      <c r="AE36" s="36">
        <f t="shared" si="24"/>
        <v>-74</v>
      </c>
      <c r="AF36" s="36">
        <f t="shared" si="24"/>
        <v>-43</v>
      </c>
      <c r="AG36" s="36">
        <f t="shared" si="24"/>
        <v>-57</v>
      </c>
      <c r="AH36" s="36">
        <f t="shared" si="24"/>
        <v>-113</v>
      </c>
      <c r="AI36" s="36">
        <f t="shared" si="24"/>
        <v>-58</v>
      </c>
      <c r="AJ36" s="36">
        <f t="shared" si="24"/>
        <v>-22</v>
      </c>
      <c r="AK36" s="36">
        <f t="shared" si="24"/>
        <v>-22</v>
      </c>
      <c r="AL36" s="36">
        <f t="shared" si="24"/>
        <v>-22</v>
      </c>
      <c r="AM36" s="36">
        <f t="shared" si="24"/>
        <v>-22</v>
      </c>
      <c r="AN36" s="36">
        <f t="shared" si="24"/>
        <v>-26</v>
      </c>
      <c r="AO36" s="36">
        <f t="shared" si="24"/>
        <v>-28</v>
      </c>
      <c r="AP36" s="36">
        <f t="shared" si="24"/>
        <v>-22</v>
      </c>
      <c r="AQ36" s="36">
        <f t="shared" si="24"/>
        <v>-22</v>
      </c>
      <c r="AR36" s="36">
        <f t="shared" si="24"/>
        <v>-22</v>
      </c>
      <c r="AS36" s="36">
        <f t="shared" si="24"/>
        <v>-22</v>
      </c>
      <c r="AT36" s="36">
        <f t="shared" si="24"/>
        <v>-22</v>
      </c>
      <c r="AU36" s="36">
        <f t="shared" si="24"/>
        <v>-24</v>
      </c>
      <c r="AV36" s="36">
        <f t="shared" si="24"/>
        <v>-24</v>
      </c>
      <c r="AW36" s="36">
        <f t="shared" si="24"/>
        <v>-24</v>
      </c>
      <c r="AX36" s="36">
        <f t="shared" si="24"/>
        <v>-22</v>
      </c>
      <c r="AY36" s="36">
        <f t="shared" si="24"/>
        <v>-22</v>
      </c>
      <c r="AZ36" s="36">
        <f t="shared" si="24"/>
        <v>-22</v>
      </c>
      <c r="BA36" s="36">
        <f t="shared" si="24"/>
        <v>-22</v>
      </c>
      <c r="BB36" s="36">
        <f t="shared" si="24"/>
        <v>-25</v>
      </c>
      <c r="BC36" s="36">
        <f t="shared" si="24"/>
        <v>-25</v>
      </c>
      <c r="BD36" s="36">
        <f t="shared" si="24"/>
        <v>-22</v>
      </c>
      <c r="BE36" s="36">
        <f t="shared" si="24"/>
        <v>-22</v>
      </c>
      <c r="BF36" s="10">
        <f t="shared" si="24"/>
        <v>-1156</v>
      </c>
    </row>
    <row r="37" spans="2:58" ht="22" customHeight="1">
      <c r="B37" s="104">
        <v>5</v>
      </c>
      <c r="C37" s="118" t="s">
        <v>45</v>
      </c>
      <c r="D37" s="105" t="s">
        <v>46</v>
      </c>
      <c r="E37" s="115"/>
      <c r="F37" s="119"/>
      <c r="G37" s="114">
        <f>SUM(Y37:AZ37)</f>
        <v>498</v>
      </c>
      <c r="H37" s="114">
        <f>SUM(Y38:AZ38)</f>
        <v>0</v>
      </c>
      <c r="I37" s="100"/>
      <c r="J37" s="116">
        <f>IFERROR(H37/G37,0)</f>
        <v>0</v>
      </c>
      <c r="K37" s="113">
        <v>0.2260397830018083</v>
      </c>
      <c r="L37" s="113">
        <v>0.2260397830018083</v>
      </c>
      <c r="M37" s="100"/>
      <c r="N37" s="100"/>
      <c r="O37" s="100"/>
      <c r="P37" s="100"/>
      <c r="Q37" s="100"/>
      <c r="R37" s="100"/>
      <c r="S37" s="115" t="s">
        <v>47</v>
      </c>
      <c r="T37" s="9"/>
      <c r="U37" s="9"/>
      <c r="V37" s="9"/>
      <c r="W37" s="9"/>
      <c r="X37" s="7" t="s">
        <v>31</v>
      </c>
      <c r="Y37" s="29">
        <v>13</v>
      </c>
      <c r="Z37" s="29">
        <v>19</v>
      </c>
      <c r="AA37" s="29">
        <v>21</v>
      </c>
      <c r="AB37" s="29">
        <v>23</v>
      </c>
      <c r="AC37" s="29">
        <v>22</v>
      </c>
      <c r="AD37" s="29">
        <v>16</v>
      </c>
      <c r="AE37" s="29">
        <v>17</v>
      </c>
      <c r="AF37" s="29">
        <v>19</v>
      </c>
      <c r="AG37" s="29">
        <v>24</v>
      </c>
      <c r="AH37" s="29">
        <v>27</v>
      </c>
      <c r="AI37" s="29">
        <v>19</v>
      </c>
      <c r="AJ37" s="29">
        <v>15</v>
      </c>
      <c r="AK37" s="29">
        <v>15</v>
      </c>
      <c r="AL37" s="29">
        <v>15</v>
      </c>
      <c r="AM37" s="29">
        <v>15</v>
      </c>
      <c r="AN37" s="29">
        <v>18</v>
      </c>
      <c r="AO37" s="29">
        <v>20</v>
      </c>
      <c r="AP37" s="29">
        <v>15</v>
      </c>
      <c r="AQ37" s="29">
        <v>15</v>
      </c>
      <c r="AR37" s="29">
        <v>15</v>
      </c>
      <c r="AS37" s="29">
        <v>15</v>
      </c>
      <c r="AT37" s="29">
        <v>15</v>
      </c>
      <c r="AU37" s="29">
        <v>20</v>
      </c>
      <c r="AV37" s="29">
        <v>20</v>
      </c>
      <c r="AW37" s="29">
        <v>20</v>
      </c>
      <c r="AX37" s="29">
        <v>15</v>
      </c>
      <c r="AY37" s="29">
        <v>15</v>
      </c>
      <c r="AZ37" s="29">
        <v>15</v>
      </c>
      <c r="BA37" s="29">
        <v>15</v>
      </c>
      <c r="BB37" s="29">
        <v>24</v>
      </c>
      <c r="BC37" s="29">
        <v>28</v>
      </c>
      <c r="BD37" s="29">
        <v>15</v>
      </c>
      <c r="BE37" s="29">
        <v>15</v>
      </c>
      <c r="BF37" s="10">
        <f>SUM(Y37:BE37)</f>
        <v>595</v>
      </c>
    </row>
    <row r="38" spans="2:58" ht="22" customHeight="1">
      <c r="B38" s="101"/>
      <c r="C38" s="101"/>
      <c r="D38" s="101"/>
      <c r="E38" s="101"/>
      <c r="F38" s="101"/>
      <c r="G38" s="101"/>
      <c r="H38" s="101"/>
      <c r="I38" s="101"/>
      <c r="J38" s="101"/>
      <c r="K38" s="101"/>
      <c r="L38" s="101"/>
      <c r="M38" s="101"/>
      <c r="N38" s="101"/>
      <c r="O38" s="101"/>
      <c r="P38" s="101"/>
      <c r="Q38" s="101"/>
      <c r="R38" s="101"/>
      <c r="S38" s="101"/>
      <c r="T38" s="9"/>
      <c r="U38" s="9"/>
      <c r="V38" s="9"/>
      <c r="W38" s="9"/>
      <c r="X38" s="7" t="s">
        <v>10</v>
      </c>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0">
        <f>SUM(Y38:BE38)</f>
        <v>0</v>
      </c>
    </row>
    <row r="39" spans="2:58" ht="22" customHeight="1">
      <c r="B39" s="102"/>
      <c r="C39" s="102"/>
      <c r="D39" s="102"/>
      <c r="E39" s="102"/>
      <c r="F39" s="102"/>
      <c r="G39" s="102"/>
      <c r="H39" s="102"/>
      <c r="I39" s="102"/>
      <c r="J39" s="102"/>
      <c r="K39" s="102"/>
      <c r="L39" s="102"/>
      <c r="M39" s="102"/>
      <c r="N39" s="102"/>
      <c r="O39" s="102"/>
      <c r="P39" s="102"/>
      <c r="Q39" s="102"/>
      <c r="R39" s="102"/>
      <c r="S39" s="102"/>
      <c r="T39" s="9"/>
      <c r="U39" s="9"/>
      <c r="V39" s="9"/>
      <c r="W39" s="9"/>
      <c r="X39" s="7" t="s">
        <v>11</v>
      </c>
      <c r="Y39" s="3">
        <f t="shared" ref="Y39:BF39" si="25">Y38-Y37</f>
        <v>-13</v>
      </c>
      <c r="Z39" s="3">
        <f t="shared" si="25"/>
        <v>-19</v>
      </c>
      <c r="AA39" s="3">
        <f t="shared" si="25"/>
        <v>-21</v>
      </c>
      <c r="AB39" s="3">
        <f t="shared" si="25"/>
        <v>-23</v>
      </c>
      <c r="AC39" s="3">
        <f t="shared" si="25"/>
        <v>-22</v>
      </c>
      <c r="AD39" s="3">
        <f t="shared" si="25"/>
        <v>-16</v>
      </c>
      <c r="AE39" s="3">
        <f t="shared" si="25"/>
        <v>-17</v>
      </c>
      <c r="AF39" s="3">
        <f t="shared" si="25"/>
        <v>-19</v>
      </c>
      <c r="AG39" s="3">
        <f t="shared" si="25"/>
        <v>-24</v>
      </c>
      <c r="AH39" s="3">
        <f t="shared" si="25"/>
        <v>-27</v>
      </c>
      <c r="AI39" s="3">
        <f t="shared" si="25"/>
        <v>-19</v>
      </c>
      <c r="AJ39" s="3">
        <f t="shared" si="25"/>
        <v>-15</v>
      </c>
      <c r="AK39" s="3">
        <f t="shared" si="25"/>
        <v>-15</v>
      </c>
      <c r="AL39" s="3">
        <f t="shared" si="25"/>
        <v>-15</v>
      </c>
      <c r="AM39" s="3">
        <f t="shared" si="25"/>
        <v>-15</v>
      </c>
      <c r="AN39" s="3">
        <f t="shared" si="25"/>
        <v>-18</v>
      </c>
      <c r="AO39" s="3">
        <f t="shared" si="25"/>
        <v>-20</v>
      </c>
      <c r="AP39" s="3">
        <f t="shared" si="25"/>
        <v>-15</v>
      </c>
      <c r="AQ39" s="3">
        <f t="shared" si="25"/>
        <v>-15</v>
      </c>
      <c r="AR39" s="3">
        <f t="shared" si="25"/>
        <v>-15</v>
      </c>
      <c r="AS39" s="3">
        <f t="shared" si="25"/>
        <v>-15</v>
      </c>
      <c r="AT39" s="3">
        <f t="shared" si="25"/>
        <v>-15</v>
      </c>
      <c r="AU39" s="3">
        <f t="shared" si="25"/>
        <v>-20</v>
      </c>
      <c r="AV39" s="3">
        <f t="shared" si="25"/>
        <v>-20</v>
      </c>
      <c r="AW39" s="3">
        <f t="shared" si="25"/>
        <v>-20</v>
      </c>
      <c r="AX39" s="3">
        <f t="shared" si="25"/>
        <v>-15</v>
      </c>
      <c r="AY39" s="3">
        <f t="shared" si="25"/>
        <v>-15</v>
      </c>
      <c r="AZ39" s="3">
        <f t="shared" si="25"/>
        <v>-15</v>
      </c>
      <c r="BA39" s="3">
        <f t="shared" si="25"/>
        <v>-15</v>
      </c>
      <c r="BB39" s="3">
        <f t="shared" si="25"/>
        <v>-24</v>
      </c>
      <c r="BC39" s="3">
        <f t="shared" si="25"/>
        <v>-28</v>
      </c>
      <c r="BD39" s="3">
        <f t="shared" si="25"/>
        <v>-15</v>
      </c>
      <c r="BE39" s="3">
        <f t="shared" si="25"/>
        <v>-15</v>
      </c>
      <c r="BF39" s="10">
        <f t="shared" si="25"/>
        <v>-595</v>
      </c>
    </row>
    <row r="40" spans="2:58" ht="22" customHeight="1">
      <c r="B40" s="107">
        <v>6</v>
      </c>
      <c r="C40" s="117" t="s">
        <v>48</v>
      </c>
      <c r="D40" s="108" t="s">
        <v>49</v>
      </c>
      <c r="E40" s="103"/>
      <c r="F40" s="109"/>
      <c r="G40" s="106">
        <f>SUM(Y40:AZ40)</f>
        <v>2319</v>
      </c>
      <c r="H40" s="106">
        <f>SUM(Y41:AZ41)</f>
        <v>0</v>
      </c>
      <c r="I40" s="111"/>
      <c r="J40" s="112">
        <f>IFERROR(H40/G40,0)</f>
        <v>0</v>
      </c>
      <c r="K40" s="110">
        <v>0.41410693970420931</v>
      </c>
      <c r="L40" s="110">
        <v>0.41410693970420931</v>
      </c>
      <c r="M40" s="111"/>
      <c r="N40" s="111"/>
      <c r="O40" s="111"/>
      <c r="P40" s="111"/>
      <c r="Q40" s="111"/>
      <c r="R40" s="111"/>
      <c r="S40" s="103" t="s">
        <v>37</v>
      </c>
      <c r="T40" s="39"/>
      <c r="U40" s="39"/>
      <c r="V40" s="39"/>
      <c r="W40" s="39"/>
      <c r="X40" s="33" t="s">
        <v>31</v>
      </c>
      <c r="Y40" s="93">
        <v>85</v>
      </c>
      <c r="Z40" s="40">
        <v>166</v>
      </c>
      <c r="AA40" s="40">
        <v>237</v>
      </c>
      <c r="AB40" s="40">
        <v>150</v>
      </c>
      <c r="AC40" s="40">
        <v>145</v>
      </c>
      <c r="AD40" s="40">
        <v>169</v>
      </c>
      <c r="AE40" s="40">
        <v>120</v>
      </c>
      <c r="AF40" s="40">
        <v>120</v>
      </c>
      <c r="AG40" s="40">
        <v>175</v>
      </c>
      <c r="AH40" s="40">
        <v>285</v>
      </c>
      <c r="AI40" s="40">
        <v>98</v>
      </c>
      <c r="AJ40" s="40">
        <v>28</v>
      </c>
      <c r="AK40" s="40">
        <v>28</v>
      </c>
      <c r="AL40" s="40">
        <v>28</v>
      </c>
      <c r="AM40" s="40">
        <v>28</v>
      </c>
      <c r="AN40" s="40">
        <v>38</v>
      </c>
      <c r="AO40" s="40">
        <v>46</v>
      </c>
      <c r="AP40" s="40">
        <v>32</v>
      </c>
      <c r="AQ40" s="40">
        <v>34</v>
      </c>
      <c r="AR40" s="40">
        <v>34</v>
      </c>
      <c r="AS40" s="40">
        <v>34</v>
      </c>
      <c r="AT40" s="40">
        <v>34</v>
      </c>
      <c r="AU40" s="40">
        <v>42</v>
      </c>
      <c r="AV40" s="40">
        <v>45</v>
      </c>
      <c r="AW40" s="40">
        <v>31</v>
      </c>
      <c r="AX40" s="40">
        <v>29</v>
      </c>
      <c r="AY40" s="40">
        <v>29</v>
      </c>
      <c r="AZ40" s="40">
        <v>29</v>
      </c>
      <c r="BA40" s="40">
        <v>29</v>
      </c>
      <c r="BB40" s="40">
        <v>39</v>
      </c>
      <c r="BC40" s="40">
        <v>42</v>
      </c>
      <c r="BD40" s="40">
        <v>29</v>
      </c>
      <c r="BE40" s="40">
        <v>29</v>
      </c>
      <c r="BF40" s="10">
        <f>SUM(Y40:BE40)</f>
        <v>2487</v>
      </c>
    </row>
    <row r="41" spans="2:58" ht="22" customHeight="1">
      <c r="B41" s="101"/>
      <c r="C41" s="101"/>
      <c r="D41" s="101"/>
      <c r="E41" s="101"/>
      <c r="F41" s="101"/>
      <c r="G41" s="101"/>
      <c r="H41" s="101"/>
      <c r="I41" s="101"/>
      <c r="J41" s="101"/>
      <c r="K41" s="101"/>
      <c r="L41" s="101"/>
      <c r="M41" s="101"/>
      <c r="N41" s="101"/>
      <c r="O41" s="101"/>
      <c r="P41" s="101"/>
      <c r="Q41" s="101"/>
      <c r="R41" s="101"/>
      <c r="S41" s="101"/>
      <c r="T41" s="39"/>
      <c r="U41" s="39"/>
      <c r="V41" s="39"/>
      <c r="W41" s="39"/>
      <c r="X41" s="33" t="s">
        <v>10</v>
      </c>
      <c r="Y41" s="41"/>
      <c r="Z41" s="41"/>
      <c r="AA41" s="41"/>
      <c r="AB41" s="41"/>
      <c r="AC41" s="41"/>
      <c r="AD41" s="41"/>
      <c r="AE41" s="41"/>
      <c r="AF41" s="41"/>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1"/>
      <c r="BF41" s="10">
        <f>SUM(Y41:BE41)</f>
        <v>0</v>
      </c>
    </row>
    <row r="42" spans="2:58" ht="22" customHeight="1">
      <c r="B42" s="101"/>
      <c r="C42" s="101"/>
      <c r="D42" s="101"/>
      <c r="E42" s="101"/>
      <c r="F42" s="101"/>
      <c r="G42" s="101"/>
      <c r="H42" s="101"/>
      <c r="I42" s="101"/>
      <c r="J42" s="101"/>
      <c r="K42" s="101"/>
      <c r="L42" s="101"/>
      <c r="M42" s="101"/>
      <c r="N42" s="101"/>
      <c r="O42" s="101"/>
      <c r="P42" s="101"/>
      <c r="Q42" s="101"/>
      <c r="R42" s="101"/>
      <c r="S42" s="101"/>
      <c r="T42" s="39"/>
      <c r="U42" s="39"/>
      <c r="V42" s="39"/>
      <c r="W42" s="39"/>
      <c r="X42" s="42" t="s">
        <v>38</v>
      </c>
      <c r="Y42" s="43">
        <v>19000</v>
      </c>
      <c r="Z42" s="43">
        <v>19000</v>
      </c>
      <c r="AA42" s="43">
        <v>19000</v>
      </c>
      <c r="AB42" s="43">
        <v>19000</v>
      </c>
      <c r="AC42" s="43">
        <v>19000</v>
      </c>
      <c r="AD42" s="43">
        <v>19000</v>
      </c>
      <c r="AE42" s="43">
        <v>19000</v>
      </c>
      <c r="AF42" s="43">
        <v>19000</v>
      </c>
      <c r="AG42" s="43">
        <v>19000</v>
      </c>
      <c r="AH42" s="43">
        <v>19000</v>
      </c>
      <c r="AI42" s="43">
        <v>19000</v>
      </c>
      <c r="AJ42" s="43">
        <v>14000</v>
      </c>
      <c r="AK42" s="43">
        <v>14000</v>
      </c>
      <c r="AL42" s="43">
        <v>14000</v>
      </c>
      <c r="AM42" s="43">
        <v>14000</v>
      </c>
      <c r="AN42" s="43">
        <v>14000</v>
      </c>
      <c r="AO42" s="43">
        <v>14000</v>
      </c>
      <c r="AP42" s="43">
        <v>14000</v>
      </c>
      <c r="AQ42" s="43">
        <v>14000</v>
      </c>
      <c r="AR42" s="43">
        <v>14000</v>
      </c>
      <c r="AS42" s="43">
        <v>14000</v>
      </c>
      <c r="AT42" s="43">
        <v>14000</v>
      </c>
      <c r="AU42" s="43">
        <v>14000</v>
      </c>
      <c r="AV42" s="43">
        <v>14000</v>
      </c>
      <c r="AW42" s="43">
        <v>14000</v>
      </c>
      <c r="AX42" s="43">
        <v>14000</v>
      </c>
      <c r="AY42" s="43">
        <v>14000</v>
      </c>
      <c r="AZ42" s="43">
        <v>14000</v>
      </c>
      <c r="BA42" s="43">
        <v>14000</v>
      </c>
      <c r="BB42" s="43">
        <v>14000</v>
      </c>
      <c r="BC42" s="43">
        <v>14000</v>
      </c>
      <c r="BD42" s="43">
        <v>14000</v>
      </c>
      <c r="BE42" s="43">
        <v>14000</v>
      </c>
      <c r="BF42" s="12">
        <f>SUM(Y42:BE42)</f>
        <v>517000</v>
      </c>
    </row>
    <row r="43" spans="2:58" ht="22" customHeight="1">
      <c r="B43" s="102"/>
      <c r="C43" s="102"/>
      <c r="D43" s="102"/>
      <c r="E43" s="102"/>
      <c r="F43" s="102"/>
      <c r="G43" s="102"/>
      <c r="H43" s="102"/>
      <c r="I43" s="102"/>
      <c r="J43" s="102"/>
      <c r="K43" s="102"/>
      <c r="L43" s="102"/>
      <c r="M43" s="102"/>
      <c r="N43" s="102"/>
      <c r="O43" s="102"/>
      <c r="P43" s="102"/>
      <c r="Q43" s="102"/>
      <c r="R43" s="102"/>
      <c r="S43" s="102"/>
      <c r="T43" s="39"/>
      <c r="U43" s="39"/>
      <c r="V43" s="39"/>
      <c r="W43" s="39"/>
      <c r="X43" s="33" t="s">
        <v>11</v>
      </c>
      <c r="Y43" s="36">
        <f t="shared" ref="Y43:BF43" si="26">Y41-Y40</f>
        <v>-85</v>
      </c>
      <c r="Z43" s="36">
        <f t="shared" si="26"/>
        <v>-166</v>
      </c>
      <c r="AA43" s="36">
        <f t="shared" si="26"/>
        <v>-237</v>
      </c>
      <c r="AB43" s="36">
        <f t="shared" si="26"/>
        <v>-150</v>
      </c>
      <c r="AC43" s="36">
        <f t="shared" si="26"/>
        <v>-145</v>
      </c>
      <c r="AD43" s="36">
        <f t="shared" si="26"/>
        <v>-169</v>
      </c>
      <c r="AE43" s="36">
        <f t="shared" si="26"/>
        <v>-120</v>
      </c>
      <c r="AF43" s="36">
        <f t="shared" si="26"/>
        <v>-120</v>
      </c>
      <c r="AG43" s="36">
        <f t="shared" si="26"/>
        <v>-175</v>
      </c>
      <c r="AH43" s="36">
        <f t="shared" si="26"/>
        <v>-285</v>
      </c>
      <c r="AI43" s="36">
        <f t="shared" si="26"/>
        <v>-98</v>
      </c>
      <c r="AJ43" s="36">
        <f t="shared" si="26"/>
        <v>-28</v>
      </c>
      <c r="AK43" s="36">
        <f t="shared" si="26"/>
        <v>-28</v>
      </c>
      <c r="AL43" s="36">
        <f t="shared" si="26"/>
        <v>-28</v>
      </c>
      <c r="AM43" s="36">
        <f t="shared" si="26"/>
        <v>-28</v>
      </c>
      <c r="AN43" s="36">
        <f t="shared" si="26"/>
        <v>-38</v>
      </c>
      <c r="AO43" s="36">
        <f t="shared" si="26"/>
        <v>-46</v>
      </c>
      <c r="AP43" s="36">
        <f t="shared" si="26"/>
        <v>-32</v>
      </c>
      <c r="AQ43" s="36">
        <f t="shared" si="26"/>
        <v>-34</v>
      </c>
      <c r="AR43" s="36">
        <f t="shared" si="26"/>
        <v>-34</v>
      </c>
      <c r="AS43" s="36">
        <f t="shared" si="26"/>
        <v>-34</v>
      </c>
      <c r="AT43" s="36">
        <f t="shared" si="26"/>
        <v>-34</v>
      </c>
      <c r="AU43" s="36">
        <f t="shared" si="26"/>
        <v>-42</v>
      </c>
      <c r="AV43" s="36">
        <f t="shared" si="26"/>
        <v>-45</v>
      </c>
      <c r="AW43" s="36">
        <f t="shared" si="26"/>
        <v>-31</v>
      </c>
      <c r="AX43" s="36">
        <f t="shared" si="26"/>
        <v>-29</v>
      </c>
      <c r="AY43" s="36">
        <f t="shared" si="26"/>
        <v>-29</v>
      </c>
      <c r="AZ43" s="36">
        <f t="shared" si="26"/>
        <v>-29</v>
      </c>
      <c r="BA43" s="36">
        <f t="shared" si="26"/>
        <v>-29</v>
      </c>
      <c r="BB43" s="36">
        <f t="shared" si="26"/>
        <v>-39</v>
      </c>
      <c r="BC43" s="36">
        <f t="shared" si="26"/>
        <v>-42</v>
      </c>
      <c r="BD43" s="36">
        <f t="shared" si="26"/>
        <v>-29</v>
      </c>
      <c r="BE43" s="36">
        <f t="shared" si="26"/>
        <v>-29</v>
      </c>
      <c r="BF43" s="10">
        <f t="shared" si="26"/>
        <v>-2487</v>
      </c>
    </row>
    <row r="44" spans="2:58" ht="22" customHeight="1">
      <c r="B44" s="104">
        <v>7</v>
      </c>
      <c r="C44" s="118" t="s">
        <v>50</v>
      </c>
      <c r="D44" s="105" t="s">
        <v>51</v>
      </c>
      <c r="E44" s="115"/>
      <c r="F44" s="119"/>
      <c r="G44" s="114">
        <f>SUM(Y44:AZ44)</f>
        <v>204</v>
      </c>
      <c r="H44" s="114">
        <f>SUM(Y45:AZ45)</f>
        <v>0</v>
      </c>
      <c r="I44" s="100"/>
      <c r="J44" s="116">
        <f>IFERROR(H44/G44,0)</f>
        <v>0</v>
      </c>
      <c r="K44" s="113">
        <v>0.51677852348993292</v>
      </c>
      <c r="L44" s="113">
        <v>0.51677852348993292</v>
      </c>
      <c r="M44" s="100"/>
      <c r="N44" s="100"/>
      <c r="O44" s="100"/>
      <c r="P44" s="100"/>
      <c r="Q44" s="100"/>
      <c r="R44" s="100"/>
      <c r="S44" s="115" t="s">
        <v>37</v>
      </c>
      <c r="T44" s="9"/>
      <c r="U44" s="9"/>
      <c r="V44" s="9"/>
      <c r="W44" s="9"/>
      <c r="X44" s="7" t="s">
        <v>31</v>
      </c>
      <c r="Y44" s="29">
        <v>5</v>
      </c>
      <c r="Z44" s="29">
        <v>7</v>
      </c>
      <c r="AA44" s="29">
        <v>10</v>
      </c>
      <c r="AB44" s="29">
        <v>8</v>
      </c>
      <c r="AC44" s="29">
        <v>8</v>
      </c>
      <c r="AD44" s="29">
        <v>8</v>
      </c>
      <c r="AE44" s="29">
        <v>8</v>
      </c>
      <c r="AF44" s="29">
        <v>8</v>
      </c>
      <c r="AG44" s="29">
        <v>8</v>
      </c>
      <c r="AH44" s="29">
        <v>10</v>
      </c>
      <c r="AI44" s="29">
        <v>10</v>
      </c>
      <c r="AJ44" s="29">
        <v>5</v>
      </c>
      <c r="AK44" s="29">
        <v>5</v>
      </c>
      <c r="AL44" s="29">
        <v>5</v>
      </c>
      <c r="AM44" s="29">
        <v>5</v>
      </c>
      <c r="AN44" s="29">
        <v>7</v>
      </c>
      <c r="AO44" s="29">
        <v>11</v>
      </c>
      <c r="AP44" s="29">
        <v>6</v>
      </c>
      <c r="AQ44" s="29">
        <v>6</v>
      </c>
      <c r="AR44" s="29">
        <v>6</v>
      </c>
      <c r="AS44" s="29">
        <v>6</v>
      </c>
      <c r="AT44" s="29">
        <v>6</v>
      </c>
      <c r="AU44" s="29">
        <v>8</v>
      </c>
      <c r="AV44" s="29">
        <v>10</v>
      </c>
      <c r="AW44" s="29">
        <v>10</v>
      </c>
      <c r="AX44" s="29">
        <v>6</v>
      </c>
      <c r="AY44" s="29">
        <v>6</v>
      </c>
      <c r="AZ44" s="29">
        <v>6</v>
      </c>
      <c r="BA44" s="29">
        <v>6</v>
      </c>
      <c r="BB44" s="29">
        <v>8</v>
      </c>
      <c r="BC44" s="29">
        <v>10</v>
      </c>
      <c r="BD44" s="29">
        <v>6</v>
      </c>
      <c r="BE44" s="29">
        <v>6</v>
      </c>
      <c r="BF44" s="10">
        <f>SUM(Y44:BE44)</f>
        <v>240</v>
      </c>
    </row>
    <row r="45" spans="2:58" ht="22" customHeight="1">
      <c r="B45" s="101"/>
      <c r="C45" s="101"/>
      <c r="D45" s="101"/>
      <c r="E45" s="101"/>
      <c r="F45" s="101"/>
      <c r="G45" s="101"/>
      <c r="H45" s="101"/>
      <c r="I45" s="101"/>
      <c r="J45" s="101"/>
      <c r="K45" s="101"/>
      <c r="L45" s="101"/>
      <c r="M45" s="101"/>
      <c r="N45" s="101"/>
      <c r="O45" s="101"/>
      <c r="P45" s="101"/>
      <c r="Q45" s="101"/>
      <c r="R45" s="101"/>
      <c r="S45" s="101"/>
      <c r="T45" s="9"/>
      <c r="U45" s="9"/>
      <c r="V45" s="9"/>
      <c r="W45" s="9"/>
      <c r="X45" s="7" t="s">
        <v>10</v>
      </c>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0">
        <f>SUM(Y45:BE45)</f>
        <v>0</v>
      </c>
    </row>
    <row r="46" spans="2:58" ht="22" customHeight="1">
      <c r="B46" s="101"/>
      <c r="C46" s="101"/>
      <c r="D46" s="101"/>
      <c r="E46" s="101"/>
      <c r="F46" s="101"/>
      <c r="G46" s="101"/>
      <c r="H46" s="101"/>
      <c r="I46" s="101"/>
      <c r="J46" s="101"/>
      <c r="K46" s="101"/>
      <c r="L46" s="101"/>
      <c r="M46" s="101"/>
      <c r="N46" s="101"/>
      <c r="O46" s="101"/>
      <c r="P46" s="101"/>
      <c r="Q46" s="101"/>
      <c r="R46" s="101"/>
      <c r="S46" s="101"/>
      <c r="T46" s="9"/>
      <c r="U46" s="9"/>
      <c r="V46" s="9"/>
      <c r="W46" s="9"/>
      <c r="X46" s="30" t="s">
        <v>38</v>
      </c>
      <c r="Y46" s="31">
        <v>12000</v>
      </c>
      <c r="Z46" s="31">
        <v>12000</v>
      </c>
      <c r="AA46" s="31">
        <v>12000</v>
      </c>
      <c r="AB46" s="31">
        <v>12000</v>
      </c>
      <c r="AC46" s="31">
        <v>12000</v>
      </c>
      <c r="AD46" s="31">
        <v>12000</v>
      </c>
      <c r="AE46" s="31">
        <v>12000</v>
      </c>
      <c r="AF46" s="31">
        <v>12000</v>
      </c>
      <c r="AG46" s="31">
        <v>12000</v>
      </c>
      <c r="AH46" s="31">
        <v>12000</v>
      </c>
      <c r="AI46" s="31">
        <v>12000</v>
      </c>
      <c r="AJ46" s="31">
        <v>12000</v>
      </c>
      <c r="AK46" s="31">
        <v>12000</v>
      </c>
      <c r="AL46" s="31">
        <v>12000</v>
      </c>
      <c r="AM46" s="31">
        <v>12000</v>
      </c>
      <c r="AN46" s="31">
        <v>12000</v>
      </c>
      <c r="AO46" s="31">
        <v>12000</v>
      </c>
      <c r="AP46" s="31">
        <v>12000</v>
      </c>
      <c r="AQ46" s="31">
        <v>12000</v>
      </c>
      <c r="AR46" s="31">
        <v>12000</v>
      </c>
      <c r="AS46" s="31">
        <v>12000</v>
      </c>
      <c r="AT46" s="31">
        <v>12000</v>
      </c>
      <c r="AU46" s="31">
        <v>12000</v>
      </c>
      <c r="AV46" s="31">
        <v>12000</v>
      </c>
      <c r="AW46" s="31">
        <v>12000</v>
      </c>
      <c r="AX46" s="31">
        <v>12000</v>
      </c>
      <c r="AY46" s="31">
        <v>12000</v>
      </c>
      <c r="AZ46" s="31">
        <v>12000</v>
      </c>
      <c r="BA46" s="31">
        <v>12000</v>
      </c>
      <c r="BB46" s="31">
        <v>12000</v>
      </c>
      <c r="BC46" s="31">
        <v>12000</v>
      </c>
      <c r="BD46" s="31">
        <v>12000</v>
      </c>
      <c r="BE46" s="31">
        <v>12000</v>
      </c>
      <c r="BF46" s="12">
        <f>SUM(Y46:BE46)</f>
        <v>396000</v>
      </c>
    </row>
    <row r="47" spans="2:58" ht="22" customHeight="1">
      <c r="B47" s="102"/>
      <c r="C47" s="102"/>
      <c r="D47" s="102"/>
      <c r="E47" s="102"/>
      <c r="F47" s="102"/>
      <c r="G47" s="102"/>
      <c r="H47" s="102"/>
      <c r="I47" s="102"/>
      <c r="J47" s="102"/>
      <c r="K47" s="102"/>
      <c r="L47" s="102"/>
      <c r="M47" s="102"/>
      <c r="N47" s="102"/>
      <c r="O47" s="102"/>
      <c r="P47" s="102"/>
      <c r="Q47" s="102"/>
      <c r="R47" s="102"/>
      <c r="S47" s="102"/>
      <c r="T47" s="9"/>
      <c r="U47" s="9"/>
      <c r="V47" s="9"/>
      <c r="W47" s="9"/>
      <c r="X47" s="7" t="s">
        <v>11</v>
      </c>
      <c r="Y47" s="3">
        <f t="shared" ref="Y47:BF47" si="27">Y45-Y44</f>
        <v>-5</v>
      </c>
      <c r="Z47" s="3">
        <f t="shared" si="27"/>
        <v>-7</v>
      </c>
      <c r="AA47" s="3">
        <f t="shared" si="27"/>
        <v>-10</v>
      </c>
      <c r="AB47" s="3">
        <f t="shared" si="27"/>
        <v>-8</v>
      </c>
      <c r="AC47" s="3">
        <f t="shared" si="27"/>
        <v>-8</v>
      </c>
      <c r="AD47" s="3">
        <f t="shared" si="27"/>
        <v>-8</v>
      </c>
      <c r="AE47" s="3">
        <f t="shared" si="27"/>
        <v>-8</v>
      </c>
      <c r="AF47" s="3">
        <f t="shared" si="27"/>
        <v>-8</v>
      </c>
      <c r="AG47" s="3">
        <f t="shared" si="27"/>
        <v>-8</v>
      </c>
      <c r="AH47" s="3">
        <f t="shared" si="27"/>
        <v>-10</v>
      </c>
      <c r="AI47" s="3">
        <f t="shared" si="27"/>
        <v>-10</v>
      </c>
      <c r="AJ47" s="3">
        <f t="shared" si="27"/>
        <v>-5</v>
      </c>
      <c r="AK47" s="3">
        <f t="shared" si="27"/>
        <v>-5</v>
      </c>
      <c r="AL47" s="3">
        <f t="shared" si="27"/>
        <v>-5</v>
      </c>
      <c r="AM47" s="3">
        <f t="shared" si="27"/>
        <v>-5</v>
      </c>
      <c r="AN47" s="3">
        <f t="shared" si="27"/>
        <v>-7</v>
      </c>
      <c r="AO47" s="3">
        <f t="shared" si="27"/>
        <v>-11</v>
      </c>
      <c r="AP47" s="3">
        <f t="shared" si="27"/>
        <v>-6</v>
      </c>
      <c r="AQ47" s="3">
        <f t="shared" si="27"/>
        <v>-6</v>
      </c>
      <c r="AR47" s="3">
        <f t="shared" si="27"/>
        <v>-6</v>
      </c>
      <c r="AS47" s="3">
        <f t="shared" si="27"/>
        <v>-6</v>
      </c>
      <c r="AT47" s="3">
        <f t="shared" si="27"/>
        <v>-6</v>
      </c>
      <c r="AU47" s="3">
        <f t="shared" si="27"/>
        <v>-8</v>
      </c>
      <c r="AV47" s="3">
        <f t="shared" si="27"/>
        <v>-10</v>
      </c>
      <c r="AW47" s="3">
        <f t="shared" si="27"/>
        <v>-10</v>
      </c>
      <c r="AX47" s="3">
        <f t="shared" si="27"/>
        <v>-6</v>
      </c>
      <c r="AY47" s="3">
        <f t="shared" si="27"/>
        <v>-6</v>
      </c>
      <c r="AZ47" s="3">
        <f t="shared" si="27"/>
        <v>-6</v>
      </c>
      <c r="BA47" s="3">
        <f t="shared" si="27"/>
        <v>-6</v>
      </c>
      <c r="BB47" s="3">
        <f t="shared" si="27"/>
        <v>-8</v>
      </c>
      <c r="BC47" s="3">
        <f t="shared" si="27"/>
        <v>-10</v>
      </c>
      <c r="BD47" s="3">
        <f t="shared" si="27"/>
        <v>-6</v>
      </c>
      <c r="BE47" s="3">
        <f t="shared" si="27"/>
        <v>-6</v>
      </c>
      <c r="BF47" s="10">
        <f t="shared" si="27"/>
        <v>-240</v>
      </c>
    </row>
    <row r="48" spans="2:58" ht="22" customHeight="1">
      <c r="B48" s="107">
        <v>8</v>
      </c>
      <c r="C48" s="117" t="s">
        <v>52</v>
      </c>
      <c r="D48" s="108" t="s">
        <v>53</v>
      </c>
      <c r="E48" s="103"/>
      <c r="F48" s="109"/>
      <c r="G48" s="106">
        <f>SUM(Y48:AZ48)</f>
        <v>332</v>
      </c>
      <c r="H48" s="106">
        <f>SUM(Y49:AZ49)</f>
        <v>0</v>
      </c>
      <c r="I48" s="111"/>
      <c r="J48" s="112">
        <f>IFERROR(H48/G48,0)</f>
        <v>0</v>
      </c>
      <c r="K48" s="110">
        <v>0.24175824175824179</v>
      </c>
      <c r="L48" s="110">
        <v>0.24175824175824179</v>
      </c>
      <c r="M48" s="111"/>
      <c r="N48" s="111"/>
      <c r="O48" s="111"/>
      <c r="P48" s="111"/>
      <c r="Q48" s="111"/>
      <c r="R48" s="111"/>
      <c r="S48" s="103" t="s">
        <v>47</v>
      </c>
      <c r="T48" s="39"/>
      <c r="U48" s="39"/>
      <c r="V48" s="39"/>
      <c r="W48" s="39"/>
      <c r="X48" s="33" t="s">
        <v>31</v>
      </c>
      <c r="Y48" s="40">
        <v>16</v>
      </c>
      <c r="Z48" s="40">
        <v>19</v>
      </c>
      <c r="AA48" s="40">
        <v>16</v>
      </c>
      <c r="AB48" s="40">
        <v>14</v>
      </c>
      <c r="AC48" s="40">
        <v>15</v>
      </c>
      <c r="AD48" s="40">
        <v>12</v>
      </c>
      <c r="AE48" s="40">
        <v>9</v>
      </c>
      <c r="AF48" s="40">
        <v>18</v>
      </c>
      <c r="AG48" s="40">
        <v>25</v>
      </c>
      <c r="AH48" s="40">
        <v>20</v>
      </c>
      <c r="AI48" s="40">
        <v>16</v>
      </c>
      <c r="AJ48" s="40">
        <v>8</v>
      </c>
      <c r="AK48" s="40">
        <v>8</v>
      </c>
      <c r="AL48" s="40">
        <v>8</v>
      </c>
      <c r="AM48" s="40">
        <v>8</v>
      </c>
      <c r="AN48" s="40">
        <v>10</v>
      </c>
      <c r="AO48" s="40">
        <v>10</v>
      </c>
      <c r="AP48" s="40">
        <v>9</v>
      </c>
      <c r="AQ48" s="40">
        <v>9</v>
      </c>
      <c r="AR48" s="40">
        <v>9</v>
      </c>
      <c r="AS48" s="40">
        <v>8</v>
      </c>
      <c r="AT48" s="40">
        <v>8</v>
      </c>
      <c r="AU48" s="40">
        <v>10</v>
      </c>
      <c r="AV48" s="40">
        <v>9</v>
      </c>
      <c r="AW48" s="40">
        <v>8</v>
      </c>
      <c r="AX48" s="40">
        <v>10</v>
      </c>
      <c r="AY48" s="40">
        <v>10</v>
      </c>
      <c r="AZ48" s="40">
        <v>10</v>
      </c>
      <c r="BA48" s="40">
        <v>10</v>
      </c>
      <c r="BB48" s="40">
        <v>12</v>
      </c>
      <c r="BC48" s="40">
        <v>11</v>
      </c>
      <c r="BD48" s="40">
        <v>10</v>
      </c>
      <c r="BE48" s="40">
        <v>10</v>
      </c>
      <c r="BF48" s="10">
        <f>SUM(Y48:BE48)</f>
        <v>385</v>
      </c>
    </row>
    <row r="49" spans="2:58" ht="22" customHeight="1">
      <c r="B49" s="101"/>
      <c r="C49" s="101"/>
      <c r="D49" s="101"/>
      <c r="E49" s="101"/>
      <c r="F49" s="101"/>
      <c r="G49" s="101"/>
      <c r="H49" s="101"/>
      <c r="I49" s="101"/>
      <c r="J49" s="101"/>
      <c r="K49" s="101"/>
      <c r="L49" s="101"/>
      <c r="M49" s="101"/>
      <c r="N49" s="101"/>
      <c r="O49" s="101"/>
      <c r="P49" s="101"/>
      <c r="Q49" s="101"/>
      <c r="R49" s="101"/>
      <c r="S49" s="101"/>
      <c r="T49" s="39"/>
      <c r="U49" s="39"/>
      <c r="V49" s="39"/>
      <c r="W49" s="39"/>
      <c r="X49" s="33" t="s">
        <v>10</v>
      </c>
      <c r="Y49" s="41"/>
      <c r="Z49" s="41"/>
      <c r="AA49" s="41"/>
      <c r="AB49" s="41"/>
      <c r="AC49" s="41"/>
      <c r="AD49" s="41"/>
      <c r="AE49" s="41"/>
      <c r="AF49" s="41"/>
      <c r="AG49" s="41"/>
      <c r="AH49" s="41"/>
      <c r="AI49" s="41"/>
      <c r="AJ49" s="41"/>
      <c r="AK49" s="41"/>
      <c r="AL49" s="41"/>
      <c r="AM49" s="41"/>
      <c r="AN49" s="41"/>
      <c r="AO49" s="41"/>
      <c r="AP49" s="41"/>
      <c r="AQ49" s="41"/>
      <c r="AR49" s="41"/>
      <c r="AS49" s="41"/>
      <c r="AT49" s="41"/>
      <c r="AU49" s="41"/>
      <c r="AV49" s="41"/>
      <c r="AW49" s="41"/>
      <c r="AX49" s="41"/>
      <c r="AY49" s="41"/>
      <c r="AZ49" s="41"/>
      <c r="BA49" s="41"/>
      <c r="BB49" s="41"/>
      <c r="BC49" s="41"/>
      <c r="BD49" s="41"/>
      <c r="BE49" s="41"/>
      <c r="BF49" s="10">
        <f>SUM(Y49:BE49)</f>
        <v>0</v>
      </c>
    </row>
    <row r="50" spans="2:58" ht="22" customHeight="1">
      <c r="B50" s="102"/>
      <c r="C50" s="102"/>
      <c r="D50" s="102"/>
      <c r="E50" s="102"/>
      <c r="F50" s="102"/>
      <c r="G50" s="102"/>
      <c r="H50" s="102"/>
      <c r="I50" s="102"/>
      <c r="J50" s="102"/>
      <c r="K50" s="102"/>
      <c r="L50" s="102"/>
      <c r="M50" s="102"/>
      <c r="N50" s="102"/>
      <c r="O50" s="102"/>
      <c r="P50" s="102"/>
      <c r="Q50" s="102"/>
      <c r="R50" s="102"/>
      <c r="S50" s="102"/>
      <c r="T50" s="39"/>
      <c r="U50" s="39"/>
      <c r="V50" s="39"/>
      <c r="W50" s="39"/>
      <c r="X50" s="33" t="s">
        <v>11</v>
      </c>
      <c r="Y50" s="36">
        <f t="shared" ref="Y50:BF50" si="28">Y49-Y48</f>
        <v>-16</v>
      </c>
      <c r="Z50" s="36">
        <f t="shared" si="28"/>
        <v>-19</v>
      </c>
      <c r="AA50" s="36">
        <f t="shared" si="28"/>
        <v>-16</v>
      </c>
      <c r="AB50" s="36">
        <f t="shared" si="28"/>
        <v>-14</v>
      </c>
      <c r="AC50" s="36">
        <f t="shared" si="28"/>
        <v>-15</v>
      </c>
      <c r="AD50" s="36">
        <f t="shared" si="28"/>
        <v>-12</v>
      </c>
      <c r="AE50" s="36">
        <f t="shared" si="28"/>
        <v>-9</v>
      </c>
      <c r="AF50" s="36">
        <f t="shared" si="28"/>
        <v>-18</v>
      </c>
      <c r="AG50" s="36">
        <f t="shared" si="28"/>
        <v>-25</v>
      </c>
      <c r="AH50" s="36">
        <f t="shared" si="28"/>
        <v>-20</v>
      </c>
      <c r="AI50" s="36">
        <f t="shared" si="28"/>
        <v>-16</v>
      </c>
      <c r="AJ50" s="36">
        <f t="shared" si="28"/>
        <v>-8</v>
      </c>
      <c r="AK50" s="36">
        <f t="shared" si="28"/>
        <v>-8</v>
      </c>
      <c r="AL50" s="36">
        <f t="shared" si="28"/>
        <v>-8</v>
      </c>
      <c r="AM50" s="36">
        <f t="shared" si="28"/>
        <v>-8</v>
      </c>
      <c r="AN50" s="36">
        <f t="shared" si="28"/>
        <v>-10</v>
      </c>
      <c r="AO50" s="36">
        <f t="shared" si="28"/>
        <v>-10</v>
      </c>
      <c r="AP50" s="36">
        <f t="shared" si="28"/>
        <v>-9</v>
      </c>
      <c r="AQ50" s="36">
        <f t="shared" si="28"/>
        <v>-9</v>
      </c>
      <c r="AR50" s="36">
        <f t="shared" si="28"/>
        <v>-9</v>
      </c>
      <c r="AS50" s="36">
        <f t="shared" si="28"/>
        <v>-8</v>
      </c>
      <c r="AT50" s="36">
        <f t="shared" si="28"/>
        <v>-8</v>
      </c>
      <c r="AU50" s="36">
        <f t="shared" si="28"/>
        <v>-10</v>
      </c>
      <c r="AV50" s="36">
        <f t="shared" si="28"/>
        <v>-9</v>
      </c>
      <c r="AW50" s="36">
        <f t="shared" si="28"/>
        <v>-8</v>
      </c>
      <c r="AX50" s="36">
        <f t="shared" si="28"/>
        <v>-10</v>
      </c>
      <c r="AY50" s="36">
        <f t="shared" si="28"/>
        <v>-10</v>
      </c>
      <c r="AZ50" s="36">
        <f t="shared" si="28"/>
        <v>-10</v>
      </c>
      <c r="BA50" s="36">
        <f t="shared" si="28"/>
        <v>-10</v>
      </c>
      <c r="BB50" s="36">
        <f t="shared" si="28"/>
        <v>-12</v>
      </c>
      <c r="BC50" s="36">
        <f t="shared" si="28"/>
        <v>-11</v>
      </c>
      <c r="BD50" s="36">
        <f t="shared" si="28"/>
        <v>-10</v>
      </c>
      <c r="BE50" s="36">
        <f t="shared" si="28"/>
        <v>-10</v>
      </c>
      <c r="BF50" s="10">
        <f t="shared" si="28"/>
        <v>-385</v>
      </c>
    </row>
    <row r="51" spans="2:58" ht="22" customHeight="1">
      <c r="B51" s="104">
        <v>9</v>
      </c>
      <c r="C51" s="118" t="s">
        <v>54</v>
      </c>
      <c r="D51" s="105" t="s">
        <v>55</v>
      </c>
      <c r="E51" s="115"/>
      <c r="F51" s="119"/>
      <c r="G51" s="114">
        <f>SUM(Y51:AZ51)</f>
        <v>218</v>
      </c>
      <c r="H51" s="114">
        <f>SUM(Y52:AZ52)</f>
        <v>0</v>
      </c>
      <c r="I51" s="100"/>
      <c r="J51" s="116">
        <f>IFERROR(H51/G51,0)</f>
        <v>0</v>
      </c>
      <c r="K51" s="113">
        <v>0.26022304832713761</v>
      </c>
      <c r="L51" s="113">
        <v>0.26022304832713761</v>
      </c>
      <c r="M51" s="100"/>
      <c r="N51" s="100"/>
      <c r="O51" s="100"/>
      <c r="P51" s="100"/>
      <c r="Q51" s="100"/>
      <c r="R51" s="100"/>
      <c r="S51" s="115" t="s">
        <v>37</v>
      </c>
      <c r="T51" s="9"/>
      <c r="U51" s="9"/>
      <c r="V51" s="9"/>
      <c r="W51" s="9"/>
      <c r="X51" s="7" t="s">
        <v>31</v>
      </c>
      <c r="Y51" s="29">
        <v>8</v>
      </c>
      <c r="Z51" s="29">
        <v>8</v>
      </c>
      <c r="AA51" s="29">
        <v>8</v>
      </c>
      <c r="AB51" s="29">
        <v>8</v>
      </c>
      <c r="AC51" s="29">
        <v>8</v>
      </c>
      <c r="AD51" s="29">
        <v>8</v>
      </c>
      <c r="AE51" s="29">
        <v>8</v>
      </c>
      <c r="AF51" s="29">
        <v>8</v>
      </c>
      <c r="AG51" s="29">
        <v>8</v>
      </c>
      <c r="AH51" s="29">
        <v>10</v>
      </c>
      <c r="AI51" s="29">
        <v>8</v>
      </c>
      <c r="AJ51" s="29">
        <v>7</v>
      </c>
      <c r="AK51" s="29">
        <v>7</v>
      </c>
      <c r="AL51" s="29">
        <v>7</v>
      </c>
      <c r="AM51" s="29">
        <v>7</v>
      </c>
      <c r="AN51" s="29">
        <v>8</v>
      </c>
      <c r="AO51" s="29">
        <v>9</v>
      </c>
      <c r="AP51" s="29">
        <v>7</v>
      </c>
      <c r="AQ51" s="29">
        <v>7</v>
      </c>
      <c r="AR51" s="29">
        <v>7</v>
      </c>
      <c r="AS51" s="29">
        <v>7</v>
      </c>
      <c r="AT51" s="29">
        <v>7</v>
      </c>
      <c r="AU51" s="29">
        <v>8</v>
      </c>
      <c r="AV51" s="29">
        <v>9</v>
      </c>
      <c r="AW51" s="29">
        <v>10</v>
      </c>
      <c r="AX51" s="29">
        <v>7</v>
      </c>
      <c r="AY51" s="29">
        <v>7</v>
      </c>
      <c r="AZ51" s="29">
        <v>7</v>
      </c>
      <c r="BA51" s="29">
        <v>7</v>
      </c>
      <c r="BB51" s="29">
        <v>8</v>
      </c>
      <c r="BC51" s="29">
        <v>9</v>
      </c>
      <c r="BD51" s="29">
        <v>7</v>
      </c>
      <c r="BE51" s="29">
        <v>7</v>
      </c>
      <c r="BF51" s="10">
        <f>SUM(Y51:BE51)</f>
        <v>256</v>
      </c>
    </row>
    <row r="52" spans="2:58" ht="22" customHeight="1">
      <c r="B52" s="101"/>
      <c r="C52" s="101"/>
      <c r="D52" s="101"/>
      <c r="E52" s="101"/>
      <c r="F52" s="101"/>
      <c r="G52" s="101"/>
      <c r="H52" s="101"/>
      <c r="I52" s="101"/>
      <c r="J52" s="101"/>
      <c r="K52" s="101"/>
      <c r="L52" s="101"/>
      <c r="M52" s="101"/>
      <c r="N52" s="101"/>
      <c r="O52" s="101"/>
      <c r="P52" s="101"/>
      <c r="Q52" s="101"/>
      <c r="R52" s="101"/>
      <c r="S52" s="101"/>
      <c r="T52" s="9"/>
      <c r="U52" s="9"/>
      <c r="V52" s="9"/>
      <c r="W52" s="9"/>
      <c r="X52" s="7" t="s">
        <v>10</v>
      </c>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0">
        <f>SUM(Y52:BE52)</f>
        <v>0</v>
      </c>
    </row>
    <row r="53" spans="2:58" ht="22" customHeight="1">
      <c r="B53" s="101"/>
      <c r="C53" s="101"/>
      <c r="D53" s="101"/>
      <c r="E53" s="101"/>
      <c r="F53" s="101"/>
      <c r="G53" s="101"/>
      <c r="H53" s="101"/>
      <c r="I53" s="101"/>
      <c r="J53" s="101"/>
      <c r="K53" s="101"/>
      <c r="L53" s="101"/>
      <c r="M53" s="101"/>
      <c r="N53" s="101"/>
      <c r="O53" s="101"/>
      <c r="P53" s="101"/>
      <c r="Q53" s="101"/>
      <c r="R53" s="101"/>
      <c r="S53" s="101"/>
      <c r="T53" s="9"/>
      <c r="U53" s="9"/>
      <c r="V53" s="9"/>
      <c r="W53" s="9"/>
      <c r="X53" s="30" t="s">
        <v>38</v>
      </c>
      <c r="Y53" s="31">
        <v>18000</v>
      </c>
      <c r="Z53" s="31">
        <v>18000</v>
      </c>
      <c r="AA53" s="31">
        <v>18000</v>
      </c>
      <c r="AB53" s="31">
        <v>18000</v>
      </c>
      <c r="AC53" s="31">
        <v>18000</v>
      </c>
      <c r="AD53" s="31">
        <v>18000</v>
      </c>
      <c r="AE53" s="31">
        <v>18000</v>
      </c>
      <c r="AF53" s="31">
        <v>18000</v>
      </c>
      <c r="AG53" s="31">
        <v>18000</v>
      </c>
      <c r="AH53" s="31">
        <v>18000</v>
      </c>
      <c r="AI53" s="31">
        <v>18000</v>
      </c>
      <c r="AJ53" s="31">
        <v>18000</v>
      </c>
      <c r="AK53" s="31">
        <v>18000</v>
      </c>
      <c r="AL53" s="31">
        <v>18000</v>
      </c>
      <c r="AM53" s="31">
        <v>18000</v>
      </c>
      <c r="AN53" s="31">
        <v>18000</v>
      </c>
      <c r="AO53" s="31">
        <v>18000</v>
      </c>
      <c r="AP53" s="31">
        <v>18000</v>
      </c>
      <c r="AQ53" s="31">
        <v>18000</v>
      </c>
      <c r="AR53" s="31">
        <v>18000</v>
      </c>
      <c r="AS53" s="31">
        <v>18000</v>
      </c>
      <c r="AT53" s="31">
        <v>18000</v>
      </c>
      <c r="AU53" s="31">
        <v>18000</v>
      </c>
      <c r="AV53" s="31">
        <v>18000</v>
      </c>
      <c r="AW53" s="31">
        <v>18000</v>
      </c>
      <c r="AX53" s="31">
        <v>18000</v>
      </c>
      <c r="AY53" s="31">
        <v>18000</v>
      </c>
      <c r="AZ53" s="31">
        <v>18000</v>
      </c>
      <c r="BA53" s="31">
        <v>18000</v>
      </c>
      <c r="BB53" s="31">
        <v>18000</v>
      </c>
      <c r="BC53" s="31">
        <v>18000</v>
      </c>
      <c r="BD53" s="31">
        <v>18000</v>
      </c>
      <c r="BE53" s="31">
        <v>18000</v>
      </c>
      <c r="BF53" s="12">
        <f>SUM(Y53:BE53)</f>
        <v>594000</v>
      </c>
    </row>
    <row r="54" spans="2:58" ht="22" customHeight="1">
      <c r="B54" s="102"/>
      <c r="C54" s="102"/>
      <c r="D54" s="102"/>
      <c r="E54" s="102"/>
      <c r="F54" s="102"/>
      <c r="G54" s="102"/>
      <c r="H54" s="102"/>
      <c r="I54" s="102"/>
      <c r="J54" s="102"/>
      <c r="K54" s="102"/>
      <c r="L54" s="102"/>
      <c r="M54" s="102"/>
      <c r="N54" s="102"/>
      <c r="O54" s="102"/>
      <c r="P54" s="102"/>
      <c r="Q54" s="102"/>
      <c r="R54" s="102"/>
      <c r="S54" s="102"/>
      <c r="T54" s="9"/>
      <c r="U54" s="9"/>
      <c r="V54" s="9"/>
      <c r="W54" s="9"/>
      <c r="X54" s="7" t="s">
        <v>11</v>
      </c>
      <c r="Y54" s="3">
        <f t="shared" ref="Y54:BF54" si="29">Y52-Y51</f>
        <v>-8</v>
      </c>
      <c r="Z54" s="3">
        <f t="shared" si="29"/>
        <v>-8</v>
      </c>
      <c r="AA54" s="3">
        <f t="shared" si="29"/>
        <v>-8</v>
      </c>
      <c r="AB54" s="3">
        <f t="shared" si="29"/>
        <v>-8</v>
      </c>
      <c r="AC54" s="3">
        <f t="shared" si="29"/>
        <v>-8</v>
      </c>
      <c r="AD54" s="3">
        <f t="shared" si="29"/>
        <v>-8</v>
      </c>
      <c r="AE54" s="3">
        <f t="shared" si="29"/>
        <v>-8</v>
      </c>
      <c r="AF54" s="3">
        <f t="shared" si="29"/>
        <v>-8</v>
      </c>
      <c r="AG54" s="3">
        <f t="shared" si="29"/>
        <v>-8</v>
      </c>
      <c r="AH54" s="3">
        <f t="shared" si="29"/>
        <v>-10</v>
      </c>
      <c r="AI54" s="3">
        <f t="shared" si="29"/>
        <v>-8</v>
      </c>
      <c r="AJ54" s="3">
        <f t="shared" si="29"/>
        <v>-7</v>
      </c>
      <c r="AK54" s="3">
        <f t="shared" si="29"/>
        <v>-7</v>
      </c>
      <c r="AL54" s="3">
        <f t="shared" si="29"/>
        <v>-7</v>
      </c>
      <c r="AM54" s="3">
        <f t="shared" si="29"/>
        <v>-7</v>
      </c>
      <c r="AN54" s="3">
        <f t="shared" si="29"/>
        <v>-8</v>
      </c>
      <c r="AO54" s="3">
        <f t="shared" si="29"/>
        <v>-9</v>
      </c>
      <c r="AP54" s="3">
        <f t="shared" si="29"/>
        <v>-7</v>
      </c>
      <c r="AQ54" s="3">
        <f t="shared" si="29"/>
        <v>-7</v>
      </c>
      <c r="AR54" s="3">
        <f t="shared" si="29"/>
        <v>-7</v>
      </c>
      <c r="AS54" s="3">
        <f t="shared" si="29"/>
        <v>-7</v>
      </c>
      <c r="AT54" s="3">
        <f t="shared" si="29"/>
        <v>-7</v>
      </c>
      <c r="AU54" s="3">
        <f t="shared" si="29"/>
        <v>-8</v>
      </c>
      <c r="AV54" s="3">
        <f t="shared" si="29"/>
        <v>-9</v>
      </c>
      <c r="AW54" s="3">
        <f t="shared" si="29"/>
        <v>-10</v>
      </c>
      <c r="AX54" s="3">
        <f t="shared" si="29"/>
        <v>-7</v>
      </c>
      <c r="AY54" s="3">
        <f t="shared" si="29"/>
        <v>-7</v>
      </c>
      <c r="AZ54" s="3">
        <f t="shared" si="29"/>
        <v>-7</v>
      </c>
      <c r="BA54" s="3">
        <f t="shared" si="29"/>
        <v>-7</v>
      </c>
      <c r="BB54" s="3">
        <f t="shared" si="29"/>
        <v>-8</v>
      </c>
      <c r="BC54" s="3">
        <f t="shared" si="29"/>
        <v>-9</v>
      </c>
      <c r="BD54" s="3">
        <f t="shared" si="29"/>
        <v>-7</v>
      </c>
      <c r="BE54" s="3">
        <f t="shared" si="29"/>
        <v>-7</v>
      </c>
      <c r="BF54" s="10">
        <f t="shared" si="29"/>
        <v>-256</v>
      </c>
    </row>
    <row r="55" spans="2:58" ht="22" customHeight="1">
      <c r="B55" s="107">
        <v>10</v>
      </c>
      <c r="C55" s="117" t="s">
        <v>56</v>
      </c>
      <c r="D55" s="108" t="s">
        <v>57</v>
      </c>
      <c r="E55" s="103"/>
      <c r="F55" s="109"/>
      <c r="G55" s="106">
        <f>SUM(Y55:AZ55)</f>
        <v>233</v>
      </c>
      <c r="H55" s="106">
        <f>SUM(Y56:AZ56)</f>
        <v>0</v>
      </c>
      <c r="I55" s="111"/>
      <c r="J55" s="112">
        <f>IFERROR(H55/G55,0)</f>
        <v>0</v>
      </c>
      <c r="K55" s="110">
        <v>0.65372168284789645</v>
      </c>
      <c r="L55" s="110">
        <v>0.65372168284789645</v>
      </c>
      <c r="M55" s="111"/>
      <c r="N55" s="111"/>
      <c r="O55" s="111"/>
      <c r="P55" s="111"/>
      <c r="Q55" s="111"/>
      <c r="R55" s="111"/>
      <c r="S55" s="103" t="s">
        <v>37</v>
      </c>
      <c r="T55" s="39"/>
      <c r="U55" s="39"/>
      <c r="V55" s="39"/>
      <c r="W55" s="39"/>
      <c r="X55" s="33" t="s">
        <v>31</v>
      </c>
      <c r="Y55" s="40">
        <v>8</v>
      </c>
      <c r="Z55" s="40">
        <v>8</v>
      </c>
      <c r="AA55" s="40">
        <v>11</v>
      </c>
      <c r="AB55" s="40">
        <v>8</v>
      </c>
      <c r="AC55" s="40">
        <v>8</v>
      </c>
      <c r="AD55" s="40">
        <v>8</v>
      </c>
      <c r="AE55" s="40">
        <v>8</v>
      </c>
      <c r="AF55" s="40">
        <v>8</v>
      </c>
      <c r="AG55" s="40">
        <v>8</v>
      </c>
      <c r="AH55" s="40">
        <v>17</v>
      </c>
      <c r="AI55" s="40">
        <v>13</v>
      </c>
      <c r="AJ55" s="40">
        <v>7</v>
      </c>
      <c r="AK55" s="40">
        <v>7</v>
      </c>
      <c r="AL55" s="40">
        <v>7</v>
      </c>
      <c r="AM55" s="40">
        <v>7</v>
      </c>
      <c r="AN55" s="40">
        <v>8</v>
      </c>
      <c r="AO55" s="40">
        <v>9</v>
      </c>
      <c r="AP55" s="40">
        <v>7</v>
      </c>
      <c r="AQ55" s="40">
        <v>7</v>
      </c>
      <c r="AR55" s="40">
        <v>7</v>
      </c>
      <c r="AS55" s="40">
        <v>7</v>
      </c>
      <c r="AT55" s="40">
        <v>7</v>
      </c>
      <c r="AU55" s="40">
        <v>8</v>
      </c>
      <c r="AV55" s="40">
        <v>9</v>
      </c>
      <c r="AW55" s="40">
        <v>10</v>
      </c>
      <c r="AX55" s="40">
        <v>7</v>
      </c>
      <c r="AY55" s="40">
        <v>7</v>
      </c>
      <c r="AZ55" s="40">
        <v>7</v>
      </c>
      <c r="BA55" s="40">
        <v>7</v>
      </c>
      <c r="BB55" s="40">
        <v>8</v>
      </c>
      <c r="BC55" s="40">
        <v>9</v>
      </c>
      <c r="BD55" s="40">
        <v>7</v>
      </c>
      <c r="BE55" s="40">
        <v>7</v>
      </c>
      <c r="BF55" s="10">
        <f>SUM(Y55:BE55)</f>
        <v>271</v>
      </c>
    </row>
    <row r="56" spans="2:58" ht="22" customHeight="1">
      <c r="B56" s="101"/>
      <c r="C56" s="101"/>
      <c r="D56" s="101"/>
      <c r="E56" s="101"/>
      <c r="F56" s="101"/>
      <c r="G56" s="101"/>
      <c r="H56" s="101"/>
      <c r="I56" s="101"/>
      <c r="J56" s="101"/>
      <c r="K56" s="101"/>
      <c r="L56" s="101"/>
      <c r="M56" s="101"/>
      <c r="N56" s="101"/>
      <c r="O56" s="101"/>
      <c r="P56" s="101"/>
      <c r="Q56" s="101"/>
      <c r="R56" s="101"/>
      <c r="S56" s="101"/>
      <c r="T56" s="39"/>
      <c r="U56" s="39"/>
      <c r="V56" s="39"/>
      <c r="W56" s="39"/>
      <c r="X56" s="33" t="s">
        <v>10</v>
      </c>
      <c r="Y56" s="41"/>
      <c r="Z56" s="41"/>
      <c r="AA56" s="41"/>
      <c r="AB56" s="41"/>
      <c r="AC56" s="41"/>
      <c r="AD56" s="41"/>
      <c r="AE56" s="41"/>
      <c r="AF56" s="41"/>
      <c r="AG56" s="41"/>
      <c r="AH56" s="41"/>
      <c r="AI56" s="41"/>
      <c r="AJ56" s="41"/>
      <c r="AK56" s="41"/>
      <c r="AL56" s="41"/>
      <c r="AM56" s="41"/>
      <c r="AN56" s="41"/>
      <c r="AO56" s="41"/>
      <c r="AP56" s="41"/>
      <c r="AQ56" s="41"/>
      <c r="AR56" s="41"/>
      <c r="AS56" s="41"/>
      <c r="AT56" s="41"/>
      <c r="AU56" s="41"/>
      <c r="AV56" s="41"/>
      <c r="AW56" s="41"/>
      <c r="AX56" s="41"/>
      <c r="AY56" s="41"/>
      <c r="AZ56" s="41"/>
      <c r="BA56" s="41"/>
      <c r="BB56" s="41"/>
      <c r="BC56" s="41"/>
      <c r="BD56" s="41"/>
      <c r="BE56" s="41"/>
      <c r="BF56" s="10">
        <f>SUM(Y56:BE56)</f>
        <v>0</v>
      </c>
    </row>
    <row r="57" spans="2:58" ht="22" customHeight="1">
      <c r="B57" s="101"/>
      <c r="C57" s="101"/>
      <c r="D57" s="101"/>
      <c r="E57" s="101"/>
      <c r="F57" s="101"/>
      <c r="G57" s="101"/>
      <c r="H57" s="101"/>
      <c r="I57" s="101"/>
      <c r="J57" s="101"/>
      <c r="K57" s="101"/>
      <c r="L57" s="101"/>
      <c r="M57" s="101"/>
      <c r="N57" s="101"/>
      <c r="O57" s="101"/>
      <c r="P57" s="101"/>
      <c r="Q57" s="101"/>
      <c r="R57" s="101"/>
      <c r="S57" s="101"/>
      <c r="T57" s="39"/>
      <c r="U57" s="39"/>
      <c r="V57" s="39"/>
      <c r="W57" s="39"/>
      <c r="X57" s="42" t="s">
        <v>38</v>
      </c>
      <c r="Y57" s="43">
        <v>18000</v>
      </c>
      <c r="Z57" s="43">
        <v>18000</v>
      </c>
      <c r="AA57" s="43">
        <v>18000</v>
      </c>
      <c r="AB57" s="43">
        <v>18000</v>
      </c>
      <c r="AC57" s="43">
        <v>18000</v>
      </c>
      <c r="AD57" s="43">
        <v>18000</v>
      </c>
      <c r="AE57" s="43">
        <v>18000</v>
      </c>
      <c r="AF57" s="43">
        <v>18000</v>
      </c>
      <c r="AG57" s="43">
        <v>18000</v>
      </c>
      <c r="AH57" s="43">
        <v>18000</v>
      </c>
      <c r="AI57" s="43">
        <v>18000</v>
      </c>
      <c r="AJ57" s="43">
        <v>18000</v>
      </c>
      <c r="AK57" s="43">
        <v>18000</v>
      </c>
      <c r="AL57" s="43">
        <v>18000</v>
      </c>
      <c r="AM57" s="43">
        <v>18000</v>
      </c>
      <c r="AN57" s="43">
        <v>18000</v>
      </c>
      <c r="AO57" s="43">
        <v>18000</v>
      </c>
      <c r="AP57" s="43">
        <v>18000</v>
      </c>
      <c r="AQ57" s="43">
        <v>18000</v>
      </c>
      <c r="AR57" s="43">
        <v>18000</v>
      </c>
      <c r="AS57" s="43">
        <v>18000</v>
      </c>
      <c r="AT57" s="43">
        <v>18000</v>
      </c>
      <c r="AU57" s="43">
        <v>18000</v>
      </c>
      <c r="AV57" s="43">
        <v>18000</v>
      </c>
      <c r="AW57" s="43">
        <v>18000</v>
      </c>
      <c r="AX57" s="43">
        <v>18000</v>
      </c>
      <c r="AY57" s="43">
        <v>18000</v>
      </c>
      <c r="AZ57" s="43">
        <v>18000</v>
      </c>
      <c r="BA57" s="43">
        <v>18000</v>
      </c>
      <c r="BB57" s="43">
        <v>18000</v>
      </c>
      <c r="BC57" s="43">
        <v>18000</v>
      </c>
      <c r="BD57" s="43">
        <v>18000</v>
      </c>
      <c r="BE57" s="43">
        <v>18000</v>
      </c>
      <c r="BF57" s="12">
        <f>SUM(Y57:BE57)</f>
        <v>594000</v>
      </c>
    </row>
    <row r="58" spans="2:58" ht="22" customHeight="1">
      <c r="B58" s="102"/>
      <c r="C58" s="102"/>
      <c r="D58" s="102"/>
      <c r="E58" s="102"/>
      <c r="F58" s="102"/>
      <c r="G58" s="102"/>
      <c r="H58" s="102"/>
      <c r="I58" s="102"/>
      <c r="J58" s="102"/>
      <c r="K58" s="102"/>
      <c r="L58" s="102"/>
      <c r="M58" s="102"/>
      <c r="N58" s="102"/>
      <c r="O58" s="102"/>
      <c r="P58" s="102"/>
      <c r="Q58" s="102"/>
      <c r="R58" s="102"/>
      <c r="S58" s="102"/>
      <c r="T58" s="39"/>
      <c r="U58" s="39"/>
      <c r="V58" s="39"/>
      <c r="W58" s="39"/>
      <c r="X58" s="33" t="s">
        <v>11</v>
      </c>
      <c r="Y58" s="36">
        <f t="shared" ref="Y58:BF58" si="30">Y56-Y55</f>
        <v>-8</v>
      </c>
      <c r="Z58" s="36">
        <f t="shared" si="30"/>
        <v>-8</v>
      </c>
      <c r="AA58" s="36">
        <f t="shared" si="30"/>
        <v>-11</v>
      </c>
      <c r="AB58" s="36">
        <f t="shared" si="30"/>
        <v>-8</v>
      </c>
      <c r="AC58" s="36">
        <f t="shared" si="30"/>
        <v>-8</v>
      </c>
      <c r="AD58" s="36">
        <f t="shared" si="30"/>
        <v>-8</v>
      </c>
      <c r="AE58" s="36">
        <f t="shared" si="30"/>
        <v>-8</v>
      </c>
      <c r="AF58" s="36">
        <f t="shared" si="30"/>
        <v>-8</v>
      </c>
      <c r="AG58" s="36">
        <f t="shared" si="30"/>
        <v>-8</v>
      </c>
      <c r="AH58" s="36">
        <f t="shared" si="30"/>
        <v>-17</v>
      </c>
      <c r="AI58" s="36">
        <f t="shared" si="30"/>
        <v>-13</v>
      </c>
      <c r="AJ58" s="36">
        <f t="shared" si="30"/>
        <v>-7</v>
      </c>
      <c r="AK58" s="36">
        <f t="shared" si="30"/>
        <v>-7</v>
      </c>
      <c r="AL58" s="36">
        <f t="shared" si="30"/>
        <v>-7</v>
      </c>
      <c r="AM58" s="36">
        <f t="shared" si="30"/>
        <v>-7</v>
      </c>
      <c r="AN58" s="36">
        <f t="shared" si="30"/>
        <v>-8</v>
      </c>
      <c r="AO58" s="36">
        <f t="shared" si="30"/>
        <v>-9</v>
      </c>
      <c r="AP58" s="36">
        <f t="shared" si="30"/>
        <v>-7</v>
      </c>
      <c r="AQ58" s="36">
        <f t="shared" si="30"/>
        <v>-7</v>
      </c>
      <c r="AR58" s="36">
        <f t="shared" si="30"/>
        <v>-7</v>
      </c>
      <c r="AS58" s="36">
        <f t="shared" si="30"/>
        <v>-7</v>
      </c>
      <c r="AT58" s="36">
        <f t="shared" si="30"/>
        <v>-7</v>
      </c>
      <c r="AU58" s="36">
        <f t="shared" si="30"/>
        <v>-8</v>
      </c>
      <c r="AV58" s="36">
        <f t="shared" si="30"/>
        <v>-9</v>
      </c>
      <c r="AW58" s="36">
        <f t="shared" si="30"/>
        <v>-10</v>
      </c>
      <c r="AX58" s="36">
        <f t="shared" si="30"/>
        <v>-7</v>
      </c>
      <c r="AY58" s="36">
        <f t="shared" si="30"/>
        <v>-7</v>
      </c>
      <c r="AZ58" s="36">
        <f t="shared" si="30"/>
        <v>-7</v>
      </c>
      <c r="BA58" s="36">
        <f t="shared" si="30"/>
        <v>-7</v>
      </c>
      <c r="BB58" s="36">
        <f t="shared" si="30"/>
        <v>-8</v>
      </c>
      <c r="BC58" s="36">
        <f t="shared" si="30"/>
        <v>-9</v>
      </c>
      <c r="BD58" s="36">
        <f t="shared" si="30"/>
        <v>-7</v>
      </c>
      <c r="BE58" s="36">
        <f t="shared" si="30"/>
        <v>-7</v>
      </c>
      <c r="BF58" s="10">
        <f t="shared" si="30"/>
        <v>-271</v>
      </c>
    </row>
    <row r="59" spans="2:58" ht="22" customHeight="1">
      <c r="B59" s="104">
        <v>11</v>
      </c>
      <c r="C59" s="118" t="s">
        <v>58</v>
      </c>
      <c r="D59" s="105" t="s">
        <v>59</v>
      </c>
      <c r="E59" s="115"/>
      <c r="F59" s="119"/>
      <c r="G59" s="114">
        <f>SUM(Y59:AZ59)</f>
        <v>667</v>
      </c>
      <c r="H59" s="114">
        <f>SUM(Y60:AZ60)</f>
        <v>0</v>
      </c>
      <c r="I59" s="100"/>
      <c r="J59" s="116">
        <f>IFERROR(H59/G59,0)</f>
        <v>0</v>
      </c>
      <c r="K59" s="113">
        <v>0.1404761904761905</v>
      </c>
      <c r="L59" s="113">
        <v>0.1404761904761905</v>
      </c>
      <c r="M59" s="100"/>
      <c r="N59" s="100"/>
      <c r="O59" s="100"/>
      <c r="P59" s="100"/>
      <c r="Q59" s="100"/>
      <c r="R59" s="100"/>
      <c r="S59" s="115" t="s">
        <v>37</v>
      </c>
      <c r="T59" s="9"/>
      <c r="U59" s="9"/>
      <c r="V59" s="9"/>
      <c r="W59" s="9"/>
      <c r="X59" s="7" t="s">
        <v>31</v>
      </c>
      <c r="Y59" s="29">
        <v>22</v>
      </c>
      <c r="Z59" s="29">
        <v>39</v>
      </c>
      <c r="AA59" s="29">
        <v>30</v>
      </c>
      <c r="AB59" s="29">
        <v>42</v>
      </c>
      <c r="AC59" s="29">
        <v>56</v>
      </c>
      <c r="AD59" s="29">
        <v>49</v>
      </c>
      <c r="AE59" s="29">
        <v>45</v>
      </c>
      <c r="AF59" s="29">
        <v>40</v>
      </c>
      <c r="AG59" s="29">
        <v>69</v>
      </c>
      <c r="AH59" s="29">
        <v>81</v>
      </c>
      <c r="AI59" s="29">
        <v>27</v>
      </c>
      <c r="AJ59" s="29">
        <v>9</v>
      </c>
      <c r="AK59" s="29">
        <v>9</v>
      </c>
      <c r="AL59" s="29">
        <v>9</v>
      </c>
      <c r="AM59" s="29">
        <v>9</v>
      </c>
      <c r="AN59" s="29">
        <v>10</v>
      </c>
      <c r="AO59" s="29">
        <v>15</v>
      </c>
      <c r="AP59" s="29">
        <v>9</v>
      </c>
      <c r="AQ59" s="29">
        <v>9</v>
      </c>
      <c r="AR59" s="29">
        <v>9</v>
      </c>
      <c r="AS59" s="29">
        <v>9</v>
      </c>
      <c r="AT59" s="29">
        <v>9</v>
      </c>
      <c r="AU59" s="29">
        <v>10</v>
      </c>
      <c r="AV59" s="29">
        <v>14</v>
      </c>
      <c r="AW59" s="29">
        <v>10</v>
      </c>
      <c r="AX59" s="29">
        <v>9</v>
      </c>
      <c r="AY59" s="29">
        <v>9</v>
      </c>
      <c r="AZ59" s="29">
        <v>9</v>
      </c>
      <c r="BA59" s="29">
        <v>9</v>
      </c>
      <c r="BB59" s="29">
        <v>8</v>
      </c>
      <c r="BC59" s="29">
        <v>8</v>
      </c>
      <c r="BD59" s="29">
        <v>9</v>
      </c>
      <c r="BE59" s="29">
        <v>9</v>
      </c>
      <c r="BF59" s="10">
        <f>SUM(Y59:BE59)</f>
        <v>710</v>
      </c>
    </row>
    <row r="60" spans="2:58" ht="22" customHeight="1">
      <c r="B60" s="101"/>
      <c r="C60" s="101"/>
      <c r="D60" s="101"/>
      <c r="E60" s="101"/>
      <c r="F60" s="101"/>
      <c r="G60" s="101"/>
      <c r="H60" s="101"/>
      <c r="I60" s="101"/>
      <c r="J60" s="101"/>
      <c r="K60" s="101"/>
      <c r="L60" s="101"/>
      <c r="M60" s="101"/>
      <c r="N60" s="101"/>
      <c r="O60" s="101"/>
      <c r="P60" s="101"/>
      <c r="Q60" s="101"/>
      <c r="R60" s="101"/>
      <c r="S60" s="101"/>
      <c r="T60" s="9"/>
      <c r="U60" s="9"/>
      <c r="V60" s="9"/>
      <c r="W60" s="9"/>
      <c r="X60" s="7" t="s">
        <v>10</v>
      </c>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0">
        <f>SUM(Y60:BE60)</f>
        <v>0</v>
      </c>
    </row>
    <row r="61" spans="2:58" ht="22" customHeight="1">
      <c r="B61" s="101"/>
      <c r="C61" s="101"/>
      <c r="D61" s="101"/>
      <c r="E61" s="101"/>
      <c r="F61" s="101"/>
      <c r="G61" s="101"/>
      <c r="H61" s="101"/>
      <c r="I61" s="101"/>
      <c r="J61" s="101"/>
      <c r="K61" s="101"/>
      <c r="L61" s="101"/>
      <c r="M61" s="101"/>
      <c r="N61" s="101"/>
      <c r="O61" s="101"/>
      <c r="P61" s="101"/>
      <c r="Q61" s="101"/>
      <c r="R61" s="101"/>
      <c r="S61" s="101"/>
      <c r="T61" s="9"/>
      <c r="U61" s="9"/>
      <c r="V61" s="9"/>
      <c r="W61" s="9"/>
      <c r="X61" s="30" t="s">
        <v>38</v>
      </c>
      <c r="Y61" s="31">
        <v>14000</v>
      </c>
      <c r="Z61" s="31">
        <v>14000</v>
      </c>
      <c r="AA61" s="31">
        <v>14000</v>
      </c>
      <c r="AB61" s="31">
        <v>14000</v>
      </c>
      <c r="AC61" s="31">
        <v>14000</v>
      </c>
      <c r="AD61" s="31">
        <v>14000</v>
      </c>
      <c r="AE61" s="31">
        <v>14000</v>
      </c>
      <c r="AF61" s="31">
        <v>14000</v>
      </c>
      <c r="AG61" s="31">
        <v>14000</v>
      </c>
      <c r="AH61" s="31">
        <v>14000</v>
      </c>
      <c r="AI61" s="31">
        <v>14000</v>
      </c>
      <c r="AJ61" s="31">
        <v>12000</v>
      </c>
      <c r="AK61" s="31">
        <v>12000</v>
      </c>
      <c r="AL61" s="31">
        <v>12000</v>
      </c>
      <c r="AM61" s="31">
        <v>12000</v>
      </c>
      <c r="AN61" s="31">
        <v>12000</v>
      </c>
      <c r="AO61" s="31">
        <v>12000</v>
      </c>
      <c r="AP61" s="31">
        <v>12000</v>
      </c>
      <c r="AQ61" s="31">
        <v>12000</v>
      </c>
      <c r="AR61" s="31">
        <v>12000</v>
      </c>
      <c r="AS61" s="31">
        <v>12000</v>
      </c>
      <c r="AT61" s="31">
        <v>12000</v>
      </c>
      <c r="AU61" s="31">
        <v>12000</v>
      </c>
      <c r="AV61" s="31">
        <v>12000</v>
      </c>
      <c r="AW61" s="31">
        <v>12000</v>
      </c>
      <c r="AX61" s="31">
        <v>12000</v>
      </c>
      <c r="AY61" s="31">
        <v>12000</v>
      </c>
      <c r="AZ61" s="31">
        <v>12000</v>
      </c>
      <c r="BA61" s="31">
        <v>12000</v>
      </c>
      <c r="BB61" s="31">
        <v>12000</v>
      </c>
      <c r="BC61" s="31">
        <v>12000</v>
      </c>
      <c r="BD61" s="31">
        <v>12000</v>
      </c>
      <c r="BE61" s="31">
        <v>12000</v>
      </c>
      <c r="BF61" s="12">
        <f>SUM(Y61:BE61)</f>
        <v>418000</v>
      </c>
    </row>
    <row r="62" spans="2:58" ht="22" customHeight="1">
      <c r="B62" s="102"/>
      <c r="C62" s="102"/>
      <c r="D62" s="102"/>
      <c r="E62" s="102"/>
      <c r="F62" s="102"/>
      <c r="G62" s="102"/>
      <c r="H62" s="102"/>
      <c r="I62" s="102"/>
      <c r="J62" s="102"/>
      <c r="K62" s="102"/>
      <c r="L62" s="102"/>
      <c r="M62" s="102"/>
      <c r="N62" s="102"/>
      <c r="O62" s="102"/>
      <c r="P62" s="102"/>
      <c r="Q62" s="102"/>
      <c r="R62" s="102"/>
      <c r="S62" s="102"/>
      <c r="T62" s="9"/>
      <c r="U62" s="9"/>
      <c r="V62" s="9"/>
      <c r="W62" s="9"/>
      <c r="X62" s="7" t="s">
        <v>11</v>
      </c>
      <c r="Y62" s="3">
        <f t="shared" ref="Y62:BF62" si="31">Y60-Y59</f>
        <v>-22</v>
      </c>
      <c r="Z62" s="3">
        <f t="shared" si="31"/>
        <v>-39</v>
      </c>
      <c r="AA62" s="3">
        <f t="shared" si="31"/>
        <v>-30</v>
      </c>
      <c r="AB62" s="3">
        <f t="shared" si="31"/>
        <v>-42</v>
      </c>
      <c r="AC62" s="3">
        <f t="shared" si="31"/>
        <v>-56</v>
      </c>
      <c r="AD62" s="3">
        <f t="shared" si="31"/>
        <v>-49</v>
      </c>
      <c r="AE62" s="3">
        <f t="shared" si="31"/>
        <v>-45</v>
      </c>
      <c r="AF62" s="3">
        <f t="shared" si="31"/>
        <v>-40</v>
      </c>
      <c r="AG62" s="3">
        <f t="shared" si="31"/>
        <v>-69</v>
      </c>
      <c r="AH62" s="3">
        <f t="shared" si="31"/>
        <v>-81</v>
      </c>
      <c r="AI62" s="3">
        <f t="shared" si="31"/>
        <v>-27</v>
      </c>
      <c r="AJ62" s="3">
        <f t="shared" si="31"/>
        <v>-9</v>
      </c>
      <c r="AK62" s="3">
        <f t="shared" si="31"/>
        <v>-9</v>
      </c>
      <c r="AL62" s="3">
        <f t="shared" si="31"/>
        <v>-9</v>
      </c>
      <c r="AM62" s="3">
        <f t="shared" si="31"/>
        <v>-9</v>
      </c>
      <c r="AN62" s="3">
        <f t="shared" si="31"/>
        <v>-10</v>
      </c>
      <c r="AO62" s="3">
        <f t="shared" si="31"/>
        <v>-15</v>
      </c>
      <c r="AP62" s="3">
        <f t="shared" si="31"/>
        <v>-9</v>
      </c>
      <c r="AQ62" s="3">
        <f t="shared" si="31"/>
        <v>-9</v>
      </c>
      <c r="AR62" s="3">
        <f t="shared" si="31"/>
        <v>-9</v>
      </c>
      <c r="AS62" s="3">
        <f t="shared" si="31"/>
        <v>-9</v>
      </c>
      <c r="AT62" s="3">
        <f t="shared" si="31"/>
        <v>-9</v>
      </c>
      <c r="AU62" s="3">
        <f t="shared" si="31"/>
        <v>-10</v>
      </c>
      <c r="AV62" s="3">
        <f t="shared" si="31"/>
        <v>-14</v>
      </c>
      <c r="AW62" s="3">
        <f t="shared" si="31"/>
        <v>-10</v>
      </c>
      <c r="AX62" s="3">
        <f t="shared" si="31"/>
        <v>-9</v>
      </c>
      <c r="AY62" s="3">
        <f t="shared" si="31"/>
        <v>-9</v>
      </c>
      <c r="AZ62" s="3">
        <f t="shared" si="31"/>
        <v>-9</v>
      </c>
      <c r="BA62" s="3">
        <f t="shared" si="31"/>
        <v>-9</v>
      </c>
      <c r="BB62" s="3">
        <f t="shared" si="31"/>
        <v>-8</v>
      </c>
      <c r="BC62" s="3">
        <f t="shared" si="31"/>
        <v>-8</v>
      </c>
      <c r="BD62" s="3">
        <f t="shared" si="31"/>
        <v>-9</v>
      </c>
      <c r="BE62" s="3">
        <f t="shared" si="31"/>
        <v>-9</v>
      </c>
      <c r="BF62" s="10">
        <f t="shared" si="31"/>
        <v>-710</v>
      </c>
    </row>
    <row r="63" spans="2:58" ht="22" customHeight="1">
      <c r="B63" s="107">
        <v>12</v>
      </c>
      <c r="C63" s="117" t="s">
        <v>60</v>
      </c>
      <c r="D63" s="108" t="s">
        <v>61</v>
      </c>
      <c r="E63" s="103"/>
      <c r="F63" s="109"/>
      <c r="G63" s="106">
        <f>SUM(Y63:AZ63)</f>
        <v>110</v>
      </c>
      <c r="H63" s="106">
        <f>SUM(Y64:AZ64)</f>
        <v>0</v>
      </c>
      <c r="I63" s="111"/>
      <c r="J63" s="112">
        <f>IFERROR(H63/G63,0)</f>
        <v>0</v>
      </c>
      <c r="K63" s="110">
        <v>0.12612612612612609</v>
      </c>
      <c r="L63" s="110">
        <v>0.12612612612612609</v>
      </c>
      <c r="M63" s="111"/>
      <c r="N63" s="111"/>
      <c r="O63" s="111"/>
      <c r="P63" s="111"/>
      <c r="Q63" s="111"/>
      <c r="R63" s="111"/>
      <c r="S63" s="103" t="s">
        <v>47</v>
      </c>
      <c r="T63" s="39"/>
      <c r="U63" s="39"/>
      <c r="V63" s="39"/>
      <c r="W63" s="39"/>
      <c r="X63" s="33" t="s">
        <v>31</v>
      </c>
      <c r="Y63" s="40">
        <v>4</v>
      </c>
      <c r="Z63" s="40">
        <v>4</v>
      </c>
      <c r="AA63" s="40">
        <v>4</v>
      </c>
      <c r="AB63" s="40">
        <v>4</v>
      </c>
      <c r="AC63" s="40">
        <v>4</v>
      </c>
      <c r="AD63" s="40">
        <v>4</v>
      </c>
      <c r="AE63" s="40">
        <v>4</v>
      </c>
      <c r="AF63" s="40">
        <v>4</v>
      </c>
      <c r="AG63" s="40">
        <v>4</v>
      </c>
      <c r="AH63" s="40">
        <v>4</v>
      </c>
      <c r="AI63" s="40">
        <v>4</v>
      </c>
      <c r="AJ63" s="40">
        <v>4</v>
      </c>
      <c r="AK63" s="40">
        <v>4</v>
      </c>
      <c r="AL63" s="40">
        <v>4</v>
      </c>
      <c r="AM63" s="40">
        <v>4</v>
      </c>
      <c r="AN63" s="40">
        <v>4</v>
      </c>
      <c r="AO63" s="40">
        <v>4</v>
      </c>
      <c r="AP63" s="40">
        <v>4</v>
      </c>
      <c r="AQ63" s="40">
        <v>4</v>
      </c>
      <c r="AR63" s="40">
        <v>4</v>
      </c>
      <c r="AS63" s="40">
        <v>4</v>
      </c>
      <c r="AT63" s="40">
        <v>4</v>
      </c>
      <c r="AU63" s="40">
        <v>4</v>
      </c>
      <c r="AV63" s="40">
        <v>3</v>
      </c>
      <c r="AW63" s="40">
        <v>3</v>
      </c>
      <c r="AX63" s="40">
        <v>4</v>
      </c>
      <c r="AY63" s="40">
        <v>4</v>
      </c>
      <c r="AZ63" s="40">
        <v>4</v>
      </c>
      <c r="BA63" s="40">
        <v>4</v>
      </c>
      <c r="BB63" s="40">
        <v>4</v>
      </c>
      <c r="BC63" s="40">
        <v>4</v>
      </c>
      <c r="BD63" s="40">
        <v>4</v>
      </c>
      <c r="BE63" s="40">
        <v>4</v>
      </c>
      <c r="BF63" s="10">
        <f>SUM(Y63:BE63)</f>
        <v>130</v>
      </c>
    </row>
    <row r="64" spans="2:58" ht="22" customHeight="1">
      <c r="B64" s="101"/>
      <c r="C64" s="101"/>
      <c r="D64" s="101"/>
      <c r="E64" s="101"/>
      <c r="F64" s="101"/>
      <c r="G64" s="101"/>
      <c r="H64" s="101"/>
      <c r="I64" s="101"/>
      <c r="J64" s="101"/>
      <c r="K64" s="101"/>
      <c r="L64" s="101"/>
      <c r="M64" s="101"/>
      <c r="N64" s="101"/>
      <c r="O64" s="101"/>
      <c r="P64" s="101"/>
      <c r="Q64" s="101"/>
      <c r="R64" s="101"/>
      <c r="S64" s="101"/>
      <c r="T64" s="39"/>
      <c r="U64" s="39"/>
      <c r="V64" s="39"/>
      <c r="W64" s="39"/>
      <c r="X64" s="33" t="s">
        <v>10</v>
      </c>
      <c r="Y64" s="41"/>
      <c r="Z64" s="41"/>
      <c r="AA64" s="41"/>
      <c r="AB64" s="41"/>
      <c r="AC64" s="41"/>
      <c r="AD64" s="41"/>
      <c r="AE64" s="41"/>
      <c r="AF64" s="41"/>
      <c r="AG64" s="41"/>
      <c r="AH64" s="41"/>
      <c r="AI64" s="41"/>
      <c r="AJ64" s="41"/>
      <c r="AK64" s="41"/>
      <c r="AL64" s="41"/>
      <c r="AM64" s="41"/>
      <c r="AN64" s="41"/>
      <c r="AO64" s="41"/>
      <c r="AP64" s="41"/>
      <c r="AQ64" s="41"/>
      <c r="AR64" s="41"/>
      <c r="AS64" s="41"/>
      <c r="AT64" s="41"/>
      <c r="AU64" s="41"/>
      <c r="AV64" s="41"/>
      <c r="AW64" s="41"/>
      <c r="AX64" s="41"/>
      <c r="AY64" s="41"/>
      <c r="AZ64" s="41"/>
      <c r="BA64" s="41"/>
      <c r="BB64" s="41"/>
      <c r="BC64" s="41"/>
      <c r="BD64" s="41"/>
      <c r="BE64" s="41"/>
      <c r="BF64" s="10">
        <f>SUM(Y64:BE64)</f>
        <v>0</v>
      </c>
    </row>
    <row r="65" spans="2:58" ht="22" customHeight="1">
      <c r="B65" s="102"/>
      <c r="C65" s="102"/>
      <c r="D65" s="102"/>
      <c r="E65" s="102"/>
      <c r="F65" s="102"/>
      <c r="G65" s="102"/>
      <c r="H65" s="102"/>
      <c r="I65" s="102"/>
      <c r="J65" s="102"/>
      <c r="K65" s="102"/>
      <c r="L65" s="102"/>
      <c r="M65" s="102"/>
      <c r="N65" s="102"/>
      <c r="O65" s="102"/>
      <c r="P65" s="102"/>
      <c r="Q65" s="102"/>
      <c r="R65" s="102"/>
      <c r="S65" s="102"/>
      <c r="T65" s="39"/>
      <c r="U65" s="39"/>
      <c r="V65" s="39"/>
      <c r="W65" s="39"/>
      <c r="X65" s="33" t="s">
        <v>11</v>
      </c>
      <c r="Y65" s="36">
        <f t="shared" ref="Y65:BF65" si="32">Y64-Y63</f>
        <v>-4</v>
      </c>
      <c r="Z65" s="36">
        <f t="shared" si="32"/>
        <v>-4</v>
      </c>
      <c r="AA65" s="36">
        <f t="shared" si="32"/>
        <v>-4</v>
      </c>
      <c r="AB65" s="36">
        <f t="shared" si="32"/>
        <v>-4</v>
      </c>
      <c r="AC65" s="36">
        <f t="shared" si="32"/>
        <v>-4</v>
      </c>
      <c r="AD65" s="36">
        <f t="shared" si="32"/>
        <v>-4</v>
      </c>
      <c r="AE65" s="36">
        <f t="shared" si="32"/>
        <v>-4</v>
      </c>
      <c r="AF65" s="36">
        <f t="shared" si="32"/>
        <v>-4</v>
      </c>
      <c r="AG65" s="36">
        <f t="shared" si="32"/>
        <v>-4</v>
      </c>
      <c r="AH65" s="36">
        <f t="shared" si="32"/>
        <v>-4</v>
      </c>
      <c r="AI65" s="36">
        <f t="shared" si="32"/>
        <v>-4</v>
      </c>
      <c r="AJ65" s="36">
        <f t="shared" si="32"/>
        <v>-4</v>
      </c>
      <c r="AK65" s="36">
        <f t="shared" si="32"/>
        <v>-4</v>
      </c>
      <c r="AL65" s="36">
        <f t="shared" si="32"/>
        <v>-4</v>
      </c>
      <c r="AM65" s="36">
        <f t="shared" si="32"/>
        <v>-4</v>
      </c>
      <c r="AN65" s="36">
        <f t="shared" si="32"/>
        <v>-4</v>
      </c>
      <c r="AO65" s="36">
        <f t="shared" si="32"/>
        <v>-4</v>
      </c>
      <c r="AP65" s="36">
        <f t="shared" si="32"/>
        <v>-4</v>
      </c>
      <c r="AQ65" s="36">
        <f t="shared" si="32"/>
        <v>-4</v>
      </c>
      <c r="AR65" s="36">
        <f t="shared" si="32"/>
        <v>-4</v>
      </c>
      <c r="AS65" s="36">
        <f t="shared" si="32"/>
        <v>-4</v>
      </c>
      <c r="AT65" s="36">
        <f t="shared" si="32"/>
        <v>-4</v>
      </c>
      <c r="AU65" s="36">
        <f t="shared" si="32"/>
        <v>-4</v>
      </c>
      <c r="AV65" s="36">
        <f t="shared" si="32"/>
        <v>-3</v>
      </c>
      <c r="AW65" s="36">
        <f t="shared" si="32"/>
        <v>-3</v>
      </c>
      <c r="AX65" s="36">
        <f t="shared" si="32"/>
        <v>-4</v>
      </c>
      <c r="AY65" s="36">
        <f t="shared" si="32"/>
        <v>-4</v>
      </c>
      <c r="AZ65" s="36">
        <f t="shared" si="32"/>
        <v>-4</v>
      </c>
      <c r="BA65" s="36">
        <f t="shared" si="32"/>
        <v>-4</v>
      </c>
      <c r="BB65" s="36">
        <f t="shared" si="32"/>
        <v>-4</v>
      </c>
      <c r="BC65" s="36">
        <f t="shared" si="32"/>
        <v>-4</v>
      </c>
      <c r="BD65" s="36">
        <f t="shared" si="32"/>
        <v>-4</v>
      </c>
      <c r="BE65" s="36">
        <f t="shared" si="32"/>
        <v>-4</v>
      </c>
      <c r="BF65" s="10">
        <f t="shared" si="32"/>
        <v>-130</v>
      </c>
    </row>
    <row r="66" spans="2:58" ht="22" customHeight="1">
      <c r="B66" s="104">
        <v>13</v>
      </c>
      <c r="C66" s="118" t="s">
        <v>62</v>
      </c>
      <c r="D66" s="105" t="s">
        <v>63</v>
      </c>
      <c r="E66" s="115"/>
      <c r="F66" s="119"/>
      <c r="G66" s="114">
        <f>SUM(Y66:AZ66)</f>
        <v>28</v>
      </c>
      <c r="H66" s="114">
        <f>SUM(Y67:AZ67)</f>
        <v>0</v>
      </c>
      <c r="I66" s="100"/>
      <c r="J66" s="116">
        <f>IFERROR(H66/G66,0)</f>
        <v>0</v>
      </c>
      <c r="K66" s="113">
        <v>0.22222222222222221</v>
      </c>
      <c r="L66" s="113">
        <v>0.22222222222222221</v>
      </c>
      <c r="M66" s="100"/>
      <c r="N66" s="100"/>
      <c r="O66" s="100"/>
      <c r="P66" s="100"/>
      <c r="Q66" s="100"/>
      <c r="R66" s="100"/>
      <c r="S66" s="115" t="s">
        <v>37</v>
      </c>
      <c r="T66" s="9"/>
      <c r="U66" s="9"/>
      <c r="V66" s="9"/>
      <c r="W66" s="9"/>
      <c r="X66" s="7" t="s">
        <v>31</v>
      </c>
      <c r="Y66" s="29">
        <v>1</v>
      </c>
      <c r="Z66" s="29">
        <v>1</v>
      </c>
      <c r="AA66" s="29">
        <v>1</v>
      </c>
      <c r="AB66" s="29">
        <v>1</v>
      </c>
      <c r="AC66" s="29">
        <v>1</v>
      </c>
      <c r="AD66" s="29">
        <v>1</v>
      </c>
      <c r="AE66" s="29">
        <v>1</v>
      </c>
      <c r="AF66" s="29">
        <v>1</v>
      </c>
      <c r="AG66" s="29">
        <v>1</v>
      </c>
      <c r="AH66" s="29">
        <v>1</v>
      </c>
      <c r="AI66" s="29">
        <v>1</v>
      </c>
      <c r="AJ66" s="29">
        <v>1</v>
      </c>
      <c r="AK66" s="29">
        <v>1</v>
      </c>
      <c r="AL66" s="29">
        <v>1</v>
      </c>
      <c r="AM66" s="29">
        <v>1</v>
      </c>
      <c r="AN66" s="29">
        <v>1</v>
      </c>
      <c r="AO66" s="29">
        <v>1</v>
      </c>
      <c r="AP66" s="29">
        <v>1</v>
      </c>
      <c r="AQ66" s="29">
        <v>1</v>
      </c>
      <c r="AR66" s="29">
        <v>1</v>
      </c>
      <c r="AS66" s="29">
        <v>1</v>
      </c>
      <c r="AT66" s="29">
        <v>1</v>
      </c>
      <c r="AU66" s="29">
        <v>1</v>
      </c>
      <c r="AV66" s="29">
        <v>1</v>
      </c>
      <c r="AW66" s="29">
        <v>1</v>
      </c>
      <c r="AX66" s="29">
        <v>1</v>
      </c>
      <c r="AY66" s="29">
        <v>1</v>
      </c>
      <c r="AZ66" s="29">
        <v>1</v>
      </c>
      <c r="BA66" s="29">
        <v>1</v>
      </c>
      <c r="BB66" s="29">
        <v>1</v>
      </c>
      <c r="BC66" s="29">
        <v>1</v>
      </c>
      <c r="BD66" s="29">
        <v>1</v>
      </c>
      <c r="BE66" s="29">
        <v>1</v>
      </c>
      <c r="BF66" s="10">
        <f>SUM(Y66:BE66)</f>
        <v>33</v>
      </c>
    </row>
    <row r="67" spans="2:58" ht="22" customHeight="1">
      <c r="B67" s="101"/>
      <c r="C67" s="101"/>
      <c r="D67" s="101"/>
      <c r="E67" s="101"/>
      <c r="F67" s="101"/>
      <c r="G67" s="101"/>
      <c r="H67" s="101"/>
      <c r="I67" s="101"/>
      <c r="J67" s="101"/>
      <c r="K67" s="101"/>
      <c r="L67" s="101"/>
      <c r="M67" s="101"/>
      <c r="N67" s="101"/>
      <c r="O67" s="101"/>
      <c r="P67" s="101"/>
      <c r="Q67" s="101"/>
      <c r="R67" s="101"/>
      <c r="S67" s="101"/>
      <c r="T67" s="9"/>
      <c r="U67" s="9"/>
      <c r="V67" s="9"/>
      <c r="W67" s="9"/>
      <c r="X67" s="7" t="s">
        <v>10</v>
      </c>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0">
        <f>SUM(Y67:BE67)</f>
        <v>0</v>
      </c>
    </row>
    <row r="68" spans="2:58" ht="22" customHeight="1">
      <c r="B68" s="101"/>
      <c r="C68" s="101"/>
      <c r="D68" s="101"/>
      <c r="E68" s="101"/>
      <c r="F68" s="101"/>
      <c r="G68" s="101"/>
      <c r="H68" s="101"/>
      <c r="I68" s="101"/>
      <c r="J68" s="101"/>
      <c r="K68" s="101"/>
      <c r="L68" s="101"/>
      <c r="M68" s="101"/>
      <c r="N68" s="101"/>
      <c r="O68" s="101"/>
      <c r="P68" s="101"/>
      <c r="Q68" s="101"/>
      <c r="R68" s="101"/>
      <c r="S68" s="101"/>
      <c r="T68" s="9"/>
      <c r="U68" s="9"/>
      <c r="V68" s="9"/>
      <c r="W68" s="9"/>
      <c r="X68" s="30" t="s">
        <v>38</v>
      </c>
      <c r="Y68" s="31">
        <v>1300</v>
      </c>
      <c r="Z68" s="31">
        <v>1300</v>
      </c>
      <c r="AA68" s="31">
        <v>1300</v>
      </c>
      <c r="AB68" s="31">
        <v>1300</v>
      </c>
      <c r="AC68" s="31">
        <v>1300</v>
      </c>
      <c r="AD68" s="31">
        <v>1300</v>
      </c>
      <c r="AE68" s="31">
        <v>1300</v>
      </c>
      <c r="AF68" s="31">
        <v>1300</v>
      </c>
      <c r="AG68" s="31">
        <v>1300</v>
      </c>
      <c r="AH68" s="31">
        <v>18000</v>
      </c>
      <c r="AI68" s="31">
        <v>18000</v>
      </c>
      <c r="AJ68" s="31">
        <v>1300</v>
      </c>
      <c r="AK68" s="31">
        <v>1300</v>
      </c>
      <c r="AL68" s="31">
        <v>1300</v>
      </c>
      <c r="AM68" s="31">
        <v>1300</v>
      </c>
      <c r="AN68" s="31">
        <v>1300</v>
      </c>
      <c r="AO68" s="31">
        <v>1300</v>
      </c>
      <c r="AP68" s="31">
        <v>1300</v>
      </c>
      <c r="AQ68" s="31">
        <v>1300</v>
      </c>
      <c r="AR68" s="31">
        <v>1300</v>
      </c>
      <c r="AS68" s="31">
        <v>1300</v>
      </c>
      <c r="AT68" s="31">
        <v>1300</v>
      </c>
      <c r="AU68" s="31">
        <v>1300</v>
      </c>
      <c r="AV68" s="31">
        <v>1300</v>
      </c>
      <c r="AW68" s="31">
        <v>1300</v>
      </c>
      <c r="AX68" s="31">
        <v>1300</v>
      </c>
      <c r="AY68" s="31">
        <v>1300</v>
      </c>
      <c r="AZ68" s="31">
        <v>1300</v>
      </c>
      <c r="BA68" s="31">
        <v>1300</v>
      </c>
      <c r="BB68" s="31">
        <v>1300</v>
      </c>
      <c r="BC68" s="31">
        <v>1300</v>
      </c>
      <c r="BD68" s="31">
        <v>1300</v>
      </c>
      <c r="BE68" s="31">
        <v>1300</v>
      </c>
      <c r="BF68" s="12">
        <f>SUM(Y68:BE68)</f>
        <v>76300</v>
      </c>
    </row>
    <row r="69" spans="2:58" ht="22" customHeight="1">
      <c r="B69" s="102"/>
      <c r="C69" s="102"/>
      <c r="D69" s="102"/>
      <c r="E69" s="102"/>
      <c r="F69" s="102"/>
      <c r="G69" s="102"/>
      <c r="H69" s="102"/>
      <c r="I69" s="102"/>
      <c r="J69" s="102"/>
      <c r="K69" s="102"/>
      <c r="L69" s="102"/>
      <c r="M69" s="102"/>
      <c r="N69" s="102"/>
      <c r="O69" s="102"/>
      <c r="P69" s="102"/>
      <c r="Q69" s="102"/>
      <c r="R69" s="102"/>
      <c r="S69" s="102"/>
      <c r="T69" s="9"/>
      <c r="U69" s="9"/>
      <c r="V69" s="9"/>
      <c r="W69" s="9"/>
      <c r="X69" s="7" t="s">
        <v>11</v>
      </c>
      <c r="Y69" s="3">
        <f t="shared" ref="Y69:BF69" si="33">Y67-Y66</f>
        <v>-1</v>
      </c>
      <c r="Z69" s="3">
        <f t="shared" si="33"/>
        <v>-1</v>
      </c>
      <c r="AA69" s="3">
        <f t="shared" si="33"/>
        <v>-1</v>
      </c>
      <c r="AB69" s="3">
        <f t="shared" si="33"/>
        <v>-1</v>
      </c>
      <c r="AC69" s="3">
        <f t="shared" si="33"/>
        <v>-1</v>
      </c>
      <c r="AD69" s="3">
        <f t="shared" si="33"/>
        <v>-1</v>
      </c>
      <c r="AE69" s="3">
        <f t="shared" si="33"/>
        <v>-1</v>
      </c>
      <c r="AF69" s="3">
        <f t="shared" si="33"/>
        <v>-1</v>
      </c>
      <c r="AG69" s="3">
        <f t="shared" si="33"/>
        <v>-1</v>
      </c>
      <c r="AH69" s="3">
        <f t="shared" si="33"/>
        <v>-1</v>
      </c>
      <c r="AI69" s="3">
        <f t="shared" si="33"/>
        <v>-1</v>
      </c>
      <c r="AJ69" s="3">
        <f t="shared" si="33"/>
        <v>-1</v>
      </c>
      <c r="AK69" s="3">
        <f t="shared" si="33"/>
        <v>-1</v>
      </c>
      <c r="AL69" s="3">
        <f t="shared" si="33"/>
        <v>-1</v>
      </c>
      <c r="AM69" s="3">
        <f t="shared" si="33"/>
        <v>-1</v>
      </c>
      <c r="AN69" s="3">
        <f t="shared" si="33"/>
        <v>-1</v>
      </c>
      <c r="AO69" s="3">
        <f t="shared" si="33"/>
        <v>-1</v>
      </c>
      <c r="AP69" s="3">
        <f t="shared" si="33"/>
        <v>-1</v>
      </c>
      <c r="AQ69" s="3">
        <f t="shared" si="33"/>
        <v>-1</v>
      </c>
      <c r="AR69" s="3">
        <f t="shared" si="33"/>
        <v>-1</v>
      </c>
      <c r="AS69" s="3">
        <f t="shared" si="33"/>
        <v>-1</v>
      </c>
      <c r="AT69" s="3">
        <f t="shared" si="33"/>
        <v>-1</v>
      </c>
      <c r="AU69" s="3">
        <f t="shared" si="33"/>
        <v>-1</v>
      </c>
      <c r="AV69" s="3">
        <f t="shared" si="33"/>
        <v>-1</v>
      </c>
      <c r="AW69" s="3">
        <f t="shared" si="33"/>
        <v>-1</v>
      </c>
      <c r="AX69" s="3">
        <f t="shared" si="33"/>
        <v>-1</v>
      </c>
      <c r="AY69" s="3">
        <f t="shared" si="33"/>
        <v>-1</v>
      </c>
      <c r="AZ69" s="3">
        <f t="shared" si="33"/>
        <v>-1</v>
      </c>
      <c r="BA69" s="3">
        <f t="shared" si="33"/>
        <v>-1</v>
      </c>
      <c r="BB69" s="3">
        <f t="shared" si="33"/>
        <v>-1</v>
      </c>
      <c r="BC69" s="3">
        <f t="shared" si="33"/>
        <v>-1</v>
      </c>
      <c r="BD69" s="3">
        <f t="shared" si="33"/>
        <v>-1</v>
      </c>
      <c r="BE69" s="3">
        <f t="shared" si="33"/>
        <v>-1</v>
      </c>
      <c r="BF69" s="10">
        <f t="shared" si="33"/>
        <v>-33</v>
      </c>
    </row>
    <row r="70" spans="2:58" ht="22" customHeight="1">
      <c r="B70" s="107">
        <v>14</v>
      </c>
      <c r="C70" s="117" t="s">
        <v>64</v>
      </c>
      <c r="D70" s="108" t="s">
        <v>65</v>
      </c>
      <c r="E70" s="103"/>
      <c r="F70" s="109"/>
      <c r="G70" s="106">
        <f>SUM(Y70:AZ70)</f>
        <v>199</v>
      </c>
      <c r="H70" s="106">
        <f>SUM(Y71:AZ71)</f>
        <v>0</v>
      </c>
      <c r="I70" s="111"/>
      <c r="J70" s="112">
        <f>IFERROR(H70/G70,0)</f>
        <v>0</v>
      </c>
      <c r="K70" s="110">
        <v>0.72435897435897434</v>
      </c>
      <c r="L70" s="110">
        <v>0.72435897435897434</v>
      </c>
      <c r="M70" s="111"/>
      <c r="N70" s="111"/>
      <c r="O70" s="111"/>
      <c r="P70" s="111"/>
      <c r="Q70" s="111"/>
      <c r="R70" s="111"/>
      <c r="S70" s="103" t="s">
        <v>37</v>
      </c>
      <c r="T70" s="39"/>
      <c r="U70" s="39"/>
      <c r="V70" s="39"/>
      <c r="W70" s="39"/>
      <c r="X70" s="33" t="s">
        <v>31</v>
      </c>
      <c r="Y70" s="40">
        <v>10</v>
      </c>
      <c r="Z70" s="40">
        <v>7</v>
      </c>
      <c r="AA70" s="40">
        <v>11</v>
      </c>
      <c r="AB70" s="40">
        <v>12</v>
      </c>
      <c r="AC70" s="40">
        <v>12</v>
      </c>
      <c r="AD70" s="40">
        <v>12</v>
      </c>
      <c r="AE70" s="40">
        <v>13</v>
      </c>
      <c r="AF70" s="40">
        <v>14</v>
      </c>
      <c r="AG70" s="40">
        <v>12</v>
      </c>
      <c r="AH70" s="40">
        <v>8</v>
      </c>
      <c r="AI70" s="40">
        <v>9</v>
      </c>
      <c r="AJ70" s="40">
        <v>3</v>
      </c>
      <c r="AK70" s="40">
        <v>3</v>
      </c>
      <c r="AL70" s="40">
        <v>3</v>
      </c>
      <c r="AM70" s="40">
        <v>3</v>
      </c>
      <c r="AN70" s="40">
        <v>7</v>
      </c>
      <c r="AO70" s="40">
        <v>7</v>
      </c>
      <c r="AP70" s="40">
        <v>4</v>
      </c>
      <c r="AQ70" s="40">
        <v>4</v>
      </c>
      <c r="AR70" s="40">
        <v>4</v>
      </c>
      <c r="AS70" s="40">
        <v>4</v>
      </c>
      <c r="AT70" s="40">
        <v>4</v>
      </c>
      <c r="AU70" s="40">
        <v>7</v>
      </c>
      <c r="AV70" s="40">
        <v>7</v>
      </c>
      <c r="AW70" s="40">
        <v>7</v>
      </c>
      <c r="AX70" s="40">
        <v>4</v>
      </c>
      <c r="AY70" s="40">
        <v>4</v>
      </c>
      <c r="AZ70" s="40">
        <v>4</v>
      </c>
      <c r="BA70" s="40">
        <v>4</v>
      </c>
      <c r="BB70" s="40">
        <v>7</v>
      </c>
      <c r="BC70" s="40">
        <v>7</v>
      </c>
      <c r="BD70" s="40">
        <v>4</v>
      </c>
      <c r="BE70" s="40">
        <v>4</v>
      </c>
      <c r="BF70" s="10">
        <f>SUM(Y70:BE70)</f>
        <v>225</v>
      </c>
    </row>
    <row r="71" spans="2:58" ht="22" customHeight="1">
      <c r="B71" s="101"/>
      <c r="C71" s="101"/>
      <c r="D71" s="101"/>
      <c r="E71" s="101"/>
      <c r="F71" s="101"/>
      <c r="G71" s="101"/>
      <c r="H71" s="101"/>
      <c r="I71" s="101"/>
      <c r="J71" s="101"/>
      <c r="K71" s="101"/>
      <c r="L71" s="101"/>
      <c r="M71" s="101"/>
      <c r="N71" s="101"/>
      <c r="O71" s="101"/>
      <c r="P71" s="101"/>
      <c r="Q71" s="101"/>
      <c r="R71" s="101"/>
      <c r="S71" s="101"/>
      <c r="T71" s="39"/>
      <c r="U71" s="39"/>
      <c r="V71" s="39"/>
      <c r="W71" s="39"/>
      <c r="X71" s="33" t="s">
        <v>10</v>
      </c>
      <c r="Y71" s="41"/>
      <c r="Z71" s="41"/>
      <c r="AA71" s="41"/>
      <c r="AB71" s="41"/>
      <c r="AC71" s="41"/>
      <c r="AD71" s="41"/>
      <c r="AE71" s="41"/>
      <c r="AF71" s="41"/>
      <c r="AG71" s="41"/>
      <c r="AH71" s="41"/>
      <c r="AI71" s="41"/>
      <c r="AJ71" s="41"/>
      <c r="AK71" s="41"/>
      <c r="AL71" s="41"/>
      <c r="AM71" s="41"/>
      <c r="AN71" s="41"/>
      <c r="AO71" s="41"/>
      <c r="AP71" s="41"/>
      <c r="AQ71" s="41"/>
      <c r="AR71" s="41"/>
      <c r="AS71" s="41"/>
      <c r="AT71" s="41"/>
      <c r="AU71" s="41"/>
      <c r="AV71" s="41"/>
      <c r="AW71" s="41"/>
      <c r="AX71" s="41"/>
      <c r="AY71" s="41"/>
      <c r="AZ71" s="41"/>
      <c r="BA71" s="41"/>
      <c r="BB71" s="41"/>
      <c r="BC71" s="41"/>
      <c r="BD71" s="41"/>
      <c r="BE71" s="41"/>
      <c r="BF71" s="10">
        <f>SUM(Y71:BE71)</f>
        <v>0</v>
      </c>
    </row>
    <row r="72" spans="2:58" ht="22" customHeight="1">
      <c r="B72" s="101"/>
      <c r="C72" s="101"/>
      <c r="D72" s="101"/>
      <c r="E72" s="101"/>
      <c r="F72" s="101"/>
      <c r="G72" s="101"/>
      <c r="H72" s="101"/>
      <c r="I72" s="101"/>
      <c r="J72" s="101"/>
      <c r="K72" s="101"/>
      <c r="L72" s="101"/>
      <c r="M72" s="101"/>
      <c r="N72" s="101"/>
      <c r="O72" s="101"/>
      <c r="P72" s="101"/>
      <c r="Q72" s="101"/>
      <c r="R72" s="101"/>
      <c r="S72" s="101"/>
      <c r="T72" s="39"/>
      <c r="U72" s="39"/>
      <c r="V72" s="39"/>
      <c r="W72" s="39"/>
      <c r="X72" s="42" t="s">
        <v>38</v>
      </c>
      <c r="Y72" s="43">
        <v>13000</v>
      </c>
      <c r="Z72" s="43">
        <v>13000</v>
      </c>
      <c r="AA72" s="43">
        <v>13000</v>
      </c>
      <c r="AB72" s="43">
        <v>13000</v>
      </c>
      <c r="AC72" s="43">
        <v>13000</v>
      </c>
      <c r="AD72" s="43">
        <v>13000</v>
      </c>
      <c r="AE72" s="43">
        <v>13000</v>
      </c>
      <c r="AF72" s="43">
        <v>13000</v>
      </c>
      <c r="AG72" s="43">
        <v>13000</v>
      </c>
      <c r="AH72" s="43">
        <v>13000</v>
      </c>
      <c r="AI72" s="43">
        <v>13000</v>
      </c>
      <c r="AJ72" s="43">
        <v>9000</v>
      </c>
      <c r="AK72" s="43">
        <v>9000</v>
      </c>
      <c r="AL72" s="43">
        <v>9000</v>
      </c>
      <c r="AM72" s="43">
        <v>9000</v>
      </c>
      <c r="AN72" s="43">
        <v>9000</v>
      </c>
      <c r="AO72" s="43">
        <v>9000</v>
      </c>
      <c r="AP72" s="43">
        <v>9000</v>
      </c>
      <c r="AQ72" s="43">
        <v>9000</v>
      </c>
      <c r="AR72" s="43">
        <v>9000</v>
      </c>
      <c r="AS72" s="43">
        <v>9000</v>
      </c>
      <c r="AT72" s="43">
        <v>9000</v>
      </c>
      <c r="AU72" s="43">
        <v>9000</v>
      </c>
      <c r="AV72" s="43">
        <v>9000</v>
      </c>
      <c r="AW72" s="43">
        <v>9000</v>
      </c>
      <c r="AX72" s="43">
        <v>9000</v>
      </c>
      <c r="AY72" s="43">
        <v>9000</v>
      </c>
      <c r="AZ72" s="43">
        <v>9000</v>
      </c>
      <c r="BA72" s="43">
        <v>9000</v>
      </c>
      <c r="BB72" s="43">
        <v>9000</v>
      </c>
      <c r="BC72" s="43">
        <v>9000</v>
      </c>
      <c r="BD72" s="43">
        <v>9000</v>
      </c>
      <c r="BE72" s="43">
        <v>9000</v>
      </c>
      <c r="BF72" s="12">
        <f>SUM(Y72:BE72)</f>
        <v>341000</v>
      </c>
    </row>
    <row r="73" spans="2:58" ht="22" customHeight="1">
      <c r="B73" s="102"/>
      <c r="C73" s="102"/>
      <c r="D73" s="102"/>
      <c r="E73" s="102"/>
      <c r="F73" s="102"/>
      <c r="G73" s="102"/>
      <c r="H73" s="102"/>
      <c r="I73" s="102"/>
      <c r="J73" s="102"/>
      <c r="K73" s="102"/>
      <c r="L73" s="102"/>
      <c r="M73" s="102"/>
      <c r="N73" s="102"/>
      <c r="O73" s="102"/>
      <c r="P73" s="102"/>
      <c r="Q73" s="102"/>
      <c r="R73" s="102"/>
      <c r="S73" s="102"/>
      <c r="T73" s="39"/>
      <c r="U73" s="39"/>
      <c r="V73" s="39"/>
      <c r="W73" s="39"/>
      <c r="X73" s="33" t="s">
        <v>11</v>
      </c>
      <c r="Y73" s="36">
        <f t="shared" ref="Y73:BF73" si="34">Y71-Y70</f>
        <v>-10</v>
      </c>
      <c r="Z73" s="36">
        <f t="shared" si="34"/>
        <v>-7</v>
      </c>
      <c r="AA73" s="36">
        <f t="shared" si="34"/>
        <v>-11</v>
      </c>
      <c r="AB73" s="36">
        <f t="shared" si="34"/>
        <v>-12</v>
      </c>
      <c r="AC73" s="36">
        <f t="shared" si="34"/>
        <v>-12</v>
      </c>
      <c r="AD73" s="36">
        <f t="shared" si="34"/>
        <v>-12</v>
      </c>
      <c r="AE73" s="36">
        <f t="shared" si="34"/>
        <v>-13</v>
      </c>
      <c r="AF73" s="36">
        <f t="shared" si="34"/>
        <v>-14</v>
      </c>
      <c r="AG73" s="36">
        <f t="shared" si="34"/>
        <v>-12</v>
      </c>
      <c r="AH73" s="36">
        <f t="shared" si="34"/>
        <v>-8</v>
      </c>
      <c r="AI73" s="36">
        <f t="shared" si="34"/>
        <v>-9</v>
      </c>
      <c r="AJ73" s="36">
        <f t="shared" si="34"/>
        <v>-3</v>
      </c>
      <c r="AK73" s="36">
        <f t="shared" si="34"/>
        <v>-3</v>
      </c>
      <c r="AL73" s="36">
        <f t="shared" si="34"/>
        <v>-3</v>
      </c>
      <c r="AM73" s="36">
        <f t="shared" si="34"/>
        <v>-3</v>
      </c>
      <c r="AN73" s="36">
        <f t="shared" si="34"/>
        <v>-7</v>
      </c>
      <c r="AO73" s="36">
        <f t="shared" si="34"/>
        <v>-7</v>
      </c>
      <c r="AP73" s="36">
        <f t="shared" si="34"/>
        <v>-4</v>
      </c>
      <c r="AQ73" s="36">
        <f t="shared" si="34"/>
        <v>-4</v>
      </c>
      <c r="AR73" s="36">
        <f t="shared" si="34"/>
        <v>-4</v>
      </c>
      <c r="AS73" s="36">
        <f t="shared" si="34"/>
        <v>-4</v>
      </c>
      <c r="AT73" s="36">
        <f t="shared" si="34"/>
        <v>-4</v>
      </c>
      <c r="AU73" s="36">
        <f t="shared" si="34"/>
        <v>-7</v>
      </c>
      <c r="AV73" s="36">
        <f t="shared" si="34"/>
        <v>-7</v>
      </c>
      <c r="AW73" s="36">
        <f t="shared" si="34"/>
        <v>-7</v>
      </c>
      <c r="AX73" s="36">
        <f t="shared" si="34"/>
        <v>-4</v>
      </c>
      <c r="AY73" s="36">
        <f t="shared" si="34"/>
        <v>-4</v>
      </c>
      <c r="AZ73" s="36">
        <f t="shared" si="34"/>
        <v>-4</v>
      </c>
      <c r="BA73" s="36">
        <f t="shared" si="34"/>
        <v>-4</v>
      </c>
      <c r="BB73" s="36">
        <f t="shared" si="34"/>
        <v>-7</v>
      </c>
      <c r="BC73" s="36">
        <f t="shared" si="34"/>
        <v>-7</v>
      </c>
      <c r="BD73" s="36">
        <f t="shared" si="34"/>
        <v>-4</v>
      </c>
      <c r="BE73" s="36">
        <f t="shared" si="34"/>
        <v>-4</v>
      </c>
      <c r="BF73" s="10">
        <f t="shared" si="34"/>
        <v>-225</v>
      </c>
    </row>
    <row r="74" spans="2:58" ht="22" customHeight="1">
      <c r="B74" s="104">
        <v>15</v>
      </c>
      <c r="C74" s="118" t="s">
        <v>66</v>
      </c>
      <c r="D74" s="105" t="s">
        <v>67</v>
      </c>
      <c r="E74" s="115"/>
      <c r="F74" s="119"/>
      <c r="G74" s="114">
        <f>SUM(Y74:AZ74)</f>
        <v>218</v>
      </c>
      <c r="H74" s="114">
        <f>SUM(Y75:AZ75)</f>
        <v>0</v>
      </c>
      <c r="I74" s="100"/>
      <c r="J74" s="116">
        <f>IFERROR(H74/G74,0)</f>
        <v>0</v>
      </c>
      <c r="K74" s="113">
        <v>0.53968253968253965</v>
      </c>
      <c r="L74" s="113">
        <v>0.53968253968253965</v>
      </c>
      <c r="M74" s="100"/>
      <c r="N74" s="100"/>
      <c r="O74" s="100"/>
      <c r="P74" s="100"/>
      <c r="Q74" s="100"/>
      <c r="R74" s="100"/>
      <c r="S74" s="115" t="s">
        <v>37</v>
      </c>
      <c r="T74" s="9"/>
      <c r="U74" s="9"/>
      <c r="V74" s="9"/>
      <c r="W74" s="9"/>
      <c r="X74" s="7" t="s">
        <v>31</v>
      </c>
      <c r="Y74" s="29">
        <v>10</v>
      </c>
      <c r="Z74" s="29">
        <v>8</v>
      </c>
      <c r="AA74" s="29">
        <v>4</v>
      </c>
      <c r="AB74" s="29">
        <v>7</v>
      </c>
      <c r="AC74" s="29">
        <v>7</v>
      </c>
      <c r="AD74" s="29">
        <v>11</v>
      </c>
      <c r="AE74" s="29">
        <v>4</v>
      </c>
      <c r="AF74" s="29">
        <v>10</v>
      </c>
      <c r="AG74" s="29">
        <v>10</v>
      </c>
      <c r="AH74" s="29">
        <v>11</v>
      </c>
      <c r="AI74" s="29">
        <v>8</v>
      </c>
      <c r="AJ74" s="29">
        <v>7</v>
      </c>
      <c r="AK74" s="29">
        <v>7</v>
      </c>
      <c r="AL74" s="29">
        <v>7</v>
      </c>
      <c r="AM74" s="29">
        <v>7</v>
      </c>
      <c r="AN74" s="29">
        <v>8</v>
      </c>
      <c r="AO74" s="29">
        <v>9</v>
      </c>
      <c r="AP74" s="29">
        <v>7</v>
      </c>
      <c r="AQ74" s="29">
        <v>7</v>
      </c>
      <c r="AR74" s="29">
        <v>7</v>
      </c>
      <c r="AS74" s="29">
        <v>7</v>
      </c>
      <c r="AT74" s="29">
        <v>7</v>
      </c>
      <c r="AU74" s="29">
        <v>8</v>
      </c>
      <c r="AV74" s="29">
        <v>9</v>
      </c>
      <c r="AW74" s="29">
        <v>10</v>
      </c>
      <c r="AX74" s="29">
        <v>7</v>
      </c>
      <c r="AY74" s="29">
        <v>7</v>
      </c>
      <c r="AZ74" s="29">
        <v>7</v>
      </c>
      <c r="BA74" s="29">
        <v>7</v>
      </c>
      <c r="BB74" s="29">
        <v>8</v>
      </c>
      <c r="BC74" s="29">
        <v>9</v>
      </c>
      <c r="BD74" s="29">
        <v>7</v>
      </c>
      <c r="BE74" s="29">
        <v>7</v>
      </c>
      <c r="BF74" s="10">
        <f>SUM(Y74:BE74)</f>
        <v>256</v>
      </c>
    </row>
    <row r="75" spans="2:58" ht="22" customHeight="1">
      <c r="B75" s="101"/>
      <c r="C75" s="101"/>
      <c r="D75" s="101"/>
      <c r="E75" s="101"/>
      <c r="F75" s="101"/>
      <c r="G75" s="101"/>
      <c r="H75" s="101"/>
      <c r="I75" s="101"/>
      <c r="J75" s="101"/>
      <c r="K75" s="101"/>
      <c r="L75" s="101"/>
      <c r="M75" s="101"/>
      <c r="N75" s="101"/>
      <c r="O75" s="101"/>
      <c r="P75" s="101"/>
      <c r="Q75" s="101"/>
      <c r="R75" s="101"/>
      <c r="S75" s="101"/>
      <c r="T75" s="9"/>
      <c r="U75" s="9"/>
      <c r="V75" s="9"/>
      <c r="W75" s="9"/>
      <c r="X75" s="7" t="s">
        <v>10</v>
      </c>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0">
        <f>SUM(Y75:BE75)</f>
        <v>0</v>
      </c>
    </row>
    <row r="76" spans="2:58" ht="22" customHeight="1">
      <c r="B76" s="101"/>
      <c r="C76" s="101"/>
      <c r="D76" s="101"/>
      <c r="E76" s="101"/>
      <c r="F76" s="101"/>
      <c r="G76" s="101"/>
      <c r="H76" s="101"/>
      <c r="I76" s="101"/>
      <c r="J76" s="101"/>
      <c r="K76" s="101"/>
      <c r="L76" s="101"/>
      <c r="M76" s="101"/>
      <c r="N76" s="101"/>
      <c r="O76" s="101"/>
      <c r="P76" s="101"/>
      <c r="Q76" s="101"/>
      <c r="R76" s="101"/>
      <c r="S76" s="101"/>
      <c r="T76" s="9"/>
      <c r="U76" s="9"/>
      <c r="V76" s="9"/>
      <c r="W76" s="9"/>
      <c r="X76" s="30" t="s">
        <v>38</v>
      </c>
      <c r="Y76" s="31">
        <v>12000</v>
      </c>
      <c r="Z76" s="31">
        <v>12000</v>
      </c>
      <c r="AA76" s="31">
        <v>12000</v>
      </c>
      <c r="AB76" s="31">
        <v>12000</v>
      </c>
      <c r="AC76" s="31">
        <v>12000</v>
      </c>
      <c r="AD76" s="31">
        <v>12000</v>
      </c>
      <c r="AE76" s="31">
        <v>12000</v>
      </c>
      <c r="AF76" s="31">
        <v>12000</v>
      </c>
      <c r="AG76" s="31">
        <v>12000</v>
      </c>
      <c r="AH76" s="31">
        <v>12000</v>
      </c>
      <c r="AI76" s="31">
        <v>12000</v>
      </c>
      <c r="AJ76" s="31">
        <v>12000</v>
      </c>
      <c r="AK76" s="31">
        <v>12000</v>
      </c>
      <c r="AL76" s="31">
        <v>12000</v>
      </c>
      <c r="AM76" s="31">
        <v>12000</v>
      </c>
      <c r="AN76" s="31">
        <v>12000</v>
      </c>
      <c r="AO76" s="31">
        <v>12000</v>
      </c>
      <c r="AP76" s="31">
        <v>12000</v>
      </c>
      <c r="AQ76" s="31">
        <v>12000</v>
      </c>
      <c r="AR76" s="31">
        <v>12000</v>
      </c>
      <c r="AS76" s="31">
        <v>12000</v>
      </c>
      <c r="AT76" s="31">
        <v>12000</v>
      </c>
      <c r="AU76" s="31">
        <v>12000</v>
      </c>
      <c r="AV76" s="31">
        <v>12000</v>
      </c>
      <c r="AW76" s="31">
        <v>12000</v>
      </c>
      <c r="AX76" s="31">
        <v>12000</v>
      </c>
      <c r="AY76" s="31">
        <v>12000</v>
      </c>
      <c r="AZ76" s="31">
        <v>12000</v>
      </c>
      <c r="BA76" s="31">
        <v>12000</v>
      </c>
      <c r="BB76" s="31">
        <v>12000</v>
      </c>
      <c r="BC76" s="31">
        <v>12000</v>
      </c>
      <c r="BD76" s="31">
        <v>12000</v>
      </c>
      <c r="BE76" s="31">
        <v>12000</v>
      </c>
      <c r="BF76" s="12">
        <f>SUM(Y76:BE76)</f>
        <v>396000</v>
      </c>
    </row>
    <row r="77" spans="2:58" ht="22" customHeight="1">
      <c r="B77" s="102"/>
      <c r="C77" s="102"/>
      <c r="D77" s="102"/>
      <c r="E77" s="102"/>
      <c r="F77" s="102"/>
      <c r="G77" s="102"/>
      <c r="H77" s="102"/>
      <c r="I77" s="102"/>
      <c r="J77" s="102"/>
      <c r="K77" s="102"/>
      <c r="L77" s="102"/>
      <c r="M77" s="102"/>
      <c r="N77" s="102"/>
      <c r="O77" s="102"/>
      <c r="P77" s="102"/>
      <c r="Q77" s="102"/>
      <c r="R77" s="102"/>
      <c r="S77" s="102"/>
      <c r="T77" s="9"/>
      <c r="U77" s="9"/>
      <c r="V77" s="9"/>
      <c r="W77" s="9"/>
      <c r="X77" s="7" t="s">
        <v>11</v>
      </c>
      <c r="Y77" s="3">
        <f t="shared" ref="Y77:BF77" si="35">Y75-Y74</f>
        <v>-10</v>
      </c>
      <c r="Z77" s="3">
        <f t="shared" si="35"/>
        <v>-8</v>
      </c>
      <c r="AA77" s="3">
        <f t="shared" si="35"/>
        <v>-4</v>
      </c>
      <c r="AB77" s="3">
        <f t="shared" si="35"/>
        <v>-7</v>
      </c>
      <c r="AC77" s="3">
        <f t="shared" si="35"/>
        <v>-7</v>
      </c>
      <c r="AD77" s="3">
        <f t="shared" si="35"/>
        <v>-11</v>
      </c>
      <c r="AE77" s="3">
        <f t="shared" si="35"/>
        <v>-4</v>
      </c>
      <c r="AF77" s="3">
        <f t="shared" si="35"/>
        <v>-10</v>
      </c>
      <c r="AG77" s="3">
        <f t="shared" si="35"/>
        <v>-10</v>
      </c>
      <c r="AH77" s="3">
        <f t="shared" si="35"/>
        <v>-11</v>
      </c>
      <c r="AI77" s="3">
        <f t="shared" si="35"/>
        <v>-8</v>
      </c>
      <c r="AJ77" s="3">
        <f t="shared" si="35"/>
        <v>-7</v>
      </c>
      <c r="AK77" s="3">
        <f t="shared" si="35"/>
        <v>-7</v>
      </c>
      <c r="AL77" s="3">
        <f t="shared" si="35"/>
        <v>-7</v>
      </c>
      <c r="AM77" s="3">
        <f t="shared" si="35"/>
        <v>-7</v>
      </c>
      <c r="AN77" s="3">
        <f t="shared" si="35"/>
        <v>-8</v>
      </c>
      <c r="AO77" s="3">
        <f t="shared" si="35"/>
        <v>-9</v>
      </c>
      <c r="AP77" s="3">
        <f t="shared" si="35"/>
        <v>-7</v>
      </c>
      <c r="AQ77" s="3">
        <f t="shared" si="35"/>
        <v>-7</v>
      </c>
      <c r="AR77" s="3">
        <f t="shared" si="35"/>
        <v>-7</v>
      </c>
      <c r="AS77" s="3">
        <f t="shared" si="35"/>
        <v>-7</v>
      </c>
      <c r="AT77" s="3">
        <f t="shared" si="35"/>
        <v>-7</v>
      </c>
      <c r="AU77" s="3">
        <f t="shared" si="35"/>
        <v>-8</v>
      </c>
      <c r="AV77" s="3">
        <f t="shared" si="35"/>
        <v>-9</v>
      </c>
      <c r="AW77" s="3">
        <f t="shared" si="35"/>
        <v>-10</v>
      </c>
      <c r="AX77" s="3">
        <f t="shared" si="35"/>
        <v>-7</v>
      </c>
      <c r="AY77" s="3">
        <f t="shared" si="35"/>
        <v>-7</v>
      </c>
      <c r="AZ77" s="3">
        <f t="shared" si="35"/>
        <v>-7</v>
      </c>
      <c r="BA77" s="3">
        <f t="shared" si="35"/>
        <v>-7</v>
      </c>
      <c r="BB77" s="3">
        <f t="shared" si="35"/>
        <v>-8</v>
      </c>
      <c r="BC77" s="3">
        <f t="shared" si="35"/>
        <v>-9</v>
      </c>
      <c r="BD77" s="3">
        <f t="shared" si="35"/>
        <v>-7</v>
      </c>
      <c r="BE77" s="3">
        <f t="shared" si="35"/>
        <v>-7</v>
      </c>
      <c r="BF77" s="10">
        <f t="shared" si="35"/>
        <v>-256</v>
      </c>
    </row>
    <row r="78" spans="2:58" ht="22" customHeight="1">
      <c r="B78" s="107">
        <v>16</v>
      </c>
      <c r="C78" s="117" t="s">
        <v>68</v>
      </c>
      <c r="D78" s="108" t="s">
        <v>69</v>
      </c>
      <c r="E78" s="103"/>
      <c r="F78" s="109"/>
      <c r="G78" s="106">
        <f>SUM(Y78:AZ78)</f>
        <v>385</v>
      </c>
      <c r="H78" s="106">
        <f>SUM(Y79:AZ79)</f>
        <v>0</v>
      </c>
      <c r="I78" s="111"/>
      <c r="J78" s="112">
        <f>IFERROR(H78/G78,0)</f>
        <v>0</v>
      </c>
      <c r="K78" s="110">
        <v>0.2857142857142857</v>
      </c>
      <c r="L78" s="110">
        <v>0.2857142857142857</v>
      </c>
      <c r="M78" s="111"/>
      <c r="N78" s="111"/>
      <c r="O78" s="111"/>
      <c r="P78" s="111"/>
      <c r="Q78" s="111"/>
      <c r="R78" s="111"/>
      <c r="S78" s="103" t="s">
        <v>47</v>
      </c>
      <c r="T78" s="39"/>
      <c r="U78" s="39"/>
      <c r="V78" s="39"/>
      <c r="W78" s="39"/>
      <c r="X78" s="33" t="s">
        <v>31</v>
      </c>
      <c r="Y78" s="40">
        <v>24</v>
      </c>
      <c r="Z78" s="40">
        <v>28</v>
      </c>
      <c r="AA78" s="40">
        <v>32</v>
      </c>
      <c r="AB78" s="40">
        <v>25</v>
      </c>
      <c r="AC78" s="40">
        <v>33</v>
      </c>
      <c r="AD78" s="40">
        <v>38</v>
      </c>
      <c r="AE78" s="40">
        <v>27</v>
      </c>
      <c r="AF78" s="40">
        <v>26</v>
      </c>
      <c r="AG78" s="40">
        <v>27</v>
      </c>
      <c r="AH78" s="40">
        <v>40</v>
      </c>
      <c r="AI78" s="40">
        <v>20</v>
      </c>
      <c r="AJ78" s="40">
        <v>3</v>
      </c>
      <c r="AK78" s="40">
        <v>3</v>
      </c>
      <c r="AL78" s="40">
        <v>3</v>
      </c>
      <c r="AM78" s="40">
        <v>3</v>
      </c>
      <c r="AN78" s="40">
        <v>4</v>
      </c>
      <c r="AO78" s="40">
        <v>4</v>
      </c>
      <c r="AP78" s="40">
        <v>4</v>
      </c>
      <c r="AQ78" s="40">
        <v>6</v>
      </c>
      <c r="AR78" s="40">
        <v>6</v>
      </c>
      <c r="AS78" s="40">
        <v>5</v>
      </c>
      <c r="AT78" s="40">
        <v>5</v>
      </c>
      <c r="AU78" s="40">
        <v>4</v>
      </c>
      <c r="AV78" s="40">
        <v>3</v>
      </c>
      <c r="AW78" s="40">
        <v>3</v>
      </c>
      <c r="AX78" s="40">
        <v>3</v>
      </c>
      <c r="AY78" s="40">
        <v>3</v>
      </c>
      <c r="AZ78" s="40">
        <v>3</v>
      </c>
      <c r="BA78" s="40">
        <v>3</v>
      </c>
      <c r="BB78" s="40">
        <v>4</v>
      </c>
      <c r="BC78" s="40">
        <v>3</v>
      </c>
      <c r="BD78" s="40">
        <v>3</v>
      </c>
      <c r="BE78" s="40">
        <v>3</v>
      </c>
      <c r="BF78" s="10">
        <f>SUM(Y78:BE78)</f>
        <v>401</v>
      </c>
    </row>
    <row r="79" spans="2:58" ht="22" customHeight="1">
      <c r="B79" s="101"/>
      <c r="C79" s="101"/>
      <c r="D79" s="101"/>
      <c r="E79" s="101"/>
      <c r="F79" s="101"/>
      <c r="G79" s="101"/>
      <c r="H79" s="101"/>
      <c r="I79" s="101"/>
      <c r="J79" s="101"/>
      <c r="K79" s="101"/>
      <c r="L79" s="101"/>
      <c r="M79" s="101"/>
      <c r="N79" s="101"/>
      <c r="O79" s="101"/>
      <c r="P79" s="101"/>
      <c r="Q79" s="101"/>
      <c r="R79" s="101"/>
      <c r="S79" s="101"/>
      <c r="T79" s="39"/>
      <c r="U79" s="39"/>
      <c r="V79" s="39"/>
      <c r="W79" s="39"/>
      <c r="X79" s="33" t="s">
        <v>10</v>
      </c>
      <c r="Y79" s="41"/>
      <c r="Z79" s="41"/>
      <c r="AA79" s="41"/>
      <c r="AB79" s="41"/>
      <c r="AC79" s="41"/>
      <c r="AD79" s="41"/>
      <c r="AE79" s="41"/>
      <c r="AF79" s="41"/>
      <c r="AG79" s="41"/>
      <c r="AH79" s="41"/>
      <c r="AI79" s="41"/>
      <c r="AJ79" s="41"/>
      <c r="AK79" s="41"/>
      <c r="AL79" s="41"/>
      <c r="AM79" s="41"/>
      <c r="AN79" s="41"/>
      <c r="AO79" s="41"/>
      <c r="AP79" s="41"/>
      <c r="AQ79" s="41"/>
      <c r="AR79" s="41"/>
      <c r="AS79" s="41"/>
      <c r="AT79" s="41"/>
      <c r="AU79" s="41"/>
      <c r="AV79" s="41"/>
      <c r="AW79" s="41"/>
      <c r="AX79" s="41"/>
      <c r="AY79" s="41"/>
      <c r="AZ79" s="41"/>
      <c r="BA79" s="41"/>
      <c r="BB79" s="41"/>
      <c r="BC79" s="41"/>
      <c r="BD79" s="41"/>
      <c r="BE79" s="41"/>
      <c r="BF79" s="10">
        <f>SUM(Y79:BE79)</f>
        <v>0</v>
      </c>
    </row>
    <row r="80" spans="2:58" ht="22" customHeight="1">
      <c r="B80" s="102"/>
      <c r="C80" s="102"/>
      <c r="D80" s="102"/>
      <c r="E80" s="102"/>
      <c r="F80" s="102"/>
      <c r="G80" s="102"/>
      <c r="H80" s="102"/>
      <c r="I80" s="102"/>
      <c r="J80" s="102"/>
      <c r="K80" s="102"/>
      <c r="L80" s="102"/>
      <c r="M80" s="102"/>
      <c r="N80" s="102"/>
      <c r="O80" s="102"/>
      <c r="P80" s="102"/>
      <c r="Q80" s="102"/>
      <c r="R80" s="102"/>
      <c r="S80" s="102"/>
      <c r="T80" s="39"/>
      <c r="U80" s="39"/>
      <c r="V80" s="39"/>
      <c r="W80" s="39"/>
      <c r="X80" s="33" t="s">
        <v>11</v>
      </c>
      <c r="Y80" s="36">
        <f t="shared" ref="Y80:BF80" si="36">Y79-Y78</f>
        <v>-24</v>
      </c>
      <c r="Z80" s="36">
        <f t="shared" si="36"/>
        <v>-28</v>
      </c>
      <c r="AA80" s="36">
        <f t="shared" si="36"/>
        <v>-32</v>
      </c>
      <c r="AB80" s="36">
        <f t="shared" si="36"/>
        <v>-25</v>
      </c>
      <c r="AC80" s="36">
        <f t="shared" si="36"/>
        <v>-33</v>
      </c>
      <c r="AD80" s="36">
        <f t="shared" si="36"/>
        <v>-38</v>
      </c>
      <c r="AE80" s="36">
        <f t="shared" si="36"/>
        <v>-27</v>
      </c>
      <c r="AF80" s="36">
        <f t="shared" si="36"/>
        <v>-26</v>
      </c>
      <c r="AG80" s="36">
        <f t="shared" si="36"/>
        <v>-27</v>
      </c>
      <c r="AH80" s="36">
        <f t="shared" si="36"/>
        <v>-40</v>
      </c>
      <c r="AI80" s="36">
        <f t="shared" si="36"/>
        <v>-20</v>
      </c>
      <c r="AJ80" s="36">
        <f t="shared" si="36"/>
        <v>-3</v>
      </c>
      <c r="AK80" s="36">
        <f t="shared" si="36"/>
        <v>-3</v>
      </c>
      <c r="AL80" s="36">
        <f t="shared" si="36"/>
        <v>-3</v>
      </c>
      <c r="AM80" s="36">
        <f t="shared" si="36"/>
        <v>-3</v>
      </c>
      <c r="AN80" s="36">
        <f t="shared" si="36"/>
        <v>-4</v>
      </c>
      <c r="AO80" s="36">
        <f t="shared" si="36"/>
        <v>-4</v>
      </c>
      <c r="AP80" s="36">
        <f t="shared" si="36"/>
        <v>-4</v>
      </c>
      <c r="AQ80" s="36">
        <f t="shared" si="36"/>
        <v>-6</v>
      </c>
      <c r="AR80" s="36">
        <f t="shared" si="36"/>
        <v>-6</v>
      </c>
      <c r="AS80" s="36">
        <f t="shared" si="36"/>
        <v>-5</v>
      </c>
      <c r="AT80" s="36">
        <f t="shared" si="36"/>
        <v>-5</v>
      </c>
      <c r="AU80" s="36">
        <f t="shared" si="36"/>
        <v>-4</v>
      </c>
      <c r="AV80" s="36">
        <f t="shared" si="36"/>
        <v>-3</v>
      </c>
      <c r="AW80" s="36">
        <f t="shared" si="36"/>
        <v>-3</v>
      </c>
      <c r="AX80" s="36">
        <f t="shared" si="36"/>
        <v>-3</v>
      </c>
      <c r="AY80" s="36">
        <f t="shared" si="36"/>
        <v>-3</v>
      </c>
      <c r="AZ80" s="36">
        <f t="shared" si="36"/>
        <v>-3</v>
      </c>
      <c r="BA80" s="36">
        <f t="shared" si="36"/>
        <v>-3</v>
      </c>
      <c r="BB80" s="36">
        <f t="shared" si="36"/>
        <v>-4</v>
      </c>
      <c r="BC80" s="36">
        <f t="shared" si="36"/>
        <v>-3</v>
      </c>
      <c r="BD80" s="36">
        <f t="shared" si="36"/>
        <v>-3</v>
      </c>
      <c r="BE80" s="36">
        <f t="shared" si="36"/>
        <v>-3</v>
      </c>
      <c r="BF80" s="10">
        <f t="shared" si="36"/>
        <v>-401</v>
      </c>
    </row>
    <row r="81" spans="2:58" ht="22" customHeight="1">
      <c r="B81" s="104">
        <v>17</v>
      </c>
      <c r="C81" s="118" t="s">
        <v>70</v>
      </c>
      <c r="D81" s="105" t="s">
        <v>71</v>
      </c>
      <c r="E81" s="115"/>
      <c r="F81" s="119"/>
      <c r="G81" s="114">
        <f>SUM(Y81:AZ81)</f>
        <v>84</v>
      </c>
      <c r="H81" s="114">
        <f>SUM(Y82:AZ82)</f>
        <v>0</v>
      </c>
      <c r="I81" s="100"/>
      <c r="J81" s="116">
        <f>IFERROR(H81/G81,0)</f>
        <v>0</v>
      </c>
      <c r="K81" s="113">
        <v>8.9743589743589744E-2</v>
      </c>
      <c r="L81" s="113">
        <v>8.9743589743589744E-2</v>
      </c>
      <c r="M81" s="100"/>
      <c r="N81" s="100"/>
      <c r="O81" s="100"/>
      <c r="P81" s="100"/>
      <c r="Q81" s="100"/>
      <c r="R81" s="100"/>
      <c r="S81" s="115" t="s">
        <v>47</v>
      </c>
      <c r="T81" s="9"/>
      <c r="U81" s="9"/>
      <c r="V81" s="9"/>
      <c r="W81" s="9"/>
      <c r="X81" s="7" t="s">
        <v>31</v>
      </c>
      <c r="Y81" s="29">
        <v>4</v>
      </c>
      <c r="Z81" s="29">
        <v>5</v>
      </c>
      <c r="AA81" s="29">
        <v>3</v>
      </c>
      <c r="AB81" s="29">
        <v>4</v>
      </c>
      <c r="AC81" s="29">
        <v>4</v>
      </c>
      <c r="AD81" s="29">
        <v>4</v>
      </c>
      <c r="AE81" s="29">
        <v>4</v>
      </c>
      <c r="AF81" s="29">
        <v>4</v>
      </c>
      <c r="AG81" s="29">
        <v>5</v>
      </c>
      <c r="AH81" s="29">
        <v>2</v>
      </c>
      <c r="AI81" s="29">
        <v>2</v>
      </c>
      <c r="AJ81" s="29">
        <v>4</v>
      </c>
      <c r="AK81" s="29">
        <v>4</v>
      </c>
      <c r="AL81" s="29">
        <v>4</v>
      </c>
      <c r="AM81" s="29">
        <v>4</v>
      </c>
      <c r="AN81" s="29">
        <v>5</v>
      </c>
      <c r="AO81" s="29">
        <v>2</v>
      </c>
      <c r="AP81" s="29">
        <v>2</v>
      </c>
      <c r="AQ81" s="29">
        <v>1</v>
      </c>
      <c r="AR81" s="29">
        <v>1</v>
      </c>
      <c r="AS81" s="29">
        <v>1</v>
      </c>
      <c r="AT81" s="29">
        <v>1</v>
      </c>
      <c r="AU81" s="29">
        <v>2</v>
      </c>
      <c r="AV81" s="29">
        <v>1</v>
      </c>
      <c r="AW81" s="29">
        <v>2</v>
      </c>
      <c r="AX81" s="29">
        <v>3</v>
      </c>
      <c r="AY81" s="29">
        <v>3</v>
      </c>
      <c r="AZ81" s="29">
        <v>3</v>
      </c>
      <c r="BA81" s="29">
        <v>3</v>
      </c>
      <c r="BB81" s="29">
        <v>4</v>
      </c>
      <c r="BC81" s="29">
        <v>2</v>
      </c>
      <c r="BD81" s="29">
        <v>3</v>
      </c>
      <c r="BE81" s="29">
        <v>3</v>
      </c>
      <c r="BF81" s="10">
        <f>SUM(Y81:BE81)</f>
        <v>99</v>
      </c>
    </row>
    <row r="82" spans="2:58" ht="22" customHeight="1">
      <c r="B82" s="101"/>
      <c r="C82" s="101"/>
      <c r="D82" s="101"/>
      <c r="E82" s="101"/>
      <c r="F82" s="101"/>
      <c r="G82" s="101"/>
      <c r="H82" s="101"/>
      <c r="I82" s="101"/>
      <c r="J82" s="101"/>
      <c r="K82" s="101"/>
      <c r="L82" s="101"/>
      <c r="M82" s="101"/>
      <c r="N82" s="101"/>
      <c r="O82" s="101"/>
      <c r="P82" s="101"/>
      <c r="Q82" s="101"/>
      <c r="R82" s="101"/>
      <c r="S82" s="101"/>
      <c r="T82" s="9"/>
      <c r="U82" s="9"/>
      <c r="V82" s="9"/>
      <c r="W82" s="9"/>
      <c r="X82" s="7" t="s">
        <v>10</v>
      </c>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0">
        <f>SUM(Y82:BE82)</f>
        <v>0</v>
      </c>
    </row>
    <row r="83" spans="2:58" ht="22" customHeight="1">
      <c r="B83" s="102"/>
      <c r="C83" s="102"/>
      <c r="D83" s="102"/>
      <c r="E83" s="102"/>
      <c r="F83" s="102"/>
      <c r="G83" s="102"/>
      <c r="H83" s="102"/>
      <c r="I83" s="102"/>
      <c r="J83" s="102"/>
      <c r="K83" s="102"/>
      <c r="L83" s="102"/>
      <c r="M83" s="102"/>
      <c r="N83" s="102"/>
      <c r="O83" s="102"/>
      <c r="P83" s="102"/>
      <c r="Q83" s="102"/>
      <c r="R83" s="102"/>
      <c r="S83" s="102"/>
      <c r="T83" s="9"/>
      <c r="U83" s="9"/>
      <c r="V83" s="9"/>
      <c r="W83" s="9"/>
      <c r="X83" s="7" t="s">
        <v>11</v>
      </c>
      <c r="Y83" s="3">
        <f t="shared" ref="Y83:BF83" si="37">Y82-Y81</f>
        <v>-4</v>
      </c>
      <c r="Z83" s="3">
        <f t="shared" si="37"/>
        <v>-5</v>
      </c>
      <c r="AA83" s="3">
        <f t="shared" si="37"/>
        <v>-3</v>
      </c>
      <c r="AB83" s="3">
        <f t="shared" si="37"/>
        <v>-4</v>
      </c>
      <c r="AC83" s="3">
        <f t="shared" si="37"/>
        <v>-4</v>
      </c>
      <c r="AD83" s="3">
        <f t="shared" si="37"/>
        <v>-4</v>
      </c>
      <c r="AE83" s="3">
        <f t="shared" si="37"/>
        <v>-4</v>
      </c>
      <c r="AF83" s="3">
        <f t="shared" si="37"/>
        <v>-4</v>
      </c>
      <c r="AG83" s="3">
        <f t="shared" si="37"/>
        <v>-5</v>
      </c>
      <c r="AH83" s="3">
        <f t="shared" si="37"/>
        <v>-2</v>
      </c>
      <c r="AI83" s="3">
        <f t="shared" si="37"/>
        <v>-2</v>
      </c>
      <c r="AJ83" s="3">
        <f t="shared" si="37"/>
        <v>-4</v>
      </c>
      <c r="AK83" s="3">
        <f t="shared" si="37"/>
        <v>-4</v>
      </c>
      <c r="AL83" s="3">
        <f t="shared" si="37"/>
        <v>-4</v>
      </c>
      <c r="AM83" s="3">
        <f t="shared" si="37"/>
        <v>-4</v>
      </c>
      <c r="AN83" s="3">
        <f t="shared" si="37"/>
        <v>-5</v>
      </c>
      <c r="AO83" s="3">
        <f t="shared" si="37"/>
        <v>-2</v>
      </c>
      <c r="AP83" s="3">
        <f t="shared" si="37"/>
        <v>-2</v>
      </c>
      <c r="AQ83" s="3">
        <f t="shared" si="37"/>
        <v>-1</v>
      </c>
      <c r="AR83" s="3">
        <f t="shared" si="37"/>
        <v>-1</v>
      </c>
      <c r="AS83" s="3">
        <f t="shared" si="37"/>
        <v>-1</v>
      </c>
      <c r="AT83" s="3">
        <f t="shared" si="37"/>
        <v>-1</v>
      </c>
      <c r="AU83" s="3">
        <f t="shared" si="37"/>
        <v>-2</v>
      </c>
      <c r="AV83" s="3">
        <f t="shared" si="37"/>
        <v>-1</v>
      </c>
      <c r="AW83" s="3">
        <f t="shared" si="37"/>
        <v>-2</v>
      </c>
      <c r="AX83" s="3">
        <f t="shared" si="37"/>
        <v>-3</v>
      </c>
      <c r="AY83" s="3">
        <f t="shared" si="37"/>
        <v>-3</v>
      </c>
      <c r="AZ83" s="3">
        <f t="shared" si="37"/>
        <v>-3</v>
      </c>
      <c r="BA83" s="3">
        <f t="shared" si="37"/>
        <v>-3</v>
      </c>
      <c r="BB83" s="3">
        <f t="shared" si="37"/>
        <v>-4</v>
      </c>
      <c r="BC83" s="3">
        <f t="shared" si="37"/>
        <v>-2</v>
      </c>
      <c r="BD83" s="3">
        <f t="shared" si="37"/>
        <v>-3</v>
      </c>
      <c r="BE83" s="3">
        <f t="shared" si="37"/>
        <v>-3</v>
      </c>
      <c r="BF83" s="10">
        <f t="shared" si="37"/>
        <v>-99</v>
      </c>
    </row>
    <row r="84" spans="2:58" ht="22" customHeight="1">
      <c r="B84" s="107">
        <v>18</v>
      </c>
      <c r="C84" s="117" t="s">
        <v>72</v>
      </c>
      <c r="D84" s="108" t="s">
        <v>73</v>
      </c>
      <c r="E84" s="103"/>
      <c r="F84" s="109"/>
      <c r="G84" s="106">
        <f>SUM(Y84:AZ84)</f>
        <v>67</v>
      </c>
      <c r="H84" s="106">
        <f>SUM(Y85:AZ85)</f>
        <v>0</v>
      </c>
      <c r="I84" s="111"/>
      <c r="J84" s="112">
        <f>IFERROR(H84/G84,0)</f>
        <v>0</v>
      </c>
      <c r="K84" s="110">
        <v>0.23809523809523811</v>
      </c>
      <c r="L84" s="110">
        <v>0.23809523809523811</v>
      </c>
      <c r="M84" s="111"/>
      <c r="N84" s="111"/>
      <c r="O84" s="111"/>
      <c r="P84" s="111"/>
      <c r="Q84" s="111"/>
      <c r="R84" s="111"/>
      <c r="S84" s="103" t="s">
        <v>47</v>
      </c>
      <c r="T84" s="39"/>
      <c r="U84" s="39"/>
      <c r="V84" s="39"/>
      <c r="W84" s="39"/>
      <c r="X84" s="33" t="s">
        <v>31</v>
      </c>
      <c r="Y84" s="40">
        <v>2</v>
      </c>
      <c r="Z84" s="40">
        <v>2</v>
      </c>
      <c r="AA84" s="40">
        <v>3</v>
      </c>
      <c r="AB84" s="40">
        <v>2</v>
      </c>
      <c r="AC84" s="40">
        <v>2</v>
      </c>
      <c r="AD84" s="40">
        <v>2</v>
      </c>
      <c r="AE84" s="40">
        <v>2</v>
      </c>
      <c r="AF84" s="40">
        <v>2</v>
      </c>
      <c r="AG84" s="40">
        <v>2</v>
      </c>
      <c r="AH84" s="40">
        <v>3</v>
      </c>
      <c r="AI84" s="40">
        <v>2</v>
      </c>
      <c r="AJ84" s="40">
        <v>2</v>
      </c>
      <c r="AK84" s="40">
        <v>2</v>
      </c>
      <c r="AL84" s="40">
        <v>2</v>
      </c>
      <c r="AM84" s="40">
        <v>2</v>
      </c>
      <c r="AN84" s="40">
        <v>2</v>
      </c>
      <c r="AO84" s="40">
        <v>3</v>
      </c>
      <c r="AP84" s="40">
        <v>2</v>
      </c>
      <c r="AQ84" s="40">
        <v>3</v>
      </c>
      <c r="AR84" s="40">
        <v>3</v>
      </c>
      <c r="AS84" s="40">
        <v>3</v>
      </c>
      <c r="AT84" s="40">
        <v>3</v>
      </c>
      <c r="AU84" s="40">
        <v>1</v>
      </c>
      <c r="AV84" s="40">
        <v>2</v>
      </c>
      <c r="AW84" s="40">
        <v>1</v>
      </c>
      <c r="AX84" s="40">
        <v>4</v>
      </c>
      <c r="AY84" s="40">
        <v>4</v>
      </c>
      <c r="AZ84" s="40">
        <v>4</v>
      </c>
      <c r="BA84" s="40">
        <v>4</v>
      </c>
      <c r="BB84" s="40">
        <v>3</v>
      </c>
      <c r="BC84" s="40">
        <v>5</v>
      </c>
      <c r="BD84" s="40">
        <v>4</v>
      </c>
      <c r="BE84" s="40">
        <v>4</v>
      </c>
      <c r="BF84" s="10">
        <f>SUM(Y84:BE84)</f>
        <v>87</v>
      </c>
    </row>
    <row r="85" spans="2:58" ht="22" customHeight="1">
      <c r="B85" s="101"/>
      <c r="C85" s="101"/>
      <c r="D85" s="101"/>
      <c r="E85" s="101"/>
      <c r="F85" s="101"/>
      <c r="G85" s="101"/>
      <c r="H85" s="101"/>
      <c r="I85" s="101"/>
      <c r="J85" s="101"/>
      <c r="K85" s="101"/>
      <c r="L85" s="101"/>
      <c r="M85" s="101"/>
      <c r="N85" s="101"/>
      <c r="O85" s="101"/>
      <c r="P85" s="101"/>
      <c r="Q85" s="101"/>
      <c r="R85" s="101"/>
      <c r="S85" s="101"/>
      <c r="T85" s="39"/>
      <c r="U85" s="39"/>
      <c r="V85" s="39"/>
      <c r="W85" s="39"/>
      <c r="X85" s="33" t="s">
        <v>10</v>
      </c>
      <c r="Y85" s="41"/>
      <c r="Z85" s="41"/>
      <c r="AA85" s="41"/>
      <c r="AB85" s="41"/>
      <c r="AC85" s="41"/>
      <c r="AD85" s="41"/>
      <c r="AE85" s="41"/>
      <c r="AF85" s="41"/>
      <c r="AG85" s="41"/>
      <c r="AH85" s="41"/>
      <c r="AI85" s="41"/>
      <c r="AJ85" s="41"/>
      <c r="AK85" s="41"/>
      <c r="AL85" s="41"/>
      <c r="AM85" s="41"/>
      <c r="AN85" s="41"/>
      <c r="AO85" s="41"/>
      <c r="AP85" s="41"/>
      <c r="AQ85" s="41"/>
      <c r="AR85" s="41"/>
      <c r="AS85" s="41"/>
      <c r="AT85" s="41"/>
      <c r="AU85" s="41"/>
      <c r="AV85" s="41"/>
      <c r="AW85" s="41"/>
      <c r="AX85" s="41"/>
      <c r="AY85" s="41"/>
      <c r="AZ85" s="41"/>
      <c r="BA85" s="41"/>
      <c r="BB85" s="41"/>
      <c r="BC85" s="41"/>
      <c r="BD85" s="41"/>
      <c r="BE85" s="41"/>
      <c r="BF85" s="10">
        <f>SUM(Y85:BE85)</f>
        <v>0</v>
      </c>
    </row>
    <row r="86" spans="2:58" ht="22" customHeight="1">
      <c r="B86" s="102"/>
      <c r="C86" s="102"/>
      <c r="D86" s="102"/>
      <c r="E86" s="102"/>
      <c r="F86" s="102"/>
      <c r="G86" s="102"/>
      <c r="H86" s="102"/>
      <c r="I86" s="102"/>
      <c r="J86" s="102"/>
      <c r="K86" s="102"/>
      <c r="L86" s="102"/>
      <c r="M86" s="102"/>
      <c r="N86" s="102"/>
      <c r="O86" s="102"/>
      <c r="P86" s="102"/>
      <c r="Q86" s="102"/>
      <c r="R86" s="102"/>
      <c r="S86" s="102"/>
      <c r="T86" s="39"/>
      <c r="U86" s="39"/>
      <c r="V86" s="39"/>
      <c r="W86" s="39"/>
      <c r="X86" s="33" t="s">
        <v>11</v>
      </c>
      <c r="Y86" s="36">
        <f t="shared" ref="Y86:BF86" si="38">Y85-Y84</f>
        <v>-2</v>
      </c>
      <c r="Z86" s="36">
        <f t="shared" si="38"/>
        <v>-2</v>
      </c>
      <c r="AA86" s="36">
        <f t="shared" si="38"/>
        <v>-3</v>
      </c>
      <c r="AB86" s="36">
        <f t="shared" si="38"/>
        <v>-2</v>
      </c>
      <c r="AC86" s="36">
        <f t="shared" si="38"/>
        <v>-2</v>
      </c>
      <c r="AD86" s="36">
        <f t="shared" si="38"/>
        <v>-2</v>
      </c>
      <c r="AE86" s="36">
        <f t="shared" si="38"/>
        <v>-2</v>
      </c>
      <c r="AF86" s="36">
        <f t="shared" si="38"/>
        <v>-2</v>
      </c>
      <c r="AG86" s="36">
        <f t="shared" si="38"/>
        <v>-2</v>
      </c>
      <c r="AH86" s="36">
        <f t="shared" si="38"/>
        <v>-3</v>
      </c>
      <c r="AI86" s="36">
        <f t="shared" si="38"/>
        <v>-2</v>
      </c>
      <c r="AJ86" s="36">
        <f t="shared" si="38"/>
        <v>-2</v>
      </c>
      <c r="AK86" s="36">
        <f t="shared" si="38"/>
        <v>-2</v>
      </c>
      <c r="AL86" s="36">
        <f t="shared" si="38"/>
        <v>-2</v>
      </c>
      <c r="AM86" s="36">
        <f t="shared" si="38"/>
        <v>-2</v>
      </c>
      <c r="AN86" s="36">
        <f t="shared" si="38"/>
        <v>-2</v>
      </c>
      <c r="AO86" s="36">
        <f t="shared" si="38"/>
        <v>-3</v>
      </c>
      <c r="AP86" s="36">
        <f t="shared" si="38"/>
        <v>-2</v>
      </c>
      <c r="AQ86" s="36">
        <f t="shared" si="38"/>
        <v>-3</v>
      </c>
      <c r="AR86" s="36">
        <f t="shared" si="38"/>
        <v>-3</v>
      </c>
      <c r="AS86" s="36">
        <f t="shared" si="38"/>
        <v>-3</v>
      </c>
      <c r="AT86" s="36">
        <f t="shared" si="38"/>
        <v>-3</v>
      </c>
      <c r="AU86" s="36">
        <f t="shared" si="38"/>
        <v>-1</v>
      </c>
      <c r="AV86" s="36">
        <f t="shared" si="38"/>
        <v>-2</v>
      </c>
      <c r="AW86" s="36">
        <f t="shared" si="38"/>
        <v>-1</v>
      </c>
      <c r="AX86" s="36">
        <f t="shared" si="38"/>
        <v>-4</v>
      </c>
      <c r="AY86" s="36">
        <f t="shared" si="38"/>
        <v>-4</v>
      </c>
      <c r="AZ86" s="36">
        <f t="shared" si="38"/>
        <v>-4</v>
      </c>
      <c r="BA86" s="36">
        <f t="shared" si="38"/>
        <v>-4</v>
      </c>
      <c r="BB86" s="36">
        <f t="shared" si="38"/>
        <v>-3</v>
      </c>
      <c r="BC86" s="36">
        <f t="shared" si="38"/>
        <v>-5</v>
      </c>
      <c r="BD86" s="36">
        <f t="shared" si="38"/>
        <v>-4</v>
      </c>
      <c r="BE86" s="36">
        <f t="shared" si="38"/>
        <v>-4</v>
      </c>
      <c r="BF86" s="10">
        <f t="shared" si="38"/>
        <v>-87</v>
      </c>
    </row>
    <row r="87" spans="2:58" ht="22" customHeight="1">
      <c r="B87" s="104">
        <v>19</v>
      </c>
      <c r="C87" s="118" t="s">
        <v>74</v>
      </c>
      <c r="D87" s="105" t="s">
        <v>75</v>
      </c>
      <c r="E87" s="115"/>
      <c r="F87" s="119"/>
      <c r="G87" s="114">
        <f>SUM(Y87:AZ87)</f>
        <v>81</v>
      </c>
      <c r="H87" s="114">
        <f>SUM(Y88:AZ88)</f>
        <v>0</v>
      </c>
      <c r="I87" s="100"/>
      <c r="J87" s="116">
        <f>IFERROR(H87/G87,0)</f>
        <v>0</v>
      </c>
      <c r="K87" s="113">
        <v>0.33750000000000002</v>
      </c>
      <c r="L87" s="113">
        <v>0.33750000000000002</v>
      </c>
      <c r="M87" s="100"/>
      <c r="N87" s="100"/>
      <c r="O87" s="100"/>
      <c r="P87" s="100"/>
      <c r="Q87" s="100"/>
      <c r="R87" s="100"/>
      <c r="S87" s="115" t="s">
        <v>47</v>
      </c>
      <c r="T87" s="9"/>
      <c r="U87" s="9"/>
      <c r="V87" s="9"/>
      <c r="W87" s="9"/>
      <c r="X87" s="7" t="s">
        <v>31</v>
      </c>
      <c r="Y87" s="29">
        <v>4</v>
      </c>
      <c r="Z87" s="29">
        <v>1</v>
      </c>
      <c r="AA87" s="29">
        <v>2</v>
      </c>
      <c r="AB87" s="29">
        <v>4</v>
      </c>
      <c r="AC87" s="29">
        <v>4</v>
      </c>
      <c r="AD87" s="29">
        <v>4</v>
      </c>
      <c r="AE87" s="29">
        <v>4</v>
      </c>
      <c r="AF87" s="29">
        <v>4</v>
      </c>
      <c r="AG87" s="29">
        <v>1</v>
      </c>
      <c r="AH87" s="29">
        <v>1</v>
      </c>
      <c r="AI87" s="29">
        <v>3</v>
      </c>
      <c r="AJ87" s="29">
        <v>4</v>
      </c>
      <c r="AK87" s="29">
        <v>4</v>
      </c>
      <c r="AL87" s="29">
        <v>4</v>
      </c>
      <c r="AM87" s="29">
        <v>4</v>
      </c>
      <c r="AN87" s="29">
        <v>1</v>
      </c>
      <c r="AO87" s="29">
        <v>1</v>
      </c>
      <c r="AP87" s="29">
        <v>3</v>
      </c>
      <c r="AQ87" s="29">
        <v>4</v>
      </c>
      <c r="AR87" s="29">
        <v>4</v>
      </c>
      <c r="AS87" s="29">
        <v>4</v>
      </c>
      <c r="AT87" s="29">
        <v>4</v>
      </c>
      <c r="AU87" s="29">
        <v>1</v>
      </c>
      <c r="AV87" s="29">
        <v>1</v>
      </c>
      <c r="AW87" s="29">
        <v>3</v>
      </c>
      <c r="AX87" s="29">
        <v>3</v>
      </c>
      <c r="AY87" s="29">
        <v>2</v>
      </c>
      <c r="AZ87" s="29">
        <v>2</v>
      </c>
      <c r="BA87" s="29">
        <v>2</v>
      </c>
      <c r="BB87" s="29">
        <v>0</v>
      </c>
      <c r="BC87" s="29">
        <v>0</v>
      </c>
      <c r="BD87" s="29">
        <v>2</v>
      </c>
      <c r="BE87" s="29">
        <v>2</v>
      </c>
      <c r="BF87" s="10">
        <f>SUM(Y87:BE87)</f>
        <v>87</v>
      </c>
    </row>
    <row r="88" spans="2:58" ht="22" customHeight="1">
      <c r="B88" s="101"/>
      <c r="C88" s="101"/>
      <c r="D88" s="101"/>
      <c r="E88" s="101"/>
      <c r="F88" s="101"/>
      <c r="G88" s="101"/>
      <c r="H88" s="101"/>
      <c r="I88" s="101"/>
      <c r="J88" s="101"/>
      <c r="K88" s="101"/>
      <c r="L88" s="101"/>
      <c r="M88" s="101"/>
      <c r="N88" s="101"/>
      <c r="O88" s="101"/>
      <c r="P88" s="101"/>
      <c r="Q88" s="101"/>
      <c r="R88" s="101"/>
      <c r="S88" s="101"/>
      <c r="T88" s="9"/>
      <c r="U88" s="9"/>
      <c r="V88" s="9"/>
      <c r="W88" s="9"/>
      <c r="X88" s="7" t="s">
        <v>10</v>
      </c>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0">
        <f>SUM(Y88:BE88)</f>
        <v>0</v>
      </c>
    </row>
    <row r="89" spans="2:58" ht="22" customHeight="1">
      <c r="B89" s="102"/>
      <c r="C89" s="102"/>
      <c r="D89" s="102"/>
      <c r="E89" s="102"/>
      <c r="F89" s="102"/>
      <c r="G89" s="102"/>
      <c r="H89" s="102"/>
      <c r="I89" s="102"/>
      <c r="J89" s="102"/>
      <c r="K89" s="102"/>
      <c r="L89" s="102"/>
      <c r="M89" s="102"/>
      <c r="N89" s="102"/>
      <c r="O89" s="102"/>
      <c r="P89" s="102"/>
      <c r="Q89" s="102"/>
      <c r="R89" s="102"/>
      <c r="S89" s="102"/>
      <c r="T89" s="9"/>
      <c r="U89" s="9"/>
      <c r="V89" s="9"/>
      <c r="W89" s="9"/>
      <c r="X89" s="7" t="s">
        <v>11</v>
      </c>
      <c r="Y89" s="3">
        <f t="shared" ref="Y89:BF89" si="39">Y88-Y87</f>
        <v>-4</v>
      </c>
      <c r="Z89" s="3">
        <f t="shared" si="39"/>
        <v>-1</v>
      </c>
      <c r="AA89" s="3">
        <f t="shared" si="39"/>
        <v>-2</v>
      </c>
      <c r="AB89" s="3">
        <f t="shared" si="39"/>
        <v>-4</v>
      </c>
      <c r="AC89" s="3">
        <f t="shared" si="39"/>
        <v>-4</v>
      </c>
      <c r="AD89" s="3">
        <f t="shared" si="39"/>
        <v>-4</v>
      </c>
      <c r="AE89" s="3">
        <f t="shared" si="39"/>
        <v>-4</v>
      </c>
      <c r="AF89" s="3">
        <f t="shared" si="39"/>
        <v>-4</v>
      </c>
      <c r="AG89" s="3">
        <f t="shared" si="39"/>
        <v>-1</v>
      </c>
      <c r="AH89" s="3">
        <f t="shared" si="39"/>
        <v>-1</v>
      </c>
      <c r="AI89" s="3">
        <f t="shared" si="39"/>
        <v>-3</v>
      </c>
      <c r="AJ89" s="3">
        <f t="shared" si="39"/>
        <v>-4</v>
      </c>
      <c r="AK89" s="3">
        <f t="shared" si="39"/>
        <v>-4</v>
      </c>
      <c r="AL89" s="3">
        <f t="shared" si="39"/>
        <v>-4</v>
      </c>
      <c r="AM89" s="3">
        <f t="shared" si="39"/>
        <v>-4</v>
      </c>
      <c r="AN89" s="3">
        <f t="shared" si="39"/>
        <v>-1</v>
      </c>
      <c r="AO89" s="3">
        <f t="shared" si="39"/>
        <v>-1</v>
      </c>
      <c r="AP89" s="3">
        <f t="shared" si="39"/>
        <v>-3</v>
      </c>
      <c r="AQ89" s="3">
        <f t="shared" si="39"/>
        <v>-4</v>
      </c>
      <c r="AR89" s="3">
        <f t="shared" si="39"/>
        <v>-4</v>
      </c>
      <c r="AS89" s="3">
        <f t="shared" si="39"/>
        <v>-4</v>
      </c>
      <c r="AT89" s="3">
        <f t="shared" si="39"/>
        <v>-4</v>
      </c>
      <c r="AU89" s="3">
        <f t="shared" si="39"/>
        <v>-1</v>
      </c>
      <c r="AV89" s="3">
        <f t="shared" si="39"/>
        <v>-1</v>
      </c>
      <c r="AW89" s="3">
        <f t="shared" si="39"/>
        <v>-3</v>
      </c>
      <c r="AX89" s="3">
        <f t="shared" si="39"/>
        <v>-3</v>
      </c>
      <c r="AY89" s="3">
        <f t="shared" si="39"/>
        <v>-2</v>
      </c>
      <c r="AZ89" s="3">
        <f t="shared" si="39"/>
        <v>-2</v>
      </c>
      <c r="BA89" s="3">
        <f t="shared" si="39"/>
        <v>-2</v>
      </c>
      <c r="BB89" s="3">
        <f t="shared" si="39"/>
        <v>0</v>
      </c>
      <c r="BC89" s="3">
        <f t="shared" si="39"/>
        <v>0</v>
      </c>
      <c r="BD89" s="3">
        <f t="shared" si="39"/>
        <v>-2</v>
      </c>
      <c r="BE89" s="3">
        <f t="shared" si="39"/>
        <v>-2</v>
      </c>
      <c r="BF89" s="10">
        <f t="shared" si="39"/>
        <v>-87</v>
      </c>
    </row>
    <row r="90" spans="2:58" ht="22" customHeight="1">
      <c r="B90" s="107">
        <v>20</v>
      </c>
      <c r="C90" s="117" t="s">
        <v>76</v>
      </c>
      <c r="D90" s="108" t="s">
        <v>77</v>
      </c>
      <c r="E90" s="103"/>
      <c r="F90" s="109"/>
      <c r="G90" s="106">
        <f>SUM(Y90:AZ90)</f>
        <v>170</v>
      </c>
      <c r="H90" s="106">
        <f>SUM(Y91:AZ91)</f>
        <v>0</v>
      </c>
      <c r="I90" s="111"/>
      <c r="J90" s="112">
        <f>IFERROR(H90/G90,0)</f>
        <v>0</v>
      </c>
      <c r="K90" s="110">
        <v>9.0909090909090912E-2</v>
      </c>
      <c r="L90" s="110">
        <v>9.0909090909090912E-2</v>
      </c>
      <c r="M90" s="111"/>
      <c r="N90" s="111"/>
      <c r="O90" s="111"/>
      <c r="P90" s="111"/>
      <c r="Q90" s="111"/>
      <c r="R90" s="111"/>
      <c r="S90" s="103" t="s">
        <v>37</v>
      </c>
      <c r="T90" s="39"/>
      <c r="U90" s="39"/>
      <c r="V90" s="39"/>
      <c r="W90" s="39"/>
      <c r="X90" s="33" t="s">
        <v>31</v>
      </c>
      <c r="Y90" s="40">
        <v>8</v>
      </c>
      <c r="Z90" s="40">
        <v>8</v>
      </c>
      <c r="AA90" s="40">
        <v>8</v>
      </c>
      <c r="AB90" s="40">
        <v>8</v>
      </c>
      <c r="AC90" s="40">
        <v>8</v>
      </c>
      <c r="AD90" s="40">
        <v>8</v>
      </c>
      <c r="AE90" s="40">
        <v>8</v>
      </c>
      <c r="AF90" s="40">
        <v>8</v>
      </c>
      <c r="AG90" s="40">
        <v>8</v>
      </c>
      <c r="AH90" s="40">
        <v>9</v>
      </c>
      <c r="AI90" s="40">
        <v>10</v>
      </c>
      <c r="AJ90" s="40">
        <v>3</v>
      </c>
      <c r="AK90" s="40">
        <v>3</v>
      </c>
      <c r="AL90" s="40">
        <v>3</v>
      </c>
      <c r="AM90" s="40">
        <v>3</v>
      </c>
      <c r="AN90" s="40">
        <v>7</v>
      </c>
      <c r="AO90" s="40">
        <v>7</v>
      </c>
      <c r="AP90" s="40">
        <v>4</v>
      </c>
      <c r="AQ90" s="40">
        <v>4</v>
      </c>
      <c r="AR90" s="40">
        <v>4</v>
      </c>
      <c r="AS90" s="40">
        <v>4</v>
      </c>
      <c r="AT90" s="40">
        <v>4</v>
      </c>
      <c r="AU90" s="40">
        <v>7</v>
      </c>
      <c r="AV90" s="40">
        <v>7</v>
      </c>
      <c r="AW90" s="40">
        <v>7</v>
      </c>
      <c r="AX90" s="40">
        <v>4</v>
      </c>
      <c r="AY90" s="40">
        <v>4</v>
      </c>
      <c r="AZ90" s="40">
        <v>4</v>
      </c>
      <c r="BA90" s="40">
        <v>4</v>
      </c>
      <c r="BB90" s="40">
        <v>7</v>
      </c>
      <c r="BC90" s="40">
        <v>7</v>
      </c>
      <c r="BD90" s="40">
        <v>4</v>
      </c>
      <c r="BE90" s="40">
        <v>4</v>
      </c>
      <c r="BF90" s="10">
        <f>SUM(Y90:BE90)</f>
        <v>196</v>
      </c>
    </row>
    <row r="91" spans="2:58" ht="22" customHeight="1">
      <c r="B91" s="101"/>
      <c r="C91" s="101"/>
      <c r="D91" s="101"/>
      <c r="E91" s="101"/>
      <c r="F91" s="101"/>
      <c r="G91" s="101"/>
      <c r="H91" s="101"/>
      <c r="I91" s="101"/>
      <c r="J91" s="101"/>
      <c r="K91" s="101"/>
      <c r="L91" s="101"/>
      <c r="M91" s="101"/>
      <c r="N91" s="101"/>
      <c r="O91" s="101"/>
      <c r="P91" s="101"/>
      <c r="Q91" s="101"/>
      <c r="R91" s="101"/>
      <c r="S91" s="101"/>
      <c r="T91" s="39"/>
      <c r="U91" s="39"/>
      <c r="V91" s="39"/>
      <c r="W91" s="39"/>
      <c r="X91" s="33" t="s">
        <v>10</v>
      </c>
      <c r="Y91" s="41"/>
      <c r="Z91" s="41"/>
      <c r="AA91" s="41"/>
      <c r="AB91" s="41"/>
      <c r="AC91" s="41"/>
      <c r="AD91" s="41"/>
      <c r="AE91" s="41"/>
      <c r="AF91" s="41"/>
      <c r="AG91" s="41"/>
      <c r="AH91" s="41"/>
      <c r="AI91" s="41"/>
      <c r="AJ91" s="41"/>
      <c r="AK91" s="41"/>
      <c r="AL91" s="41"/>
      <c r="AM91" s="41"/>
      <c r="AN91" s="41"/>
      <c r="AO91" s="41"/>
      <c r="AP91" s="41"/>
      <c r="AQ91" s="41"/>
      <c r="AR91" s="41"/>
      <c r="AS91" s="41"/>
      <c r="AT91" s="41"/>
      <c r="AU91" s="41"/>
      <c r="AV91" s="41"/>
      <c r="AW91" s="41"/>
      <c r="AX91" s="41"/>
      <c r="AY91" s="41"/>
      <c r="AZ91" s="41"/>
      <c r="BA91" s="41"/>
      <c r="BB91" s="41"/>
      <c r="BC91" s="41"/>
      <c r="BD91" s="41"/>
      <c r="BE91" s="41"/>
      <c r="BF91" s="10">
        <f>SUM(Y91:BE91)</f>
        <v>0</v>
      </c>
    </row>
    <row r="92" spans="2:58" ht="22" customHeight="1">
      <c r="B92" s="101"/>
      <c r="C92" s="101"/>
      <c r="D92" s="101"/>
      <c r="E92" s="101"/>
      <c r="F92" s="101"/>
      <c r="G92" s="101"/>
      <c r="H92" s="101"/>
      <c r="I92" s="101"/>
      <c r="J92" s="101"/>
      <c r="K92" s="101"/>
      <c r="L92" s="101"/>
      <c r="M92" s="101"/>
      <c r="N92" s="101"/>
      <c r="O92" s="101"/>
      <c r="P92" s="101"/>
      <c r="Q92" s="101"/>
      <c r="R92" s="101"/>
      <c r="S92" s="101"/>
      <c r="T92" s="39"/>
      <c r="U92" s="39"/>
      <c r="V92" s="39"/>
      <c r="W92" s="39"/>
      <c r="X92" s="42" t="s">
        <v>38</v>
      </c>
      <c r="Y92" s="43">
        <v>4000</v>
      </c>
      <c r="Z92" s="43">
        <v>4000</v>
      </c>
      <c r="AA92" s="43">
        <v>4000</v>
      </c>
      <c r="AB92" s="43">
        <v>4000</v>
      </c>
      <c r="AC92" s="43">
        <v>4000</v>
      </c>
      <c r="AD92" s="43">
        <v>4000</v>
      </c>
      <c r="AE92" s="43">
        <v>4000</v>
      </c>
      <c r="AF92" s="43">
        <v>4000</v>
      </c>
      <c r="AG92" s="43">
        <v>4000</v>
      </c>
      <c r="AH92" s="43">
        <v>4000</v>
      </c>
      <c r="AI92" s="43">
        <v>4000</v>
      </c>
      <c r="AJ92" s="43">
        <v>4000</v>
      </c>
      <c r="AK92" s="43">
        <v>4000</v>
      </c>
      <c r="AL92" s="43">
        <v>4000</v>
      </c>
      <c r="AM92" s="43">
        <v>4000</v>
      </c>
      <c r="AN92" s="43">
        <v>4000</v>
      </c>
      <c r="AO92" s="43">
        <v>4000</v>
      </c>
      <c r="AP92" s="43">
        <v>4000</v>
      </c>
      <c r="AQ92" s="43">
        <v>4000</v>
      </c>
      <c r="AR92" s="43">
        <v>4000</v>
      </c>
      <c r="AS92" s="43">
        <v>4000</v>
      </c>
      <c r="AT92" s="43">
        <v>4000</v>
      </c>
      <c r="AU92" s="43">
        <v>4000</v>
      </c>
      <c r="AV92" s="43">
        <v>4000</v>
      </c>
      <c r="AW92" s="43">
        <v>4000</v>
      </c>
      <c r="AX92" s="43">
        <v>4000</v>
      </c>
      <c r="AY92" s="43">
        <v>4000</v>
      </c>
      <c r="AZ92" s="43">
        <v>4000</v>
      </c>
      <c r="BA92" s="43">
        <v>4000</v>
      </c>
      <c r="BB92" s="43">
        <v>4000</v>
      </c>
      <c r="BC92" s="43">
        <v>4000</v>
      </c>
      <c r="BD92" s="43">
        <v>4000</v>
      </c>
      <c r="BE92" s="43">
        <v>4000</v>
      </c>
      <c r="BF92" s="12">
        <f>SUM(Y92:BE92)</f>
        <v>132000</v>
      </c>
    </row>
    <row r="93" spans="2:58" ht="22" customHeight="1">
      <c r="B93" s="102"/>
      <c r="C93" s="102"/>
      <c r="D93" s="102"/>
      <c r="E93" s="102"/>
      <c r="F93" s="102"/>
      <c r="G93" s="102"/>
      <c r="H93" s="102"/>
      <c r="I93" s="102"/>
      <c r="J93" s="102"/>
      <c r="K93" s="102"/>
      <c r="L93" s="102"/>
      <c r="M93" s="102"/>
      <c r="N93" s="102"/>
      <c r="O93" s="102"/>
      <c r="P93" s="102"/>
      <c r="Q93" s="102"/>
      <c r="R93" s="102"/>
      <c r="S93" s="102"/>
      <c r="T93" s="39"/>
      <c r="U93" s="39"/>
      <c r="V93" s="39"/>
      <c r="W93" s="39"/>
      <c r="X93" s="33" t="s">
        <v>11</v>
      </c>
      <c r="Y93" s="36">
        <f t="shared" ref="Y93:BF93" si="40">Y91-Y90</f>
        <v>-8</v>
      </c>
      <c r="Z93" s="36">
        <f t="shared" si="40"/>
        <v>-8</v>
      </c>
      <c r="AA93" s="36">
        <f t="shared" si="40"/>
        <v>-8</v>
      </c>
      <c r="AB93" s="36">
        <f t="shared" si="40"/>
        <v>-8</v>
      </c>
      <c r="AC93" s="36">
        <f t="shared" si="40"/>
        <v>-8</v>
      </c>
      <c r="AD93" s="36">
        <f t="shared" si="40"/>
        <v>-8</v>
      </c>
      <c r="AE93" s="36">
        <f t="shared" si="40"/>
        <v>-8</v>
      </c>
      <c r="AF93" s="36">
        <f t="shared" si="40"/>
        <v>-8</v>
      </c>
      <c r="AG93" s="36">
        <f t="shared" si="40"/>
        <v>-8</v>
      </c>
      <c r="AH93" s="36">
        <f t="shared" si="40"/>
        <v>-9</v>
      </c>
      <c r="AI93" s="36">
        <f t="shared" si="40"/>
        <v>-10</v>
      </c>
      <c r="AJ93" s="36">
        <f t="shared" si="40"/>
        <v>-3</v>
      </c>
      <c r="AK93" s="36">
        <f t="shared" si="40"/>
        <v>-3</v>
      </c>
      <c r="AL93" s="36">
        <f t="shared" si="40"/>
        <v>-3</v>
      </c>
      <c r="AM93" s="36">
        <f t="shared" si="40"/>
        <v>-3</v>
      </c>
      <c r="AN93" s="36">
        <f t="shared" si="40"/>
        <v>-7</v>
      </c>
      <c r="AO93" s="36">
        <f t="shared" si="40"/>
        <v>-7</v>
      </c>
      <c r="AP93" s="36">
        <f t="shared" si="40"/>
        <v>-4</v>
      </c>
      <c r="AQ93" s="36">
        <f t="shared" si="40"/>
        <v>-4</v>
      </c>
      <c r="AR93" s="36">
        <f t="shared" si="40"/>
        <v>-4</v>
      </c>
      <c r="AS93" s="36">
        <f t="shared" si="40"/>
        <v>-4</v>
      </c>
      <c r="AT93" s="36">
        <f t="shared" si="40"/>
        <v>-4</v>
      </c>
      <c r="AU93" s="36">
        <f t="shared" si="40"/>
        <v>-7</v>
      </c>
      <c r="AV93" s="36">
        <f t="shared" si="40"/>
        <v>-7</v>
      </c>
      <c r="AW93" s="36">
        <f t="shared" si="40"/>
        <v>-7</v>
      </c>
      <c r="AX93" s="36">
        <f t="shared" si="40"/>
        <v>-4</v>
      </c>
      <c r="AY93" s="36">
        <f t="shared" si="40"/>
        <v>-4</v>
      </c>
      <c r="AZ93" s="36">
        <f t="shared" si="40"/>
        <v>-4</v>
      </c>
      <c r="BA93" s="36">
        <f t="shared" si="40"/>
        <v>-4</v>
      </c>
      <c r="BB93" s="36">
        <f t="shared" si="40"/>
        <v>-7</v>
      </c>
      <c r="BC93" s="36">
        <f t="shared" si="40"/>
        <v>-7</v>
      </c>
      <c r="BD93" s="36">
        <f t="shared" si="40"/>
        <v>-4</v>
      </c>
      <c r="BE93" s="36">
        <f t="shared" si="40"/>
        <v>-4</v>
      </c>
      <c r="BF93" s="10">
        <f t="shared" si="40"/>
        <v>-196</v>
      </c>
    </row>
    <row r="94" spans="2:58" ht="22" customHeight="1">
      <c r="B94" s="104">
        <v>21</v>
      </c>
      <c r="C94" s="118" t="s">
        <v>78</v>
      </c>
      <c r="D94" s="105" t="s">
        <v>79</v>
      </c>
      <c r="E94" s="115"/>
      <c r="F94" s="119"/>
      <c r="G94" s="114">
        <f>SUM(Y94:AZ94)</f>
        <v>113</v>
      </c>
      <c r="H94" s="114">
        <f>SUM(Y95:AZ95)</f>
        <v>0</v>
      </c>
      <c r="I94" s="100"/>
      <c r="J94" s="116">
        <f>IFERROR(H94/G94,0)</f>
        <v>0</v>
      </c>
      <c r="K94" s="113">
        <v>0.3923076923076923</v>
      </c>
      <c r="L94" s="113">
        <v>0.3923076923076923</v>
      </c>
      <c r="M94" s="100"/>
      <c r="N94" s="100"/>
      <c r="O94" s="100"/>
      <c r="P94" s="100"/>
      <c r="Q94" s="100"/>
      <c r="R94" s="100"/>
      <c r="S94" s="115" t="s">
        <v>37</v>
      </c>
      <c r="T94" s="9"/>
      <c r="U94" s="9"/>
      <c r="V94" s="9"/>
      <c r="W94" s="9"/>
      <c r="X94" s="7" t="s">
        <v>31</v>
      </c>
      <c r="Y94" s="29">
        <v>7</v>
      </c>
      <c r="Z94" s="29">
        <v>8</v>
      </c>
      <c r="AA94" s="29">
        <v>9</v>
      </c>
      <c r="AB94" s="29">
        <v>7</v>
      </c>
      <c r="AC94" s="29">
        <v>7</v>
      </c>
      <c r="AD94" s="29">
        <v>7</v>
      </c>
      <c r="AE94" s="29">
        <v>7</v>
      </c>
      <c r="AF94" s="29">
        <v>6</v>
      </c>
      <c r="AG94" s="29">
        <v>7</v>
      </c>
      <c r="AH94" s="29">
        <v>3</v>
      </c>
      <c r="AI94" s="29">
        <v>2</v>
      </c>
      <c r="AJ94" s="29">
        <v>2</v>
      </c>
      <c r="AK94" s="29">
        <v>2</v>
      </c>
      <c r="AL94" s="29">
        <v>2</v>
      </c>
      <c r="AM94" s="29">
        <v>2</v>
      </c>
      <c r="AN94" s="29">
        <v>2</v>
      </c>
      <c r="AO94" s="29">
        <v>3</v>
      </c>
      <c r="AP94" s="29">
        <v>2</v>
      </c>
      <c r="AQ94" s="29">
        <v>3</v>
      </c>
      <c r="AR94" s="29">
        <v>3</v>
      </c>
      <c r="AS94" s="29">
        <v>3</v>
      </c>
      <c r="AT94" s="29">
        <v>3</v>
      </c>
      <c r="AU94" s="29">
        <v>1</v>
      </c>
      <c r="AV94" s="29">
        <v>2</v>
      </c>
      <c r="AW94" s="29">
        <v>1</v>
      </c>
      <c r="AX94" s="29">
        <v>4</v>
      </c>
      <c r="AY94" s="29">
        <v>4</v>
      </c>
      <c r="AZ94" s="29">
        <v>4</v>
      </c>
      <c r="BA94" s="29">
        <v>4</v>
      </c>
      <c r="BB94" s="29">
        <v>3</v>
      </c>
      <c r="BC94" s="29">
        <v>5</v>
      </c>
      <c r="BD94" s="29">
        <v>4</v>
      </c>
      <c r="BE94" s="29">
        <v>4</v>
      </c>
      <c r="BF94" s="10">
        <f>SUM(Y94:BE94)</f>
        <v>133</v>
      </c>
    </row>
    <row r="95" spans="2:58" ht="22" customHeight="1">
      <c r="B95" s="101"/>
      <c r="C95" s="101"/>
      <c r="D95" s="101"/>
      <c r="E95" s="101"/>
      <c r="F95" s="101"/>
      <c r="G95" s="101"/>
      <c r="H95" s="101"/>
      <c r="I95" s="101"/>
      <c r="J95" s="101"/>
      <c r="K95" s="101"/>
      <c r="L95" s="101"/>
      <c r="M95" s="101"/>
      <c r="N95" s="101"/>
      <c r="O95" s="101"/>
      <c r="P95" s="101"/>
      <c r="Q95" s="101"/>
      <c r="R95" s="101"/>
      <c r="S95" s="101"/>
      <c r="T95" s="9"/>
      <c r="U95" s="9"/>
      <c r="V95" s="9"/>
      <c r="W95" s="9"/>
      <c r="X95" s="7" t="s">
        <v>10</v>
      </c>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0">
        <f>SUM(Y95:BE95)</f>
        <v>0</v>
      </c>
    </row>
    <row r="96" spans="2:58" ht="22" customHeight="1">
      <c r="B96" s="101"/>
      <c r="C96" s="101"/>
      <c r="D96" s="101"/>
      <c r="E96" s="101"/>
      <c r="F96" s="101"/>
      <c r="G96" s="101"/>
      <c r="H96" s="101"/>
      <c r="I96" s="101"/>
      <c r="J96" s="101"/>
      <c r="K96" s="101"/>
      <c r="L96" s="101"/>
      <c r="M96" s="101"/>
      <c r="N96" s="101"/>
      <c r="O96" s="101"/>
      <c r="P96" s="101"/>
      <c r="Q96" s="101"/>
      <c r="R96" s="101"/>
      <c r="S96" s="101"/>
      <c r="T96" s="9"/>
      <c r="U96" s="9"/>
      <c r="V96" s="9"/>
      <c r="W96" s="9"/>
      <c r="X96" s="30" t="s">
        <v>38</v>
      </c>
      <c r="Y96" s="31">
        <v>8200</v>
      </c>
      <c r="Z96" s="31">
        <v>8200</v>
      </c>
      <c r="AA96" s="31">
        <v>8200</v>
      </c>
      <c r="AB96" s="31">
        <v>8200</v>
      </c>
      <c r="AC96" s="31">
        <v>8200</v>
      </c>
      <c r="AD96" s="31">
        <v>8200</v>
      </c>
      <c r="AE96" s="31">
        <v>8200</v>
      </c>
      <c r="AF96" s="31">
        <v>8200</v>
      </c>
      <c r="AG96" s="31">
        <v>8200</v>
      </c>
      <c r="AH96" s="31">
        <v>8200</v>
      </c>
      <c r="AI96" s="31">
        <v>8200</v>
      </c>
      <c r="AJ96" s="31">
        <v>8200</v>
      </c>
      <c r="AK96" s="31">
        <v>8200</v>
      </c>
      <c r="AL96" s="31">
        <v>8200</v>
      </c>
      <c r="AM96" s="31">
        <v>8200</v>
      </c>
      <c r="AN96" s="31">
        <v>8200</v>
      </c>
      <c r="AO96" s="31">
        <v>8200</v>
      </c>
      <c r="AP96" s="31">
        <v>8200</v>
      </c>
      <c r="AQ96" s="31">
        <v>8200</v>
      </c>
      <c r="AR96" s="31">
        <v>8200</v>
      </c>
      <c r="AS96" s="31">
        <v>8200</v>
      </c>
      <c r="AT96" s="31">
        <v>8200</v>
      </c>
      <c r="AU96" s="31">
        <v>8200</v>
      </c>
      <c r="AV96" s="31">
        <v>8200</v>
      </c>
      <c r="AW96" s="31">
        <v>8200</v>
      </c>
      <c r="AX96" s="31">
        <v>8200</v>
      </c>
      <c r="AY96" s="31">
        <v>8200</v>
      </c>
      <c r="AZ96" s="31">
        <v>8200</v>
      </c>
      <c r="BA96" s="31">
        <v>8200</v>
      </c>
      <c r="BB96" s="31">
        <v>8200</v>
      </c>
      <c r="BC96" s="31">
        <v>8200</v>
      </c>
      <c r="BD96" s="31">
        <v>8200</v>
      </c>
      <c r="BE96" s="31">
        <v>8200</v>
      </c>
      <c r="BF96" s="12">
        <f>SUM(Y96:BE96)</f>
        <v>270600</v>
      </c>
    </row>
    <row r="97" spans="2:58" ht="22" customHeight="1">
      <c r="B97" s="102"/>
      <c r="C97" s="102"/>
      <c r="D97" s="102"/>
      <c r="E97" s="102"/>
      <c r="F97" s="102"/>
      <c r="G97" s="102"/>
      <c r="H97" s="102"/>
      <c r="I97" s="102"/>
      <c r="J97" s="102"/>
      <c r="K97" s="102"/>
      <c r="L97" s="102"/>
      <c r="M97" s="102"/>
      <c r="N97" s="102"/>
      <c r="O97" s="102"/>
      <c r="P97" s="102"/>
      <c r="Q97" s="102"/>
      <c r="R97" s="102"/>
      <c r="S97" s="102"/>
      <c r="T97" s="9"/>
      <c r="U97" s="9"/>
      <c r="V97" s="9"/>
      <c r="W97" s="9"/>
      <c r="X97" s="7" t="s">
        <v>11</v>
      </c>
      <c r="Y97" s="3">
        <f t="shared" ref="Y97:BF97" si="41">Y95-Y94</f>
        <v>-7</v>
      </c>
      <c r="Z97" s="3">
        <f t="shared" si="41"/>
        <v>-8</v>
      </c>
      <c r="AA97" s="3">
        <f t="shared" si="41"/>
        <v>-9</v>
      </c>
      <c r="AB97" s="3">
        <f t="shared" si="41"/>
        <v>-7</v>
      </c>
      <c r="AC97" s="3">
        <f t="shared" si="41"/>
        <v>-7</v>
      </c>
      <c r="AD97" s="3">
        <f t="shared" si="41"/>
        <v>-7</v>
      </c>
      <c r="AE97" s="3">
        <f t="shared" si="41"/>
        <v>-7</v>
      </c>
      <c r="AF97" s="3">
        <f t="shared" si="41"/>
        <v>-6</v>
      </c>
      <c r="AG97" s="3">
        <f t="shared" si="41"/>
        <v>-7</v>
      </c>
      <c r="AH97" s="3">
        <f t="shared" si="41"/>
        <v>-3</v>
      </c>
      <c r="AI97" s="3">
        <f t="shared" si="41"/>
        <v>-2</v>
      </c>
      <c r="AJ97" s="3">
        <f t="shared" si="41"/>
        <v>-2</v>
      </c>
      <c r="AK97" s="3">
        <f t="shared" si="41"/>
        <v>-2</v>
      </c>
      <c r="AL97" s="3">
        <f t="shared" si="41"/>
        <v>-2</v>
      </c>
      <c r="AM97" s="3">
        <f t="shared" si="41"/>
        <v>-2</v>
      </c>
      <c r="AN97" s="3">
        <f t="shared" si="41"/>
        <v>-2</v>
      </c>
      <c r="AO97" s="3">
        <f t="shared" si="41"/>
        <v>-3</v>
      </c>
      <c r="AP97" s="3">
        <f t="shared" si="41"/>
        <v>-2</v>
      </c>
      <c r="AQ97" s="3">
        <f t="shared" si="41"/>
        <v>-3</v>
      </c>
      <c r="AR97" s="3">
        <f t="shared" si="41"/>
        <v>-3</v>
      </c>
      <c r="AS97" s="3">
        <f t="shared" si="41"/>
        <v>-3</v>
      </c>
      <c r="AT97" s="3">
        <f t="shared" si="41"/>
        <v>-3</v>
      </c>
      <c r="AU97" s="3">
        <f t="shared" si="41"/>
        <v>-1</v>
      </c>
      <c r="AV97" s="3">
        <f t="shared" si="41"/>
        <v>-2</v>
      </c>
      <c r="AW97" s="3">
        <f t="shared" si="41"/>
        <v>-1</v>
      </c>
      <c r="AX97" s="3">
        <f t="shared" si="41"/>
        <v>-4</v>
      </c>
      <c r="AY97" s="3">
        <f t="shared" si="41"/>
        <v>-4</v>
      </c>
      <c r="AZ97" s="3">
        <f t="shared" si="41"/>
        <v>-4</v>
      </c>
      <c r="BA97" s="3">
        <f t="shared" si="41"/>
        <v>-4</v>
      </c>
      <c r="BB97" s="3">
        <f t="shared" si="41"/>
        <v>-3</v>
      </c>
      <c r="BC97" s="3">
        <f t="shared" si="41"/>
        <v>-5</v>
      </c>
      <c r="BD97" s="3">
        <f t="shared" si="41"/>
        <v>-4</v>
      </c>
      <c r="BE97" s="3">
        <f t="shared" si="41"/>
        <v>-4</v>
      </c>
      <c r="BF97" s="10">
        <f t="shared" si="41"/>
        <v>-133</v>
      </c>
    </row>
    <row r="98" spans="2:58" ht="22" customHeight="1">
      <c r="B98" s="107">
        <v>22</v>
      </c>
      <c r="C98" s="117" t="s">
        <v>80</v>
      </c>
      <c r="D98" s="108" t="s">
        <v>81</v>
      </c>
      <c r="E98" s="103"/>
      <c r="F98" s="109"/>
      <c r="G98" s="106">
        <f>SUM(Y98:AZ98)</f>
        <v>90</v>
      </c>
      <c r="H98" s="106">
        <f>SUM(Y99:AZ99)</f>
        <v>0</v>
      </c>
      <c r="I98" s="111"/>
      <c r="J98" s="112">
        <f>IFERROR(H98/G98,0)</f>
        <v>0</v>
      </c>
      <c r="K98" s="110">
        <v>0.19626168224299059</v>
      </c>
      <c r="L98" s="110">
        <v>0.19626168224299059</v>
      </c>
      <c r="M98" s="111"/>
      <c r="N98" s="111"/>
      <c r="O98" s="111"/>
      <c r="P98" s="111"/>
      <c r="Q98" s="111"/>
      <c r="R98" s="111"/>
      <c r="S98" s="103" t="s">
        <v>47</v>
      </c>
      <c r="T98" s="39"/>
      <c r="U98" s="39"/>
      <c r="V98" s="39"/>
      <c r="W98" s="39"/>
      <c r="X98" s="33" t="s">
        <v>31</v>
      </c>
      <c r="Y98" s="40">
        <v>5</v>
      </c>
      <c r="Z98" s="40">
        <v>4</v>
      </c>
      <c r="AA98" s="40">
        <v>5</v>
      </c>
      <c r="AB98" s="40">
        <v>5</v>
      </c>
      <c r="AC98" s="40">
        <v>5</v>
      </c>
      <c r="AD98" s="40">
        <v>5</v>
      </c>
      <c r="AE98" s="40">
        <v>5</v>
      </c>
      <c r="AF98" s="40">
        <v>5</v>
      </c>
      <c r="AG98" s="40">
        <v>4</v>
      </c>
      <c r="AH98" s="40">
        <v>4</v>
      </c>
      <c r="AI98" s="40">
        <v>4</v>
      </c>
      <c r="AJ98" s="40">
        <v>2</v>
      </c>
      <c r="AK98" s="40">
        <v>2</v>
      </c>
      <c r="AL98" s="40">
        <v>2</v>
      </c>
      <c r="AM98" s="40">
        <v>2</v>
      </c>
      <c r="AN98" s="40">
        <v>3</v>
      </c>
      <c r="AO98" s="40">
        <v>3</v>
      </c>
      <c r="AP98" s="40">
        <v>2</v>
      </c>
      <c r="AQ98" s="40">
        <v>2</v>
      </c>
      <c r="AR98" s="40">
        <v>2</v>
      </c>
      <c r="AS98" s="40">
        <v>2</v>
      </c>
      <c r="AT98" s="40">
        <v>2</v>
      </c>
      <c r="AU98" s="40">
        <v>3</v>
      </c>
      <c r="AV98" s="40">
        <v>3</v>
      </c>
      <c r="AW98" s="40">
        <v>3</v>
      </c>
      <c r="AX98" s="40">
        <v>2</v>
      </c>
      <c r="AY98" s="40">
        <v>2</v>
      </c>
      <c r="AZ98" s="40">
        <v>2</v>
      </c>
      <c r="BA98" s="40">
        <v>2</v>
      </c>
      <c r="BB98" s="40">
        <v>3</v>
      </c>
      <c r="BC98" s="40">
        <v>4</v>
      </c>
      <c r="BD98" s="40">
        <v>2</v>
      </c>
      <c r="BE98" s="40">
        <v>2</v>
      </c>
      <c r="BF98" s="10">
        <f>SUM(Y98:BE98)</f>
        <v>103</v>
      </c>
    </row>
    <row r="99" spans="2:58" ht="22" customHeight="1">
      <c r="B99" s="101"/>
      <c r="C99" s="101"/>
      <c r="D99" s="101"/>
      <c r="E99" s="101"/>
      <c r="F99" s="101"/>
      <c r="G99" s="101"/>
      <c r="H99" s="101"/>
      <c r="I99" s="101"/>
      <c r="J99" s="101"/>
      <c r="K99" s="101"/>
      <c r="L99" s="101"/>
      <c r="M99" s="101"/>
      <c r="N99" s="101"/>
      <c r="O99" s="101"/>
      <c r="P99" s="101"/>
      <c r="Q99" s="101"/>
      <c r="R99" s="101"/>
      <c r="S99" s="101"/>
      <c r="T99" s="39"/>
      <c r="U99" s="39"/>
      <c r="V99" s="39"/>
      <c r="W99" s="39"/>
      <c r="X99" s="33" t="s">
        <v>10</v>
      </c>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1"/>
      <c r="AZ99" s="41"/>
      <c r="BA99" s="41"/>
      <c r="BB99" s="41"/>
      <c r="BC99" s="41"/>
      <c r="BD99" s="41"/>
      <c r="BE99" s="41"/>
      <c r="BF99" s="10">
        <f>SUM(Y99:BE99)</f>
        <v>0</v>
      </c>
    </row>
    <row r="100" spans="2:58" ht="22" customHeight="1">
      <c r="B100" s="102"/>
      <c r="C100" s="102"/>
      <c r="D100" s="102"/>
      <c r="E100" s="102"/>
      <c r="F100" s="102"/>
      <c r="G100" s="102"/>
      <c r="H100" s="102"/>
      <c r="I100" s="102"/>
      <c r="J100" s="102"/>
      <c r="K100" s="102"/>
      <c r="L100" s="102"/>
      <c r="M100" s="102"/>
      <c r="N100" s="102"/>
      <c r="O100" s="102"/>
      <c r="P100" s="102"/>
      <c r="Q100" s="102"/>
      <c r="R100" s="102"/>
      <c r="S100" s="102"/>
      <c r="T100" s="39"/>
      <c r="U100" s="39"/>
      <c r="V100" s="39"/>
      <c r="W100" s="39"/>
      <c r="X100" s="33" t="s">
        <v>11</v>
      </c>
      <c r="Y100" s="36">
        <f t="shared" ref="Y100:BF100" si="42">Y99-Y98</f>
        <v>-5</v>
      </c>
      <c r="Z100" s="36">
        <f t="shared" si="42"/>
        <v>-4</v>
      </c>
      <c r="AA100" s="36">
        <f t="shared" si="42"/>
        <v>-5</v>
      </c>
      <c r="AB100" s="36">
        <f t="shared" si="42"/>
        <v>-5</v>
      </c>
      <c r="AC100" s="36">
        <f t="shared" si="42"/>
        <v>-5</v>
      </c>
      <c r="AD100" s="36">
        <f t="shared" si="42"/>
        <v>-5</v>
      </c>
      <c r="AE100" s="36">
        <f t="shared" si="42"/>
        <v>-5</v>
      </c>
      <c r="AF100" s="36">
        <f t="shared" si="42"/>
        <v>-5</v>
      </c>
      <c r="AG100" s="36">
        <f t="shared" si="42"/>
        <v>-4</v>
      </c>
      <c r="AH100" s="36">
        <f t="shared" si="42"/>
        <v>-4</v>
      </c>
      <c r="AI100" s="36">
        <f t="shared" si="42"/>
        <v>-4</v>
      </c>
      <c r="AJ100" s="36">
        <f t="shared" si="42"/>
        <v>-2</v>
      </c>
      <c r="AK100" s="36">
        <f t="shared" si="42"/>
        <v>-2</v>
      </c>
      <c r="AL100" s="36">
        <f t="shared" si="42"/>
        <v>-2</v>
      </c>
      <c r="AM100" s="36">
        <f t="shared" si="42"/>
        <v>-2</v>
      </c>
      <c r="AN100" s="36">
        <f t="shared" si="42"/>
        <v>-3</v>
      </c>
      <c r="AO100" s="36">
        <f t="shared" si="42"/>
        <v>-3</v>
      </c>
      <c r="AP100" s="36">
        <f t="shared" si="42"/>
        <v>-2</v>
      </c>
      <c r="AQ100" s="36">
        <f t="shared" si="42"/>
        <v>-2</v>
      </c>
      <c r="AR100" s="36">
        <f t="shared" si="42"/>
        <v>-2</v>
      </c>
      <c r="AS100" s="36">
        <f t="shared" si="42"/>
        <v>-2</v>
      </c>
      <c r="AT100" s="36">
        <f t="shared" si="42"/>
        <v>-2</v>
      </c>
      <c r="AU100" s="36">
        <f t="shared" si="42"/>
        <v>-3</v>
      </c>
      <c r="AV100" s="36">
        <f t="shared" si="42"/>
        <v>-3</v>
      </c>
      <c r="AW100" s="36">
        <f t="shared" si="42"/>
        <v>-3</v>
      </c>
      <c r="AX100" s="36">
        <f t="shared" si="42"/>
        <v>-2</v>
      </c>
      <c r="AY100" s="36">
        <f t="shared" si="42"/>
        <v>-2</v>
      </c>
      <c r="AZ100" s="36">
        <f t="shared" si="42"/>
        <v>-2</v>
      </c>
      <c r="BA100" s="36">
        <f t="shared" si="42"/>
        <v>-2</v>
      </c>
      <c r="BB100" s="36">
        <f t="shared" si="42"/>
        <v>-3</v>
      </c>
      <c r="BC100" s="36">
        <f t="shared" si="42"/>
        <v>-4</v>
      </c>
      <c r="BD100" s="36">
        <f t="shared" si="42"/>
        <v>-2</v>
      </c>
      <c r="BE100" s="36">
        <f t="shared" si="42"/>
        <v>-2</v>
      </c>
      <c r="BF100" s="10">
        <f t="shared" si="42"/>
        <v>-103</v>
      </c>
    </row>
    <row r="101" spans="2:58" ht="22" customHeight="1">
      <c r="B101" s="104">
        <v>23</v>
      </c>
      <c r="C101" s="118" t="s">
        <v>82</v>
      </c>
      <c r="D101" s="105" t="s">
        <v>83</v>
      </c>
      <c r="E101" s="115"/>
      <c r="F101" s="119"/>
      <c r="G101" s="114">
        <f>SUM(Y101:AZ101)</f>
        <v>156</v>
      </c>
      <c r="H101" s="114">
        <f>SUM(Y102:AZ102)</f>
        <v>0</v>
      </c>
      <c r="I101" s="100"/>
      <c r="J101" s="116">
        <f>IFERROR(H101/G101,0)</f>
        <v>0</v>
      </c>
      <c r="K101" s="113">
        <v>0.40136054421768708</v>
      </c>
      <c r="L101" s="113">
        <v>0.40136054421768708</v>
      </c>
      <c r="M101" s="100"/>
      <c r="N101" s="100"/>
      <c r="O101" s="100"/>
      <c r="P101" s="100"/>
      <c r="Q101" s="100"/>
      <c r="R101" s="100"/>
      <c r="S101" s="115" t="s">
        <v>37</v>
      </c>
      <c r="T101" s="9"/>
      <c r="U101" s="9"/>
      <c r="V101" s="9"/>
      <c r="W101" s="9"/>
      <c r="X101" s="7" t="s">
        <v>31</v>
      </c>
      <c r="Y101" s="29">
        <v>6</v>
      </c>
      <c r="Z101" s="29">
        <v>8</v>
      </c>
      <c r="AA101" s="29">
        <v>8</v>
      </c>
      <c r="AB101" s="29">
        <v>7</v>
      </c>
      <c r="AC101" s="29">
        <v>7</v>
      </c>
      <c r="AD101" s="29">
        <v>8</v>
      </c>
      <c r="AE101" s="29">
        <v>8</v>
      </c>
      <c r="AF101" s="29">
        <v>6</v>
      </c>
      <c r="AG101" s="29">
        <v>8</v>
      </c>
      <c r="AH101" s="29">
        <v>8</v>
      </c>
      <c r="AI101" s="29">
        <v>6</v>
      </c>
      <c r="AJ101" s="29">
        <v>4</v>
      </c>
      <c r="AK101" s="29">
        <v>4</v>
      </c>
      <c r="AL101" s="29">
        <v>4</v>
      </c>
      <c r="AM101" s="29">
        <v>4</v>
      </c>
      <c r="AN101" s="29">
        <v>5</v>
      </c>
      <c r="AO101" s="29">
        <v>6</v>
      </c>
      <c r="AP101" s="29">
        <v>4</v>
      </c>
      <c r="AQ101" s="29">
        <v>4</v>
      </c>
      <c r="AR101" s="29">
        <v>4</v>
      </c>
      <c r="AS101" s="29">
        <v>4</v>
      </c>
      <c r="AT101" s="29">
        <v>4</v>
      </c>
      <c r="AU101" s="29">
        <v>5</v>
      </c>
      <c r="AV101" s="29">
        <v>6</v>
      </c>
      <c r="AW101" s="29">
        <v>6</v>
      </c>
      <c r="AX101" s="29">
        <v>4</v>
      </c>
      <c r="AY101" s="29">
        <v>4</v>
      </c>
      <c r="AZ101" s="29">
        <v>4</v>
      </c>
      <c r="BA101" s="29">
        <v>4</v>
      </c>
      <c r="BB101" s="29">
        <v>5</v>
      </c>
      <c r="BC101" s="29">
        <v>6</v>
      </c>
      <c r="BD101" s="29">
        <v>4</v>
      </c>
      <c r="BE101" s="29">
        <v>4</v>
      </c>
      <c r="BF101" s="10">
        <f>SUM(Y101:BE101)</f>
        <v>179</v>
      </c>
    </row>
    <row r="102" spans="2:58" ht="22" customHeight="1">
      <c r="B102" s="101"/>
      <c r="C102" s="101"/>
      <c r="D102" s="101"/>
      <c r="E102" s="101"/>
      <c r="F102" s="101"/>
      <c r="G102" s="101"/>
      <c r="H102" s="101"/>
      <c r="I102" s="101"/>
      <c r="J102" s="101"/>
      <c r="K102" s="101"/>
      <c r="L102" s="101"/>
      <c r="M102" s="101"/>
      <c r="N102" s="101"/>
      <c r="O102" s="101"/>
      <c r="P102" s="101"/>
      <c r="Q102" s="101"/>
      <c r="R102" s="101"/>
      <c r="S102" s="101"/>
      <c r="T102" s="9"/>
      <c r="U102" s="9"/>
      <c r="V102" s="9"/>
      <c r="W102" s="9"/>
      <c r="X102" s="7" t="s">
        <v>10</v>
      </c>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0">
        <f>SUM(Y102:BE102)</f>
        <v>0</v>
      </c>
    </row>
    <row r="103" spans="2:58" ht="22" customHeight="1">
      <c r="B103" s="101"/>
      <c r="C103" s="101"/>
      <c r="D103" s="101"/>
      <c r="E103" s="101"/>
      <c r="F103" s="101"/>
      <c r="G103" s="101"/>
      <c r="H103" s="101"/>
      <c r="I103" s="101"/>
      <c r="J103" s="101"/>
      <c r="K103" s="101"/>
      <c r="L103" s="101"/>
      <c r="M103" s="101"/>
      <c r="N103" s="101"/>
      <c r="O103" s="101"/>
      <c r="P103" s="101"/>
      <c r="Q103" s="101"/>
      <c r="R103" s="101"/>
      <c r="S103" s="101"/>
      <c r="T103" s="9"/>
      <c r="U103" s="9"/>
      <c r="V103" s="9"/>
      <c r="W103" s="9"/>
      <c r="X103" s="30" t="s">
        <v>38</v>
      </c>
      <c r="Y103" s="31">
        <v>12000</v>
      </c>
      <c r="Z103" s="31">
        <v>12000</v>
      </c>
      <c r="AA103" s="31">
        <v>12000</v>
      </c>
      <c r="AB103" s="31">
        <v>12000</v>
      </c>
      <c r="AC103" s="31">
        <v>12000</v>
      </c>
      <c r="AD103" s="31">
        <v>12000</v>
      </c>
      <c r="AE103" s="31">
        <v>12000</v>
      </c>
      <c r="AF103" s="31">
        <v>12000</v>
      </c>
      <c r="AG103" s="31">
        <v>12000</v>
      </c>
      <c r="AH103" s="31">
        <v>12000</v>
      </c>
      <c r="AI103" s="31">
        <v>12000</v>
      </c>
      <c r="AJ103" s="31">
        <v>11000</v>
      </c>
      <c r="AK103" s="31">
        <v>11000</v>
      </c>
      <c r="AL103" s="31">
        <v>11000</v>
      </c>
      <c r="AM103" s="31">
        <v>11000</v>
      </c>
      <c r="AN103" s="31">
        <v>11000</v>
      </c>
      <c r="AO103" s="31">
        <v>11000</v>
      </c>
      <c r="AP103" s="31">
        <v>11000</v>
      </c>
      <c r="AQ103" s="31">
        <v>11000</v>
      </c>
      <c r="AR103" s="31">
        <v>11000</v>
      </c>
      <c r="AS103" s="31">
        <v>11000</v>
      </c>
      <c r="AT103" s="31">
        <v>11000</v>
      </c>
      <c r="AU103" s="31">
        <v>11000</v>
      </c>
      <c r="AV103" s="31">
        <v>11000</v>
      </c>
      <c r="AW103" s="31">
        <v>11000</v>
      </c>
      <c r="AX103" s="31">
        <v>11000</v>
      </c>
      <c r="AY103" s="31">
        <v>11000</v>
      </c>
      <c r="AZ103" s="31">
        <v>11000</v>
      </c>
      <c r="BA103" s="31">
        <v>11000</v>
      </c>
      <c r="BB103" s="31">
        <v>11000</v>
      </c>
      <c r="BC103" s="31">
        <v>11000</v>
      </c>
      <c r="BD103" s="31">
        <v>11000</v>
      </c>
      <c r="BE103" s="31">
        <v>11000</v>
      </c>
      <c r="BF103" s="12">
        <f>SUM(Y103:BE103)</f>
        <v>374000</v>
      </c>
    </row>
    <row r="104" spans="2:58" ht="22" customHeight="1">
      <c r="B104" s="102"/>
      <c r="C104" s="102"/>
      <c r="D104" s="102"/>
      <c r="E104" s="102"/>
      <c r="F104" s="102"/>
      <c r="G104" s="102"/>
      <c r="H104" s="102"/>
      <c r="I104" s="102"/>
      <c r="J104" s="102"/>
      <c r="K104" s="102"/>
      <c r="L104" s="102"/>
      <c r="M104" s="102"/>
      <c r="N104" s="102"/>
      <c r="O104" s="102"/>
      <c r="P104" s="102"/>
      <c r="Q104" s="102"/>
      <c r="R104" s="102"/>
      <c r="S104" s="102"/>
      <c r="T104" s="9"/>
      <c r="U104" s="9"/>
      <c r="V104" s="9"/>
      <c r="W104" s="9"/>
      <c r="X104" s="7" t="s">
        <v>11</v>
      </c>
      <c r="Y104" s="3">
        <f t="shared" ref="Y104:BF104" si="43">Y102-Y101</f>
        <v>-6</v>
      </c>
      <c r="Z104" s="3">
        <f t="shared" si="43"/>
        <v>-8</v>
      </c>
      <c r="AA104" s="3">
        <f t="shared" si="43"/>
        <v>-8</v>
      </c>
      <c r="AB104" s="3">
        <f t="shared" si="43"/>
        <v>-7</v>
      </c>
      <c r="AC104" s="3">
        <f t="shared" si="43"/>
        <v>-7</v>
      </c>
      <c r="AD104" s="3">
        <f t="shared" si="43"/>
        <v>-8</v>
      </c>
      <c r="AE104" s="3">
        <f t="shared" si="43"/>
        <v>-8</v>
      </c>
      <c r="AF104" s="3">
        <f t="shared" si="43"/>
        <v>-6</v>
      </c>
      <c r="AG104" s="3">
        <f t="shared" si="43"/>
        <v>-8</v>
      </c>
      <c r="AH104" s="3">
        <f t="shared" si="43"/>
        <v>-8</v>
      </c>
      <c r="AI104" s="3">
        <f t="shared" si="43"/>
        <v>-6</v>
      </c>
      <c r="AJ104" s="3">
        <f t="shared" si="43"/>
        <v>-4</v>
      </c>
      <c r="AK104" s="3">
        <f t="shared" si="43"/>
        <v>-4</v>
      </c>
      <c r="AL104" s="3">
        <f t="shared" si="43"/>
        <v>-4</v>
      </c>
      <c r="AM104" s="3">
        <f t="shared" si="43"/>
        <v>-4</v>
      </c>
      <c r="AN104" s="3">
        <f t="shared" si="43"/>
        <v>-5</v>
      </c>
      <c r="AO104" s="3">
        <f t="shared" si="43"/>
        <v>-6</v>
      </c>
      <c r="AP104" s="3">
        <f t="shared" si="43"/>
        <v>-4</v>
      </c>
      <c r="AQ104" s="3">
        <f t="shared" si="43"/>
        <v>-4</v>
      </c>
      <c r="AR104" s="3">
        <f t="shared" si="43"/>
        <v>-4</v>
      </c>
      <c r="AS104" s="3">
        <f t="shared" si="43"/>
        <v>-4</v>
      </c>
      <c r="AT104" s="3">
        <f t="shared" si="43"/>
        <v>-4</v>
      </c>
      <c r="AU104" s="3">
        <f t="shared" si="43"/>
        <v>-5</v>
      </c>
      <c r="AV104" s="3">
        <f t="shared" si="43"/>
        <v>-6</v>
      </c>
      <c r="AW104" s="3">
        <f t="shared" si="43"/>
        <v>-6</v>
      </c>
      <c r="AX104" s="3">
        <f t="shared" si="43"/>
        <v>-4</v>
      </c>
      <c r="AY104" s="3">
        <f t="shared" si="43"/>
        <v>-4</v>
      </c>
      <c r="AZ104" s="3">
        <f t="shared" si="43"/>
        <v>-4</v>
      </c>
      <c r="BA104" s="3">
        <f t="shared" si="43"/>
        <v>-4</v>
      </c>
      <c r="BB104" s="3">
        <f t="shared" si="43"/>
        <v>-5</v>
      </c>
      <c r="BC104" s="3">
        <f t="shared" si="43"/>
        <v>-6</v>
      </c>
      <c r="BD104" s="3">
        <f t="shared" si="43"/>
        <v>-4</v>
      </c>
      <c r="BE104" s="3">
        <f t="shared" si="43"/>
        <v>-4</v>
      </c>
      <c r="BF104" s="10">
        <f t="shared" si="43"/>
        <v>-179</v>
      </c>
    </row>
    <row r="105" spans="2:58" ht="22" customHeight="1">
      <c r="B105" s="107">
        <v>24</v>
      </c>
      <c r="C105" s="117" t="s">
        <v>84</v>
      </c>
      <c r="D105" s="108" t="s">
        <v>85</v>
      </c>
      <c r="E105" s="103"/>
      <c r="F105" s="109"/>
      <c r="G105" s="106">
        <f>SUM(Y105:AZ105)</f>
        <v>50</v>
      </c>
      <c r="H105" s="106">
        <f>SUM(Y106:AZ106)</f>
        <v>0</v>
      </c>
      <c r="I105" s="111"/>
      <c r="J105" s="112">
        <f>IFERROR(H105/G105,0)</f>
        <v>0</v>
      </c>
      <c r="K105" s="110">
        <v>0.50909090909090904</v>
      </c>
      <c r="L105" s="110">
        <v>0.50909090909090904</v>
      </c>
      <c r="M105" s="111"/>
      <c r="N105" s="111"/>
      <c r="O105" s="111"/>
      <c r="P105" s="111"/>
      <c r="Q105" s="111"/>
      <c r="R105" s="111"/>
      <c r="S105" s="103" t="s">
        <v>37</v>
      </c>
      <c r="T105" s="39"/>
      <c r="U105" s="39"/>
      <c r="V105" s="39"/>
      <c r="W105" s="39"/>
      <c r="X105" s="33" t="s">
        <v>31</v>
      </c>
      <c r="Y105" s="40">
        <v>3</v>
      </c>
      <c r="Z105" s="40">
        <v>3</v>
      </c>
      <c r="AA105" s="40">
        <v>3</v>
      </c>
      <c r="AB105" s="40">
        <v>3</v>
      </c>
      <c r="AC105" s="40">
        <v>3</v>
      </c>
      <c r="AD105" s="40">
        <v>3</v>
      </c>
      <c r="AE105" s="40">
        <v>3</v>
      </c>
      <c r="AF105" s="40">
        <v>3</v>
      </c>
      <c r="AG105" s="40">
        <v>3</v>
      </c>
      <c r="AH105" s="40">
        <v>3</v>
      </c>
      <c r="AI105" s="40">
        <v>3</v>
      </c>
      <c r="AJ105" s="40">
        <v>1</v>
      </c>
      <c r="AK105" s="40">
        <v>1</v>
      </c>
      <c r="AL105" s="40">
        <v>1</v>
      </c>
      <c r="AM105" s="40">
        <v>1</v>
      </c>
      <c r="AN105" s="40">
        <v>1</v>
      </c>
      <c r="AO105" s="40">
        <v>1</v>
      </c>
      <c r="AP105" s="40">
        <v>1</v>
      </c>
      <c r="AQ105" s="40">
        <v>1</v>
      </c>
      <c r="AR105" s="40">
        <v>1</v>
      </c>
      <c r="AS105" s="40">
        <v>1</v>
      </c>
      <c r="AT105" s="40">
        <v>1</v>
      </c>
      <c r="AU105" s="40">
        <v>1</v>
      </c>
      <c r="AV105" s="40">
        <v>1</v>
      </c>
      <c r="AW105" s="40">
        <v>1</v>
      </c>
      <c r="AX105" s="40">
        <v>1</v>
      </c>
      <c r="AY105" s="40">
        <v>1</v>
      </c>
      <c r="AZ105" s="40">
        <v>1</v>
      </c>
      <c r="BA105" s="40">
        <v>1</v>
      </c>
      <c r="BB105" s="40">
        <v>1</v>
      </c>
      <c r="BC105" s="40">
        <v>1</v>
      </c>
      <c r="BD105" s="40">
        <v>1</v>
      </c>
      <c r="BE105" s="40">
        <v>1</v>
      </c>
      <c r="BF105" s="10">
        <f>SUM(Y105:BE105)</f>
        <v>55</v>
      </c>
    </row>
    <row r="106" spans="2:58" ht="22" customHeight="1">
      <c r="B106" s="101"/>
      <c r="C106" s="101"/>
      <c r="D106" s="101"/>
      <c r="E106" s="101"/>
      <c r="F106" s="101"/>
      <c r="G106" s="101"/>
      <c r="H106" s="101"/>
      <c r="I106" s="101"/>
      <c r="J106" s="101"/>
      <c r="K106" s="101"/>
      <c r="L106" s="101"/>
      <c r="M106" s="101"/>
      <c r="N106" s="101"/>
      <c r="O106" s="101"/>
      <c r="P106" s="101"/>
      <c r="Q106" s="101"/>
      <c r="R106" s="101"/>
      <c r="S106" s="101"/>
      <c r="T106" s="39"/>
      <c r="U106" s="39"/>
      <c r="V106" s="39"/>
      <c r="W106" s="39"/>
      <c r="X106" s="33" t="s">
        <v>10</v>
      </c>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41"/>
      <c r="BB106" s="41"/>
      <c r="BC106" s="41"/>
      <c r="BD106" s="41"/>
      <c r="BE106" s="41"/>
      <c r="BF106" s="10">
        <f>SUM(Y106:BE106)</f>
        <v>0</v>
      </c>
    </row>
    <row r="107" spans="2:58" ht="22" customHeight="1">
      <c r="B107" s="101"/>
      <c r="C107" s="101"/>
      <c r="D107" s="101"/>
      <c r="E107" s="101"/>
      <c r="F107" s="101"/>
      <c r="G107" s="101"/>
      <c r="H107" s="101"/>
      <c r="I107" s="101"/>
      <c r="J107" s="101"/>
      <c r="K107" s="101"/>
      <c r="L107" s="101"/>
      <c r="M107" s="101"/>
      <c r="N107" s="101"/>
      <c r="O107" s="101"/>
      <c r="P107" s="101"/>
      <c r="Q107" s="101"/>
      <c r="R107" s="101"/>
      <c r="S107" s="101"/>
      <c r="T107" s="39"/>
      <c r="U107" s="39"/>
      <c r="V107" s="39"/>
      <c r="W107" s="39"/>
      <c r="X107" s="42" t="s">
        <v>38</v>
      </c>
      <c r="Y107" s="43">
        <v>13000</v>
      </c>
      <c r="Z107" s="43">
        <v>13000</v>
      </c>
      <c r="AA107" s="43">
        <v>13000</v>
      </c>
      <c r="AB107" s="43">
        <v>13000</v>
      </c>
      <c r="AC107" s="43">
        <v>13000</v>
      </c>
      <c r="AD107" s="43">
        <v>13000</v>
      </c>
      <c r="AE107" s="43">
        <v>13000</v>
      </c>
      <c r="AF107" s="43">
        <v>13000</v>
      </c>
      <c r="AG107" s="43">
        <v>13000</v>
      </c>
      <c r="AH107" s="43">
        <v>13000</v>
      </c>
      <c r="AI107" s="43">
        <v>13000</v>
      </c>
      <c r="AJ107" s="43">
        <v>9000</v>
      </c>
      <c r="AK107" s="43">
        <v>9000</v>
      </c>
      <c r="AL107" s="43">
        <v>9000</v>
      </c>
      <c r="AM107" s="43">
        <v>9000</v>
      </c>
      <c r="AN107" s="43">
        <v>9000</v>
      </c>
      <c r="AO107" s="43">
        <v>9000</v>
      </c>
      <c r="AP107" s="43">
        <v>9000</v>
      </c>
      <c r="AQ107" s="43">
        <v>9000</v>
      </c>
      <c r="AR107" s="43">
        <v>9000</v>
      </c>
      <c r="AS107" s="43">
        <v>9000</v>
      </c>
      <c r="AT107" s="43">
        <v>9000</v>
      </c>
      <c r="AU107" s="43">
        <v>9000</v>
      </c>
      <c r="AV107" s="43">
        <v>9000</v>
      </c>
      <c r="AW107" s="43">
        <v>9000</v>
      </c>
      <c r="AX107" s="43">
        <v>9000</v>
      </c>
      <c r="AY107" s="43">
        <v>9000</v>
      </c>
      <c r="AZ107" s="43">
        <v>9000</v>
      </c>
      <c r="BA107" s="43">
        <v>9000</v>
      </c>
      <c r="BB107" s="43">
        <v>9000</v>
      </c>
      <c r="BC107" s="43">
        <v>9000</v>
      </c>
      <c r="BD107" s="43">
        <v>9000</v>
      </c>
      <c r="BE107" s="43">
        <v>9000</v>
      </c>
      <c r="BF107" s="12">
        <f>SUM(Y107:BE107)</f>
        <v>341000</v>
      </c>
    </row>
    <row r="108" spans="2:58" ht="22" customHeight="1">
      <c r="B108" s="102"/>
      <c r="C108" s="102"/>
      <c r="D108" s="102"/>
      <c r="E108" s="102"/>
      <c r="F108" s="102"/>
      <c r="G108" s="102"/>
      <c r="H108" s="102"/>
      <c r="I108" s="102"/>
      <c r="J108" s="102"/>
      <c r="K108" s="102"/>
      <c r="L108" s="102"/>
      <c r="M108" s="102"/>
      <c r="N108" s="102"/>
      <c r="O108" s="102"/>
      <c r="P108" s="102"/>
      <c r="Q108" s="102"/>
      <c r="R108" s="102"/>
      <c r="S108" s="102"/>
      <c r="T108" s="39"/>
      <c r="U108" s="39"/>
      <c r="V108" s="39"/>
      <c r="W108" s="39"/>
      <c r="X108" s="33" t="s">
        <v>11</v>
      </c>
      <c r="Y108" s="36">
        <f t="shared" ref="Y108:BF108" si="44">Y106-Y105</f>
        <v>-3</v>
      </c>
      <c r="Z108" s="36">
        <f t="shared" si="44"/>
        <v>-3</v>
      </c>
      <c r="AA108" s="36">
        <f t="shared" si="44"/>
        <v>-3</v>
      </c>
      <c r="AB108" s="36">
        <f t="shared" si="44"/>
        <v>-3</v>
      </c>
      <c r="AC108" s="36">
        <f t="shared" si="44"/>
        <v>-3</v>
      </c>
      <c r="AD108" s="36">
        <f t="shared" si="44"/>
        <v>-3</v>
      </c>
      <c r="AE108" s="36">
        <f t="shared" si="44"/>
        <v>-3</v>
      </c>
      <c r="AF108" s="36">
        <f t="shared" si="44"/>
        <v>-3</v>
      </c>
      <c r="AG108" s="36">
        <f t="shared" si="44"/>
        <v>-3</v>
      </c>
      <c r="AH108" s="36">
        <f t="shared" si="44"/>
        <v>-3</v>
      </c>
      <c r="AI108" s="36">
        <f t="shared" si="44"/>
        <v>-3</v>
      </c>
      <c r="AJ108" s="36">
        <f t="shared" si="44"/>
        <v>-1</v>
      </c>
      <c r="AK108" s="36">
        <f t="shared" si="44"/>
        <v>-1</v>
      </c>
      <c r="AL108" s="36">
        <f t="shared" si="44"/>
        <v>-1</v>
      </c>
      <c r="AM108" s="36">
        <f t="shared" si="44"/>
        <v>-1</v>
      </c>
      <c r="AN108" s="36">
        <f t="shared" si="44"/>
        <v>-1</v>
      </c>
      <c r="AO108" s="36">
        <f t="shared" si="44"/>
        <v>-1</v>
      </c>
      <c r="AP108" s="36">
        <f t="shared" si="44"/>
        <v>-1</v>
      </c>
      <c r="AQ108" s="36">
        <f t="shared" si="44"/>
        <v>-1</v>
      </c>
      <c r="AR108" s="36">
        <f t="shared" si="44"/>
        <v>-1</v>
      </c>
      <c r="AS108" s="36">
        <f t="shared" si="44"/>
        <v>-1</v>
      </c>
      <c r="AT108" s="36">
        <f t="shared" si="44"/>
        <v>-1</v>
      </c>
      <c r="AU108" s="36">
        <f t="shared" si="44"/>
        <v>-1</v>
      </c>
      <c r="AV108" s="36">
        <f t="shared" si="44"/>
        <v>-1</v>
      </c>
      <c r="AW108" s="36">
        <f t="shared" si="44"/>
        <v>-1</v>
      </c>
      <c r="AX108" s="36">
        <f t="shared" si="44"/>
        <v>-1</v>
      </c>
      <c r="AY108" s="36">
        <f t="shared" si="44"/>
        <v>-1</v>
      </c>
      <c r="AZ108" s="36">
        <f t="shared" si="44"/>
        <v>-1</v>
      </c>
      <c r="BA108" s="36">
        <f t="shared" si="44"/>
        <v>-1</v>
      </c>
      <c r="BB108" s="36">
        <f t="shared" si="44"/>
        <v>-1</v>
      </c>
      <c r="BC108" s="36">
        <f t="shared" si="44"/>
        <v>-1</v>
      </c>
      <c r="BD108" s="36">
        <f t="shared" si="44"/>
        <v>-1</v>
      </c>
      <c r="BE108" s="36">
        <f t="shared" si="44"/>
        <v>-1</v>
      </c>
      <c r="BF108" s="10">
        <f t="shared" si="44"/>
        <v>-55</v>
      </c>
    </row>
    <row r="109" spans="2:58" ht="22" customHeight="1">
      <c r="B109" s="104">
        <v>25</v>
      </c>
      <c r="C109" s="118" t="s">
        <v>86</v>
      </c>
      <c r="D109" s="105" t="s">
        <v>87</v>
      </c>
      <c r="E109" s="115"/>
      <c r="F109" s="119"/>
      <c r="G109" s="114">
        <f>SUM(Y109:AZ109)</f>
        <v>85</v>
      </c>
      <c r="H109" s="114">
        <f>SUM(Y110:AZ110)</f>
        <v>0</v>
      </c>
      <c r="I109" s="100"/>
      <c r="J109" s="116">
        <f>IFERROR(H109/G109,0)</f>
        <v>0</v>
      </c>
      <c r="K109" s="113">
        <v>0.2068965517241379</v>
      </c>
      <c r="L109" s="113">
        <v>0.2068965517241379</v>
      </c>
      <c r="M109" s="100"/>
      <c r="N109" s="100"/>
      <c r="O109" s="100"/>
      <c r="P109" s="100"/>
      <c r="Q109" s="100"/>
      <c r="R109" s="100"/>
      <c r="S109" s="115" t="s">
        <v>47</v>
      </c>
      <c r="T109" s="9"/>
      <c r="U109" s="9"/>
      <c r="V109" s="9"/>
      <c r="W109" s="9"/>
      <c r="X109" s="7" t="s">
        <v>31</v>
      </c>
      <c r="Y109" s="29">
        <v>5</v>
      </c>
      <c r="Z109" s="29">
        <v>5</v>
      </c>
      <c r="AA109" s="29">
        <v>5</v>
      </c>
      <c r="AB109" s="29">
        <v>5</v>
      </c>
      <c r="AC109" s="29">
        <v>5</v>
      </c>
      <c r="AD109" s="29">
        <v>5</v>
      </c>
      <c r="AE109" s="29">
        <v>5</v>
      </c>
      <c r="AF109" s="29">
        <v>5</v>
      </c>
      <c r="AG109" s="29">
        <v>5</v>
      </c>
      <c r="AH109" s="29">
        <v>5</v>
      </c>
      <c r="AI109" s="29">
        <v>5</v>
      </c>
      <c r="AJ109" s="29">
        <v>1</v>
      </c>
      <c r="AK109" s="29">
        <v>1</v>
      </c>
      <c r="AL109" s="29">
        <v>1</v>
      </c>
      <c r="AM109" s="29">
        <v>1</v>
      </c>
      <c r="AN109" s="29">
        <v>3</v>
      </c>
      <c r="AO109" s="29">
        <v>3</v>
      </c>
      <c r="AP109" s="29">
        <v>2</v>
      </c>
      <c r="AQ109" s="29">
        <v>2</v>
      </c>
      <c r="AR109" s="29">
        <v>2</v>
      </c>
      <c r="AS109" s="29">
        <v>2</v>
      </c>
      <c r="AT109" s="29">
        <v>1</v>
      </c>
      <c r="AU109" s="29">
        <v>3</v>
      </c>
      <c r="AV109" s="29">
        <v>3</v>
      </c>
      <c r="AW109" s="29">
        <v>2</v>
      </c>
      <c r="AX109" s="29">
        <v>1</v>
      </c>
      <c r="AY109" s="29">
        <v>1</v>
      </c>
      <c r="AZ109" s="29">
        <v>1</v>
      </c>
      <c r="BA109" s="29">
        <v>1</v>
      </c>
      <c r="BB109" s="29">
        <v>2</v>
      </c>
      <c r="BC109" s="29">
        <v>3</v>
      </c>
      <c r="BD109" s="29">
        <v>1</v>
      </c>
      <c r="BE109" s="29">
        <v>1</v>
      </c>
      <c r="BF109" s="10">
        <f>SUM(Y109:BE109)</f>
        <v>93</v>
      </c>
    </row>
    <row r="110" spans="2:58" ht="22" customHeight="1">
      <c r="B110" s="101"/>
      <c r="C110" s="101"/>
      <c r="D110" s="101"/>
      <c r="E110" s="101"/>
      <c r="F110" s="101"/>
      <c r="G110" s="101"/>
      <c r="H110" s="101"/>
      <c r="I110" s="101"/>
      <c r="J110" s="101"/>
      <c r="K110" s="101"/>
      <c r="L110" s="101"/>
      <c r="M110" s="101"/>
      <c r="N110" s="101"/>
      <c r="O110" s="101"/>
      <c r="P110" s="101"/>
      <c r="Q110" s="101"/>
      <c r="R110" s="101"/>
      <c r="S110" s="101"/>
      <c r="T110" s="9"/>
      <c r="U110" s="9"/>
      <c r="V110" s="9"/>
      <c r="W110" s="9"/>
      <c r="X110" s="7" t="s">
        <v>10</v>
      </c>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0">
        <f>SUM(Y110:BE110)</f>
        <v>0</v>
      </c>
    </row>
    <row r="111" spans="2:58" ht="22" customHeight="1">
      <c r="B111" s="102"/>
      <c r="C111" s="102"/>
      <c r="D111" s="102"/>
      <c r="E111" s="102"/>
      <c r="F111" s="102"/>
      <c r="G111" s="102"/>
      <c r="H111" s="102"/>
      <c r="I111" s="102"/>
      <c r="J111" s="102"/>
      <c r="K111" s="102"/>
      <c r="L111" s="102"/>
      <c r="M111" s="102"/>
      <c r="N111" s="102"/>
      <c r="O111" s="102"/>
      <c r="P111" s="102"/>
      <c r="Q111" s="102"/>
      <c r="R111" s="102"/>
      <c r="S111" s="102"/>
      <c r="T111" s="9"/>
      <c r="U111" s="9"/>
      <c r="V111" s="9"/>
      <c r="W111" s="9"/>
      <c r="X111" s="7" t="s">
        <v>11</v>
      </c>
      <c r="Y111" s="3">
        <f t="shared" ref="Y111:BF111" si="45">Y110-Y109</f>
        <v>-5</v>
      </c>
      <c r="Z111" s="3">
        <f t="shared" si="45"/>
        <v>-5</v>
      </c>
      <c r="AA111" s="3">
        <f t="shared" si="45"/>
        <v>-5</v>
      </c>
      <c r="AB111" s="3">
        <f t="shared" si="45"/>
        <v>-5</v>
      </c>
      <c r="AC111" s="3">
        <f t="shared" si="45"/>
        <v>-5</v>
      </c>
      <c r="AD111" s="3">
        <f t="shared" si="45"/>
        <v>-5</v>
      </c>
      <c r="AE111" s="3">
        <f t="shared" si="45"/>
        <v>-5</v>
      </c>
      <c r="AF111" s="3">
        <f t="shared" si="45"/>
        <v>-5</v>
      </c>
      <c r="AG111" s="3">
        <f t="shared" si="45"/>
        <v>-5</v>
      </c>
      <c r="AH111" s="3">
        <f t="shared" si="45"/>
        <v>-5</v>
      </c>
      <c r="AI111" s="3">
        <f t="shared" si="45"/>
        <v>-5</v>
      </c>
      <c r="AJ111" s="3">
        <f t="shared" si="45"/>
        <v>-1</v>
      </c>
      <c r="AK111" s="3">
        <f t="shared" si="45"/>
        <v>-1</v>
      </c>
      <c r="AL111" s="3">
        <f t="shared" si="45"/>
        <v>-1</v>
      </c>
      <c r="AM111" s="3">
        <f t="shared" si="45"/>
        <v>-1</v>
      </c>
      <c r="AN111" s="3">
        <f t="shared" si="45"/>
        <v>-3</v>
      </c>
      <c r="AO111" s="3">
        <f t="shared" si="45"/>
        <v>-3</v>
      </c>
      <c r="AP111" s="3">
        <f t="shared" si="45"/>
        <v>-2</v>
      </c>
      <c r="AQ111" s="3">
        <f t="shared" si="45"/>
        <v>-2</v>
      </c>
      <c r="AR111" s="3">
        <f t="shared" si="45"/>
        <v>-2</v>
      </c>
      <c r="AS111" s="3">
        <f t="shared" si="45"/>
        <v>-2</v>
      </c>
      <c r="AT111" s="3">
        <f t="shared" si="45"/>
        <v>-1</v>
      </c>
      <c r="AU111" s="3">
        <f t="shared" si="45"/>
        <v>-3</v>
      </c>
      <c r="AV111" s="3">
        <f t="shared" si="45"/>
        <v>-3</v>
      </c>
      <c r="AW111" s="3">
        <f t="shared" si="45"/>
        <v>-2</v>
      </c>
      <c r="AX111" s="3">
        <f t="shared" si="45"/>
        <v>-1</v>
      </c>
      <c r="AY111" s="3">
        <f t="shared" si="45"/>
        <v>-1</v>
      </c>
      <c r="AZ111" s="3">
        <f t="shared" si="45"/>
        <v>-1</v>
      </c>
      <c r="BA111" s="3">
        <f t="shared" si="45"/>
        <v>-1</v>
      </c>
      <c r="BB111" s="3">
        <f t="shared" si="45"/>
        <v>-2</v>
      </c>
      <c r="BC111" s="3">
        <f t="shared" si="45"/>
        <v>-3</v>
      </c>
      <c r="BD111" s="3">
        <f t="shared" si="45"/>
        <v>-1</v>
      </c>
      <c r="BE111" s="3">
        <f t="shared" si="45"/>
        <v>-1</v>
      </c>
      <c r="BF111" s="10">
        <f t="shared" si="45"/>
        <v>-93</v>
      </c>
    </row>
    <row r="112" spans="2:58" ht="22" customHeight="1">
      <c r="B112" s="107">
        <v>26</v>
      </c>
      <c r="C112" s="117" t="s">
        <v>88</v>
      </c>
      <c r="D112" s="108" t="s">
        <v>89</v>
      </c>
      <c r="E112" s="103"/>
      <c r="F112" s="109"/>
      <c r="G112" s="106">
        <f>SUM(Y112:AZ112)</f>
        <v>22</v>
      </c>
      <c r="H112" s="106">
        <f>SUM(Y113:AZ113)</f>
        <v>0</v>
      </c>
      <c r="I112" s="111"/>
      <c r="J112" s="112">
        <f>IFERROR(H112/G112,0)</f>
        <v>0</v>
      </c>
      <c r="K112" s="110">
        <v>0.1176470588235294</v>
      </c>
      <c r="L112" s="110">
        <v>0.1176470588235294</v>
      </c>
      <c r="M112" s="111"/>
      <c r="N112" s="111"/>
      <c r="O112" s="111"/>
      <c r="P112" s="111"/>
      <c r="Q112" s="111"/>
      <c r="R112" s="111"/>
      <c r="S112" s="103" t="s">
        <v>47</v>
      </c>
      <c r="T112" s="39"/>
      <c r="U112" s="39"/>
      <c r="V112" s="39"/>
      <c r="W112" s="39"/>
      <c r="X112" s="33" t="s">
        <v>31</v>
      </c>
      <c r="Y112" s="40">
        <v>1</v>
      </c>
      <c r="Z112" s="40">
        <v>1</v>
      </c>
      <c r="AA112" s="40">
        <v>1</v>
      </c>
      <c r="AB112" s="40">
        <v>1</v>
      </c>
      <c r="AC112" s="40">
        <v>1</v>
      </c>
      <c r="AD112" s="40">
        <v>1</v>
      </c>
      <c r="AE112" s="40">
        <v>1</v>
      </c>
      <c r="AF112" s="40">
        <v>1</v>
      </c>
      <c r="AG112" s="40">
        <v>1</v>
      </c>
      <c r="AH112" s="40">
        <v>1</v>
      </c>
      <c r="AI112" s="40">
        <v>1</v>
      </c>
      <c r="AJ112" s="40">
        <v>1</v>
      </c>
      <c r="AK112" s="40">
        <v>1</v>
      </c>
      <c r="AL112" s="40">
        <v>1</v>
      </c>
      <c r="AM112" s="40">
        <v>1</v>
      </c>
      <c r="AN112" s="40">
        <v>1</v>
      </c>
      <c r="AO112" s="40">
        <v>1</v>
      </c>
      <c r="AP112" s="40">
        <v>1</v>
      </c>
      <c r="AQ112" s="40">
        <v>1</v>
      </c>
      <c r="AR112" s="40">
        <v>0</v>
      </c>
      <c r="AS112" s="40">
        <v>0</v>
      </c>
      <c r="AT112" s="40">
        <v>0</v>
      </c>
      <c r="AU112" s="40">
        <v>0</v>
      </c>
      <c r="AV112" s="40">
        <v>0</v>
      </c>
      <c r="AW112" s="40">
        <v>0</v>
      </c>
      <c r="AX112" s="40">
        <v>1</v>
      </c>
      <c r="AY112" s="40">
        <v>1</v>
      </c>
      <c r="AZ112" s="40">
        <v>1</v>
      </c>
      <c r="BA112" s="40">
        <v>1</v>
      </c>
      <c r="BB112" s="40">
        <v>0</v>
      </c>
      <c r="BC112" s="40">
        <v>0</v>
      </c>
      <c r="BD112" s="40">
        <v>1</v>
      </c>
      <c r="BE112" s="40">
        <v>1</v>
      </c>
      <c r="BF112" s="10">
        <f>SUM(Y112:BE112)</f>
        <v>25</v>
      </c>
    </row>
    <row r="113" spans="2:58" ht="22" customHeight="1">
      <c r="B113" s="101"/>
      <c r="C113" s="101"/>
      <c r="D113" s="101"/>
      <c r="E113" s="101"/>
      <c r="F113" s="101"/>
      <c r="G113" s="101"/>
      <c r="H113" s="101"/>
      <c r="I113" s="101"/>
      <c r="J113" s="101"/>
      <c r="K113" s="101"/>
      <c r="L113" s="101"/>
      <c r="M113" s="101"/>
      <c r="N113" s="101"/>
      <c r="O113" s="101"/>
      <c r="P113" s="101"/>
      <c r="Q113" s="101"/>
      <c r="R113" s="101"/>
      <c r="S113" s="101"/>
      <c r="T113" s="39"/>
      <c r="U113" s="39"/>
      <c r="V113" s="39"/>
      <c r="W113" s="39"/>
      <c r="X113" s="33" t="s">
        <v>10</v>
      </c>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c r="BC113" s="41"/>
      <c r="BD113" s="41"/>
      <c r="BE113" s="41"/>
      <c r="BF113" s="10">
        <f>SUM(Y113:BE113)</f>
        <v>0</v>
      </c>
    </row>
    <row r="114" spans="2:58" ht="22" customHeight="1">
      <c r="B114" s="102"/>
      <c r="C114" s="102"/>
      <c r="D114" s="102"/>
      <c r="E114" s="102"/>
      <c r="F114" s="102"/>
      <c r="G114" s="102"/>
      <c r="H114" s="102"/>
      <c r="I114" s="102"/>
      <c r="J114" s="102"/>
      <c r="K114" s="102"/>
      <c r="L114" s="102"/>
      <c r="M114" s="102"/>
      <c r="N114" s="102"/>
      <c r="O114" s="102"/>
      <c r="P114" s="102"/>
      <c r="Q114" s="102"/>
      <c r="R114" s="102"/>
      <c r="S114" s="102"/>
      <c r="T114" s="39"/>
      <c r="U114" s="39"/>
      <c r="V114" s="39"/>
      <c r="W114" s="39"/>
      <c r="X114" s="33" t="s">
        <v>11</v>
      </c>
      <c r="Y114" s="36">
        <f t="shared" ref="Y114:BF114" si="46">Y113-Y112</f>
        <v>-1</v>
      </c>
      <c r="Z114" s="36">
        <f t="shared" si="46"/>
        <v>-1</v>
      </c>
      <c r="AA114" s="36">
        <f t="shared" si="46"/>
        <v>-1</v>
      </c>
      <c r="AB114" s="36">
        <f t="shared" si="46"/>
        <v>-1</v>
      </c>
      <c r="AC114" s="36">
        <f t="shared" si="46"/>
        <v>-1</v>
      </c>
      <c r="AD114" s="36">
        <f t="shared" si="46"/>
        <v>-1</v>
      </c>
      <c r="AE114" s="36">
        <f t="shared" si="46"/>
        <v>-1</v>
      </c>
      <c r="AF114" s="36">
        <f t="shared" si="46"/>
        <v>-1</v>
      </c>
      <c r="AG114" s="36">
        <f t="shared" si="46"/>
        <v>-1</v>
      </c>
      <c r="AH114" s="36">
        <f t="shared" si="46"/>
        <v>-1</v>
      </c>
      <c r="AI114" s="36">
        <f t="shared" si="46"/>
        <v>-1</v>
      </c>
      <c r="AJ114" s="36">
        <f t="shared" si="46"/>
        <v>-1</v>
      </c>
      <c r="AK114" s="36">
        <f t="shared" si="46"/>
        <v>-1</v>
      </c>
      <c r="AL114" s="36">
        <f t="shared" si="46"/>
        <v>-1</v>
      </c>
      <c r="AM114" s="36">
        <f t="shared" si="46"/>
        <v>-1</v>
      </c>
      <c r="AN114" s="36">
        <f t="shared" si="46"/>
        <v>-1</v>
      </c>
      <c r="AO114" s="36">
        <f t="shared" si="46"/>
        <v>-1</v>
      </c>
      <c r="AP114" s="36">
        <f t="shared" si="46"/>
        <v>-1</v>
      </c>
      <c r="AQ114" s="36">
        <f t="shared" si="46"/>
        <v>-1</v>
      </c>
      <c r="AR114" s="36">
        <f t="shared" si="46"/>
        <v>0</v>
      </c>
      <c r="AS114" s="36">
        <f t="shared" si="46"/>
        <v>0</v>
      </c>
      <c r="AT114" s="36">
        <f t="shared" si="46"/>
        <v>0</v>
      </c>
      <c r="AU114" s="36">
        <f t="shared" si="46"/>
        <v>0</v>
      </c>
      <c r="AV114" s="36">
        <f t="shared" si="46"/>
        <v>0</v>
      </c>
      <c r="AW114" s="36">
        <f t="shared" si="46"/>
        <v>0</v>
      </c>
      <c r="AX114" s="36">
        <f t="shared" si="46"/>
        <v>-1</v>
      </c>
      <c r="AY114" s="36">
        <f t="shared" si="46"/>
        <v>-1</v>
      </c>
      <c r="AZ114" s="36">
        <f t="shared" si="46"/>
        <v>-1</v>
      </c>
      <c r="BA114" s="36">
        <f t="shared" si="46"/>
        <v>-1</v>
      </c>
      <c r="BB114" s="36">
        <f t="shared" si="46"/>
        <v>0</v>
      </c>
      <c r="BC114" s="36">
        <f t="shared" si="46"/>
        <v>0</v>
      </c>
      <c r="BD114" s="36">
        <f t="shared" si="46"/>
        <v>-1</v>
      </c>
      <c r="BE114" s="36">
        <f t="shared" si="46"/>
        <v>-1</v>
      </c>
      <c r="BF114" s="10">
        <f t="shared" si="46"/>
        <v>-25</v>
      </c>
    </row>
    <row r="115" spans="2:58" ht="22" customHeight="1">
      <c r="B115" s="104">
        <v>27</v>
      </c>
      <c r="C115" s="118" t="s">
        <v>90</v>
      </c>
      <c r="D115" s="105" t="s">
        <v>91</v>
      </c>
      <c r="E115" s="115"/>
      <c r="F115" s="119"/>
      <c r="G115" s="114">
        <f>SUM(Y115:AZ115)</f>
        <v>40</v>
      </c>
      <c r="H115" s="114">
        <f>SUM(Y116:AZ116)</f>
        <v>0</v>
      </c>
      <c r="I115" s="100"/>
      <c r="J115" s="116">
        <f>IFERROR(H115/G115,0)</f>
        <v>0</v>
      </c>
      <c r="K115" s="113">
        <v>0.6</v>
      </c>
      <c r="L115" s="113">
        <v>0.6</v>
      </c>
      <c r="M115" s="100"/>
      <c r="N115" s="100"/>
      <c r="O115" s="100"/>
      <c r="P115" s="100"/>
      <c r="Q115" s="100"/>
      <c r="R115" s="100"/>
      <c r="S115" s="115" t="s">
        <v>47</v>
      </c>
      <c r="T115" s="9"/>
      <c r="U115" s="9"/>
      <c r="V115" s="9"/>
      <c r="W115" s="9"/>
      <c r="X115" s="7" t="s">
        <v>31</v>
      </c>
      <c r="Y115" s="29">
        <v>1</v>
      </c>
      <c r="Z115" s="29">
        <v>1</v>
      </c>
      <c r="AA115" s="29">
        <v>1</v>
      </c>
      <c r="AB115" s="29">
        <v>1</v>
      </c>
      <c r="AC115" s="29">
        <v>1</v>
      </c>
      <c r="AD115" s="29">
        <v>1</v>
      </c>
      <c r="AE115" s="29">
        <v>1</v>
      </c>
      <c r="AF115" s="29">
        <v>1</v>
      </c>
      <c r="AG115" s="29">
        <v>1</v>
      </c>
      <c r="AH115" s="29">
        <v>1</v>
      </c>
      <c r="AI115" s="29">
        <v>0</v>
      </c>
      <c r="AJ115" s="29">
        <v>1</v>
      </c>
      <c r="AK115" s="29">
        <v>1</v>
      </c>
      <c r="AL115" s="29">
        <v>1</v>
      </c>
      <c r="AM115" s="29">
        <v>1</v>
      </c>
      <c r="AN115" s="29">
        <v>3</v>
      </c>
      <c r="AO115" s="29">
        <v>3</v>
      </c>
      <c r="AP115" s="29">
        <v>2</v>
      </c>
      <c r="AQ115" s="29">
        <v>2</v>
      </c>
      <c r="AR115" s="29">
        <v>2</v>
      </c>
      <c r="AS115" s="29">
        <v>2</v>
      </c>
      <c r="AT115" s="29">
        <v>1</v>
      </c>
      <c r="AU115" s="29">
        <v>3</v>
      </c>
      <c r="AV115" s="29">
        <v>3</v>
      </c>
      <c r="AW115" s="29">
        <v>2</v>
      </c>
      <c r="AX115" s="29">
        <v>1</v>
      </c>
      <c r="AY115" s="29">
        <v>1</v>
      </c>
      <c r="AZ115" s="29">
        <v>1</v>
      </c>
      <c r="BA115" s="29">
        <v>1</v>
      </c>
      <c r="BB115" s="29">
        <v>2</v>
      </c>
      <c r="BC115" s="29">
        <v>3</v>
      </c>
      <c r="BD115" s="29">
        <v>1</v>
      </c>
      <c r="BE115" s="29">
        <v>1</v>
      </c>
      <c r="BF115" s="10">
        <f>SUM(Y115:BE115)</f>
        <v>48</v>
      </c>
    </row>
    <row r="116" spans="2:58" ht="22" customHeight="1">
      <c r="B116" s="101"/>
      <c r="C116" s="101"/>
      <c r="D116" s="101"/>
      <c r="E116" s="101"/>
      <c r="F116" s="101"/>
      <c r="G116" s="101"/>
      <c r="H116" s="101"/>
      <c r="I116" s="101"/>
      <c r="J116" s="101"/>
      <c r="K116" s="101"/>
      <c r="L116" s="101"/>
      <c r="M116" s="101"/>
      <c r="N116" s="101"/>
      <c r="O116" s="101"/>
      <c r="P116" s="101"/>
      <c r="Q116" s="101"/>
      <c r="R116" s="101"/>
      <c r="S116" s="101"/>
      <c r="T116" s="9"/>
      <c r="U116" s="9"/>
      <c r="V116" s="9"/>
      <c r="W116" s="9"/>
      <c r="X116" s="7" t="s">
        <v>10</v>
      </c>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0">
        <f>SUM(Y116:BE116)</f>
        <v>0</v>
      </c>
    </row>
    <row r="117" spans="2:58" ht="22" customHeight="1">
      <c r="B117" s="102"/>
      <c r="C117" s="102"/>
      <c r="D117" s="102"/>
      <c r="E117" s="102"/>
      <c r="F117" s="102"/>
      <c r="G117" s="102"/>
      <c r="H117" s="102"/>
      <c r="I117" s="102"/>
      <c r="J117" s="102"/>
      <c r="K117" s="102"/>
      <c r="L117" s="102"/>
      <c r="M117" s="102"/>
      <c r="N117" s="102"/>
      <c r="O117" s="102"/>
      <c r="P117" s="102"/>
      <c r="Q117" s="102"/>
      <c r="R117" s="102"/>
      <c r="S117" s="102"/>
      <c r="T117" s="9"/>
      <c r="U117" s="9"/>
      <c r="V117" s="9"/>
      <c r="W117" s="9"/>
      <c r="X117" s="7" t="s">
        <v>11</v>
      </c>
      <c r="Y117" s="3">
        <f t="shared" ref="Y117:BF117" si="47">Y116-Y115</f>
        <v>-1</v>
      </c>
      <c r="Z117" s="3">
        <f t="shared" si="47"/>
        <v>-1</v>
      </c>
      <c r="AA117" s="3">
        <f t="shared" si="47"/>
        <v>-1</v>
      </c>
      <c r="AB117" s="3">
        <f t="shared" si="47"/>
        <v>-1</v>
      </c>
      <c r="AC117" s="3">
        <f t="shared" si="47"/>
        <v>-1</v>
      </c>
      <c r="AD117" s="3">
        <f t="shared" si="47"/>
        <v>-1</v>
      </c>
      <c r="AE117" s="3">
        <f t="shared" si="47"/>
        <v>-1</v>
      </c>
      <c r="AF117" s="3">
        <f t="shared" si="47"/>
        <v>-1</v>
      </c>
      <c r="AG117" s="3">
        <f t="shared" si="47"/>
        <v>-1</v>
      </c>
      <c r="AH117" s="3">
        <f t="shared" si="47"/>
        <v>-1</v>
      </c>
      <c r="AI117" s="3">
        <f t="shared" si="47"/>
        <v>0</v>
      </c>
      <c r="AJ117" s="3">
        <f t="shared" si="47"/>
        <v>-1</v>
      </c>
      <c r="AK117" s="3">
        <f t="shared" si="47"/>
        <v>-1</v>
      </c>
      <c r="AL117" s="3">
        <f t="shared" si="47"/>
        <v>-1</v>
      </c>
      <c r="AM117" s="3">
        <f t="shared" si="47"/>
        <v>-1</v>
      </c>
      <c r="AN117" s="3">
        <f t="shared" si="47"/>
        <v>-3</v>
      </c>
      <c r="AO117" s="3">
        <f t="shared" si="47"/>
        <v>-3</v>
      </c>
      <c r="AP117" s="3">
        <f t="shared" si="47"/>
        <v>-2</v>
      </c>
      <c r="AQ117" s="3">
        <f t="shared" si="47"/>
        <v>-2</v>
      </c>
      <c r="AR117" s="3">
        <f t="shared" si="47"/>
        <v>-2</v>
      </c>
      <c r="AS117" s="3">
        <f t="shared" si="47"/>
        <v>-2</v>
      </c>
      <c r="AT117" s="3">
        <f t="shared" si="47"/>
        <v>-1</v>
      </c>
      <c r="AU117" s="3">
        <f t="shared" si="47"/>
        <v>-3</v>
      </c>
      <c r="AV117" s="3">
        <f t="shared" si="47"/>
        <v>-3</v>
      </c>
      <c r="AW117" s="3">
        <f t="shared" si="47"/>
        <v>-2</v>
      </c>
      <c r="AX117" s="3">
        <f t="shared" si="47"/>
        <v>-1</v>
      </c>
      <c r="AY117" s="3">
        <f t="shared" si="47"/>
        <v>-1</v>
      </c>
      <c r="AZ117" s="3">
        <f t="shared" si="47"/>
        <v>-1</v>
      </c>
      <c r="BA117" s="3">
        <f t="shared" si="47"/>
        <v>-1</v>
      </c>
      <c r="BB117" s="3">
        <f t="shared" si="47"/>
        <v>-2</v>
      </c>
      <c r="BC117" s="3">
        <f t="shared" si="47"/>
        <v>-3</v>
      </c>
      <c r="BD117" s="3">
        <f t="shared" si="47"/>
        <v>-1</v>
      </c>
      <c r="BE117" s="3">
        <f t="shared" si="47"/>
        <v>-1</v>
      </c>
      <c r="BF117" s="10">
        <f t="shared" si="47"/>
        <v>-48</v>
      </c>
    </row>
    <row r="118" spans="2:58" ht="22" customHeight="1">
      <c r="B118" s="107">
        <v>28</v>
      </c>
      <c r="C118" s="117" t="s">
        <v>92</v>
      </c>
      <c r="D118" s="108" t="s">
        <v>93</v>
      </c>
      <c r="E118" s="103"/>
      <c r="F118" s="109"/>
      <c r="G118" s="106">
        <f>SUM(Y118:AZ118)</f>
        <v>0</v>
      </c>
      <c r="H118" s="106">
        <f>SUM(Y119:AZ119)</f>
        <v>0</v>
      </c>
      <c r="I118" s="111"/>
      <c r="J118" s="112">
        <f>IFERROR(H118/G118,0)</f>
        <v>0</v>
      </c>
      <c r="K118" s="110">
        <v>0</v>
      </c>
      <c r="L118" s="110">
        <v>0</v>
      </c>
      <c r="M118" s="111"/>
      <c r="N118" s="111"/>
      <c r="O118" s="111"/>
      <c r="P118" s="111"/>
      <c r="Q118" s="111"/>
      <c r="R118" s="111"/>
      <c r="S118" s="103" t="s">
        <v>47</v>
      </c>
      <c r="T118" s="39"/>
      <c r="U118" s="39"/>
      <c r="V118" s="39"/>
      <c r="W118" s="39"/>
      <c r="X118" s="33" t="s">
        <v>31</v>
      </c>
      <c r="Y118" s="40">
        <v>0</v>
      </c>
      <c r="Z118" s="40">
        <v>0</v>
      </c>
      <c r="AA118" s="40">
        <v>0</v>
      </c>
      <c r="AB118" s="40">
        <v>0</v>
      </c>
      <c r="AC118" s="40">
        <v>0</v>
      </c>
      <c r="AD118" s="40">
        <v>0</v>
      </c>
      <c r="AE118" s="40">
        <v>0</v>
      </c>
      <c r="AF118" s="40">
        <v>0</v>
      </c>
      <c r="AG118" s="40">
        <v>0</v>
      </c>
      <c r="AH118" s="40">
        <v>0</v>
      </c>
      <c r="AI118" s="40">
        <v>0</v>
      </c>
      <c r="AJ118" s="40">
        <v>0</v>
      </c>
      <c r="AK118" s="40">
        <v>0</v>
      </c>
      <c r="AL118" s="40">
        <v>0</v>
      </c>
      <c r="AM118" s="40">
        <v>0</v>
      </c>
      <c r="AN118" s="40">
        <v>0</v>
      </c>
      <c r="AO118" s="40">
        <v>0</v>
      </c>
      <c r="AP118" s="40">
        <v>0</v>
      </c>
      <c r="AQ118" s="40">
        <v>0</v>
      </c>
      <c r="AR118" s="40">
        <v>0</v>
      </c>
      <c r="AS118" s="40">
        <v>0</v>
      </c>
      <c r="AT118" s="40">
        <v>0</v>
      </c>
      <c r="AU118" s="40">
        <v>0</v>
      </c>
      <c r="AV118" s="40">
        <v>0</v>
      </c>
      <c r="AW118" s="40">
        <v>0</v>
      </c>
      <c r="AX118" s="40">
        <v>0</v>
      </c>
      <c r="AY118" s="40">
        <v>0</v>
      </c>
      <c r="AZ118" s="40">
        <v>0</v>
      </c>
      <c r="BA118" s="40">
        <v>0</v>
      </c>
      <c r="BB118" s="40">
        <v>0</v>
      </c>
      <c r="BC118" s="40">
        <v>0</v>
      </c>
      <c r="BD118" s="40">
        <v>0</v>
      </c>
      <c r="BE118" s="40">
        <v>0</v>
      </c>
      <c r="BF118" s="10">
        <f>SUM(Y118:BE118)</f>
        <v>0</v>
      </c>
    </row>
    <row r="119" spans="2:58" ht="22" customHeight="1">
      <c r="B119" s="101"/>
      <c r="C119" s="101"/>
      <c r="D119" s="101"/>
      <c r="E119" s="101"/>
      <c r="F119" s="101"/>
      <c r="G119" s="101"/>
      <c r="H119" s="101"/>
      <c r="I119" s="101"/>
      <c r="J119" s="101"/>
      <c r="K119" s="101"/>
      <c r="L119" s="101"/>
      <c r="M119" s="101"/>
      <c r="N119" s="101"/>
      <c r="O119" s="101"/>
      <c r="P119" s="101"/>
      <c r="Q119" s="101"/>
      <c r="R119" s="101"/>
      <c r="S119" s="101"/>
      <c r="T119" s="39"/>
      <c r="U119" s="39"/>
      <c r="V119" s="39"/>
      <c r="W119" s="39"/>
      <c r="X119" s="33" t="s">
        <v>10</v>
      </c>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41"/>
      <c r="BB119" s="41"/>
      <c r="BC119" s="41"/>
      <c r="BD119" s="41"/>
      <c r="BE119" s="41"/>
      <c r="BF119" s="10">
        <f>SUM(Y119:BE119)</f>
        <v>0</v>
      </c>
    </row>
    <row r="120" spans="2:58" ht="22" customHeight="1">
      <c r="B120" s="102"/>
      <c r="C120" s="102"/>
      <c r="D120" s="102"/>
      <c r="E120" s="102"/>
      <c r="F120" s="102"/>
      <c r="G120" s="102"/>
      <c r="H120" s="102"/>
      <c r="I120" s="102"/>
      <c r="J120" s="102"/>
      <c r="K120" s="102"/>
      <c r="L120" s="102"/>
      <c r="M120" s="102"/>
      <c r="N120" s="102"/>
      <c r="O120" s="102"/>
      <c r="P120" s="102"/>
      <c r="Q120" s="102"/>
      <c r="R120" s="102"/>
      <c r="S120" s="102"/>
      <c r="T120" s="39"/>
      <c r="U120" s="39"/>
      <c r="V120" s="39"/>
      <c r="W120" s="39"/>
      <c r="X120" s="33" t="s">
        <v>11</v>
      </c>
      <c r="Y120" s="36">
        <f t="shared" ref="Y120:BF120" si="48">Y119-Y118</f>
        <v>0</v>
      </c>
      <c r="Z120" s="36">
        <f t="shared" si="48"/>
        <v>0</v>
      </c>
      <c r="AA120" s="36">
        <f t="shared" si="48"/>
        <v>0</v>
      </c>
      <c r="AB120" s="36">
        <f t="shared" si="48"/>
        <v>0</v>
      </c>
      <c r="AC120" s="36">
        <f t="shared" si="48"/>
        <v>0</v>
      </c>
      <c r="AD120" s="36">
        <f t="shared" si="48"/>
        <v>0</v>
      </c>
      <c r="AE120" s="36">
        <f t="shared" si="48"/>
        <v>0</v>
      </c>
      <c r="AF120" s="36">
        <f t="shared" si="48"/>
        <v>0</v>
      </c>
      <c r="AG120" s="36">
        <f t="shared" si="48"/>
        <v>0</v>
      </c>
      <c r="AH120" s="36">
        <f t="shared" si="48"/>
        <v>0</v>
      </c>
      <c r="AI120" s="36">
        <f t="shared" si="48"/>
        <v>0</v>
      </c>
      <c r="AJ120" s="36">
        <f t="shared" si="48"/>
        <v>0</v>
      </c>
      <c r="AK120" s="36">
        <f t="shared" si="48"/>
        <v>0</v>
      </c>
      <c r="AL120" s="36">
        <f t="shared" si="48"/>
        <v>0</v>
      </c>
      <c r="AM120" s="36">
        <f t="shared" si="48"/>
        <v>0</v>
      </c>
      <c r="AN120" s="36">
        <f t="shared" si="48"/>
        <v>0</v>
      </c>
      <c r="AO120" s="36">
        <f t="shared" si="48"/>
        <v>0</v>
      </c>
      <c r="AP120" s="36">
        <f t="shared" si="48"/>
        <v>0</v>
      </c>
      <c r="AQ120" s="36">
        <f t="shared" si="48"/>
        <v>0</v>
      </c>
      <c r="AR120" s="36">
        <f t="shared" si="48"/>
        <v>0</v>
      </c>
      <c r="AS120" s="36">
        <f t="shared" si="48"/>
        <v>0</v>
      </c>
      <c r="AT120" s="36">
        <f t="shared" si="48"/>
        <v>0</v>
      </c>
      <c r="AU120" s="36">
        <f t="shared" si="48"/>
        <v>0</v>
      </c>
      <c r="AV120" s="36">
        <f t="shared" si="48"/>
        <v>0</v>
      </c>
      <c r="AW120" s="36">
        <f t="shared" si="48"/>
        <v>0</v>
      </c>
      <c r="AX120" s="36">
        <f t="shared" si="48"/>
        <v>0</v>
      </c>
      <c r="AY120" s="36">
        <f t="shared" si="48"/>
        <v>0</v>
      </c>
      <c r="AZ120" s="36">
        <f t="shared" si="48"/>
        <v>0</v>
      </c>
      <c r="BA120" s="36">
        <f t="shared" si="48"/>
        <v>0</v>
      </c>
      <c r="BB120" s="36">
        <f t="shared" si="48"/>
        <v>0</v>
      </c>
      <c r="BC120" s="36">
        <f t="shared" si="48"/>
        <v>0</v>
      </c>
      <c r="BD120" s="36">
        <f t="shared" si="48"/>
        <v>0</v>
      </c>
      <c r="BE120" s="36">
        <f t="shared" si="48"/>
        <v>0</v>
      </c>
      <c r="BF120" s="10">
        <f t="shared" si="48"/>
        <v>0</v>
      </c>
    </row>
    <row r="121" spans="2:58" ht="22" customHeight="1">
      <c r="B121" s="104">
        <v>29</v>
      </c>
      <c r="C121" s="118" t="s">
        <v>94</v>
      </c>
      <c r="D121" s="105" t="s">
        <v>95</v>
      </c>
      <c r="E121" s="115"/>
      <c r="F121" s="119"/>
      <c r="G121" s="114">
        <f>SUM(Y121:AZ121)</f>
        <v>28</v>
      </c>
      <c r="H121" s="114">
        <f>SUM(Y122:AZ122)</f>
        <v>0</v>
      </c>
      <c r="I121" s="100"/>
      <c r="J121" s="116">
        <f>IFERROR(H121/G121,0)</f>
        <v>0</v>
      </c>
      <c r="K121" s="113">
        <v>0.59090909090909094</v>
      </c>
      <c r="L121" s="113">
        <v>0.59090909090909094</v>
      </c>
      <c r="M121" s="100"/>
      <c r="N121" s="100"/>
      <c r="O121" s="100"/>
      <c r="P121" s="100"/>
      <c r="Q121" s="100"/>
      <c r="R121" s="100"/>
      <c r="S121" s="115" t="s">
        <v>37</v>
      </c>
      <c r="T121" s="9"/>
      <c r="U121" s="9"/>
      <c r="V121" s="9"/>
      <c r="W121" s="9"/>
      <c r="X121" s="7" t="s">
        <v>31</v>
      </c>
      <c r="Y121" s="29">
        <v>2</v>
      </c>
      <c r="Z121" s="29">
        <v>3</v>
      </c>
      <c r="AA121" s="29">
        <v>2</v>
      </c>
      <c r="AB121" s="29">
        <v>2</v>
      </c>
      <c r="AC121" s="29">
        <v>2</v>
      </c>
      <c r="AD121" s="29">
        <v>2</v>
      </c>
      <c r="AE121" s="29">
        <v>2</v>
      </c>
      <c r="AF121" s="29">
        <v>2</v>
      </c>
      <c r="AG121" s="29">
        <v>3</v>
      </c>
      <c r="AH121" s="29">
        <v>2</v>
      </c>
      <c r="AI121" s="29">
        <v>1</v>
      </c>
      <c r="AJ121" s="29">
        <v>0</v>
      </c>
      <c r="AK121" s="29">
        <v>0</v>
      </c>
      <c r="AL121" s="29">
        <v>0</v>
      </c>
      <c r="AM121" s="29">
        <v>0</v>
      </c>
      <c r="AN121" s="29">
        <v>1</v>
      </c>
      <c r="AO121" s="29">
        <v>1</v>
      </c>
      <c r="AP121" s="29">
        <v>0</v>
      </c>
      <c r="AQ121" s="29">
        <v>0</v>
      </c>
      <c r="AR121" s="29">
        <v>0</v>
      </c>
      <c r="AS121" s="29">
        <v>0</v>
      </c>
      <c r="AT121" s="29">
        <v>0</v>
      </c>
      <c r="AU121" s="29">
        <v>1</v>
      </c>
      <c r="AV121" s="29">
        <v>1</v>
      </c>
      <c r="AW121" s="29">
        <v>1</v>
      </c>
      <c r="AX121" s="29">
        <v>0</v>
      </c>
      <c r="AY121" s="29">
        <v>0</v>
      </c>
      <c r="AZ121" s="29">
        <v>0</v>
      </c>
      <c r="BA121" s="29">
        <v>0</v>
      </c>
      <c r="BB121" s="29">
        <v>1</v>
      </c>
      <c r="BC121" s="29">
        <v>1</v>
      </c>
      <c r="BD121" s="29">
        <v>0</v>
      </c>
      <c r="BE121" s="29">
        <v>0</v>
      </c>
      <c r="BF121" s="10">
        <f>SUM(Y121:BE121)</f>
        <v>30</v>
      </c>
    </row>
    <row r="122" spans="2:58" ht="22" customHeight="1">
      <c r="B122" s="101"/>
      <c r="C122" s="101"/>
      <c r="D122" s="101"/>
      <c r="E122" s="101"/>
      <c r="F122" s="101"/>
      <c r="G122" s="101"/>
      <c r="H122" s="101"/>
      <c r="I122" s="101"/>
      <c r="J122" s="101"/>
      <c r="K122" s="101"/>
      <c r="L122" s="101"/>
      <c r="M122" s="101"/>
      <c r="N122" s="101"/>
      <c r="O122" s="101"/>
      <c r="P122" s="101"/>
      <c r="Q122" s="101"/>
      <c r="R122" s="101"/>
      <c r="S122" s="101"/>
      <c r="T122" s="9"/>
      <c r="U122" s="9"/>
      <c r="V122" s="9"/>
      <c r="W122" s="9"/>
      <c r="X122" s="7" t="s">
        <v>10</v>
      </c>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0">
        <f>SUM(Y122:BE122)</f>
        <v>0</v>
      </c>
    </row>
    <row r="123" spans="2:58" ht="22" customHeight="1">
      <c r="B123" s="101"/>
      <c r="C123" s="101"/>
      <c r="D123" s="101"/>
      <c r="E123" s="101"/>
      <c r="F123" s="101"/>
      <c r="G123" s="101"/>
      <c r="H123" s="101"/>
      <c r="I123" s="101"/>
      <c r="J123" s="101"/>
      <c r="K123" s="101"/>
      <c r="L123" s="101"/>
      <c r="M123" s="101"/>
      <c r="N123" s="101"/>
      <c r="O123" s="101"/>
      <c r="P123" s="101"/>
      <c r="Q123" s="101"/>
      <c r="R123" s="101"/>
      <c r="S123" s="101"/>
      <c r="T123" s="9"/>
      <c r="U123" s="9"/>
      <c r="V123" s="9"/>
      <c r="W123" s="9"/>
      <c r="X123" s="30" t="s">
        <v>38</v>
      </c>
      <c r="Y123" s="31">
        <v>11000</v>
      </c>
      <c r="Z123" s="31">
        <v>11000</v>
      </c>
      <c r="AA123" s="31">
        <v>11000</v>
      </c>
      <c r="AB123" s="31">
        <v>11000</v>
      </c>
      <c r="AC123" s="31">
        <v>11000</v>
      </c>
      <c r="AD123" s="31">
        <v>11000</v>
      </c>
      <c r="AE123" s="31">
        <v>11000</v>
      </c>
      <c r="AF123" s="31">
        <v>11000</v>
      </c>
      <c r="AG123" s="31">
        <v>11000</v>
      </c>
      <c r="AH123" s="31">
        <v>11000</v>
      </c>
      <c r="AI123" s="31">
        <v>11000</v>
      </c>
      <c r="AJ123" s="31">
        <v>2400</v>
      </c>
      <c r="AK123" s="31">
        <v>2400</v>
      </c>
      <c r="AL123" s="31">
        <v>2400</v>
      </c>
      <c r="AM123" s="31">
        <v>2400</v>
      </c>
      <c r="AN123" s="31">
        <v>2400</v>
      </c>
      <c r="AO123" s="31">
        <v>2400</v>
      </c>
      <c r="AP123" s="31">
        <v>2400</v>
      </c>
      <c r="AQ123" s="31">
        <v>2400</v>
      </c>
      <c r="AR123" s="31">
        <v>2400</v>
      </c>
      <c r="AS123" s="31">
        <v>2400</v>
      </c>
      <c r="AT123" s="31">
        <v>2400</v>
      </c>
      <c r="AU123" s="31">
        <v>2400</v>
      </c>
      <c r="AV123" s="31">
        <v>2400</v>
      </c>
      <c r="AW123" s="31">
        <v>2400</v>
      </c>
      <c r="AX123" s="31">
        <v>2400</v>
      </c>
      <c r="AY123" s="31">
        <v>2400</v>
      </c>
      <c r="AZ123" s="31">
        <v>2400</v>
      </c>
      <c r="BA123" s="31">
        <v>2400</v>
      </c>
      <c r="BB123" s="31">
        <v>2400</v>
      </c>
      <c r="BC123" s="31">
        <v>2400</v>
      </c>
      <c r="BD123" s="31">
        <v>2400</v>
      </c>
      <c r="BE123" s="31">
        <v>2400</v>
      </c>
      <c r="BF123" s="12">
        <f>SUM(Y123:BE123)</f>
        <v>173800</v>
      </c>
    </row>
    <row r="124" spans="2:58" ht="22" customHeight="1">
      <c r="B124" s="102"/>
      <c r="C124" s="102"/>
      <c r="D124" s="102"/>
      <c r="E124" s="102"/>
      <c r="F124" s="102"/>
      <c r="G124" s="102"/>
      <c r="H124" s="102"/>
      <c r="I124" s="102"/>
      <c r="J124" s="102"/>
      <c r="K124" s="102"/>
      <c r="L124" s="102"/>
      <c r="M124" s="102"/>
      <c r="N124" s="102"/>
      <c r="O124" s="102"/>
      <c r="P124" s="102"/>
      <c r="Q124" s="102"/>
      <c r="R124" s="102"/>
      <c r="S124" s="102"/>
      <c r="T124" s="9"/>
      <c r="U124" s="9"/>
      <c r="V124" s="9"/>
      <c r="W124" s="9"/>
      <c r="X124" s="7" t="s">
        <v>11</v>
      </c>
      <c r="Y124" s="3">
        <f t="shared" ref="Y124:BF124" si="49">Y122-Y121</f>
        <v>-2</v>
      </c>
      <c r="Z124" s="3">
        <f t="shared" si="49"/>
        <v>-3</v>
      </c>
      <c r="AA124" s="3">
        <f t="shared" si="49"/>
        <v>-2</v>
      </c>
      <c r="AB124" s="3">
        <f t="shared" si="49"/>
        <v>-2</v>
      </c>
      <c r="AC124" s="3">
        <f t="shared" si="49"/>
        <v>-2</v>
      </c>
      <c r="AD124" s="3">
        <f t="shared" si="49"/>
        <v>-2</v>
      </c>
      <c r="AE124" s="3">
        <f t="shared" si="49"/>
        <v>-2</v>
      </c>
      <c r="AF124" s="3">
        <f t="shared" si="49"/>
        <v>-2</v>
      </c>
      <c r="AG124" s="3">
        <f t="shared" si="49"/>
        <v>-3</v>
      </c>
      <c r="AH124" s="3">
        <f t="shared" si="49"/>
        <v>-2</v>
      </c>
      <c r="AI124" s="3">
        <f t="shared" si="49"/>
        <v>-1</v>
      </c>
      <c r="AJ124" s="3">
        <f t="shared" si="49"/>
        <v>0</v>
      </c>
      <c r="AK124" s="3">
        <f t="shared" si="49"/>
        <v>0</v>
      </c>
      <c r="AL124" s="3">
        <f t="shared" si="49"/>
        <v>0</v>
      </c>
      <c r="AM124" s="3">
        <f t="shared" si="49"/>
        <v>0</v>
      </c>
      <c r="AN124" s="3">
        <f t="shared" si="49"/>
        <v>-1</v>
      </c>
      <c r="AO124" s="3">
        <f t="shared" si="49"/>
        <v>-1</v>
      </c>
      <c r="AP124" s="3">
        <f t="shared" si="49"/>
        <v>0</v>
      </c>
      <c r="AQ124" s="3">
        <f t="shared" si="49"/>
        <v>0</v>
      </c>
      <c r="AR124" s="3">
        <f t="shared" si="49"/>
        <v>0</v>
      </c>
      <c r="AS124" s="3">
        <f t="shared" si="49"/>
        <v>0</v>
      </c>
      <c r="AT124" s="3">
        <f t="shared" si="49"/>
        <v>0</v>
      </c>
      <c r="AU124" s="3">
        <f t="shared" si="49"/>
        <v>-1</v>
      </c>
      <c r="AV124" s="3">
        <f t="shared" si="49"/>
        <v>-1</v>
      </c>
      <c r="AW124" s="3">
        <f t="shared" si="49"/>
        <v>-1</v>
      </c>
      <c r="AX124" s="3">
        <f t="shared" si="49"/>
        <v>0</v>
      </c>
      <c r="AY124" s="3">
        <f t="shared" si="49"/>
        <v>0</v>
      </c>
      <c r="AZ124" s="3">
        <f t="shared" si="49"/>
        <v>0</v>
      </c>
      <c r="BA124" s="3">
        <f t="shared" si="49"/>
        <v>0</v>
      </c>
      <c r="BB124" s="3">
        <f t="shared" si="49"/>
        <v>-1</v>
      </c>
      <c r="BC124" s="3">
        <f t="shared" si="49"/>
        <v>-1</v>
      </c>
      <c r="BD124" s="3">
        <f t="shared" si="49"/>
        <v>0</v>
      </c>
      <c r="BE124" s="3">
        <f t="shared" si="49"/>
        <v>0</v>
      </c>
      <c r="BF124" s="10">
        <f t="shared" si="49"/>
        <v>-30</v>
      </c>
    </row>
    <row r="125" spans="2:58" ht="22" customHeight="1">
      <c r="B125" s="107">
        <v>30</v>
      </c>
      <c r="C125" s="117" t="s">
        <v>96</v>
      </c>
      <c r="D125" s="108" t="s">
        <v>97</v>
      </c>
      <c r="E125" s="103"/>
      <c r="F125" s="109"/>
      <c r="G125" s="106">
        <f>SUM(Y125:AZ125)</f>
        <v>42</v>
      </c>
      <c r="H125" s="106">
        <f>SUM(Y126:AZ126)</f>
        <v>0</v>
      </c>
      <c r="I125" s="111"/>
      <c r="J125" s="112">
        <f>IFERROR(H125/G125,0)</f>
        <v>0</v>
      </c>
      <c r="K125" s="110">
        <v>0.46875</v>
      </c>
      <c r="L125" s="110">
        <v>0.46875</v>
      </c>
      <c r="M125" s="111"/>
      <c r="N125" s="111"/>
      <c r="O125" s="111"/>
      <c r="P125" s="111"/>
      <c r="Q125" s="111"/>
      <c r="R125" s="111"/>
      <c r="S125" s="103" t="s">
        <v>37</v>
      </c>
      <c r="T125" s="39"/>
      <c r="U125" s="39"/>
      <c r="V125" s="39"/>
      <c r="W125" s="39"/>
      <c r="X125" s="33" t="s">
        <v>31</v>
      </c>
      <c r="Y125" s="40">
        <v>1</v>
      </c>
      <c r="Z125" s="40">
        <v>1</v>
      </c>
      <c r="AA125" s="40">
        <v>1</v>
      </c>
      <c r="AB125" s="40">
        <v>1</v>
      </c>
      <c r="AC125" s="40">
        <v>1</v>
      </c>
      <c r="AD125" s="40">
        <v>1</v>
      </c>
      <c r="AE125" s="40">
        <v>1</v>
      </c>
      <c r="AF125" s="40">
        <v>1</v>
      </c>
      <c r="AG125" s="40">
        <v>5</v>
      </c>
      <c r="AH125" s="40">
        <v>6</v>
      </c>
      <c r="AI125" s="40">
        <v>1</v>
      </c>
      <c r="AJ125" s="40">
        <v>1</v>
      </c>
      <c r="AK125" s="40">
        <v>1</v>
      </c>
      <c r="AL125" s="40">
        <v>1</v>
      </c>
      <c r="AM125" s="40">
        <v>1</v>
      </c>
      <c r="AN125" s="40">
        <v>2</v>
      </c>
      <c r="AO125" s="40">
        <v>2</v>
      </c>
      <c r="AP125" s="40">
        <v>1</v>
      </c>
      <c r="AQ125" s="40">
        <v>1</v>
      </c>
      <c r="AR125" s="40">
        <v>1</v>
      </c>
      <c r="AS125" s="40">
        <v>1</v>
      </c>
      <c r="AT125" s="40">
        <v>1</v>
      </c>
      <c r="AU125" s="40">
        <v>2</v>
      </c>
      <c r="AV125" s="40">
        <v>2</v>
      </c>
      <c r="AW125" s="40">
        <v>2</v>
      </c>
      <c r="AX125" s="40">
        <v>1</v>
      </c>
      <c r="AY125" s="40">
        <v>1</v>
      </c>
      <c r="AZ125" s="40">
        <v>1</v>
      </c>
      <c r="BA125" s="40">
        <v>1</v>
      </c>
      <c r="BB125" s="40">
        <v>2</v>
      </c>
      <c r="BC125" s="40">
        <v>2</v>
      </c>
      <c r="BD125" s="40">
        <v>1</v>
      </c>
      <c r="BE125" s="40">
        <v>1</v>
      </c>
      <c r="BF125" s="10">
        <f>SUM(Y125:BE125)</f>
        <v>49</v>
      </c>
    </row>
    <row r="126" spans="2:58" ht="22" customHeight="1">
      <c r="B126" s="101"/>
      <c r="C126" s="101"/>
      <c r="D126" s="101"/>
      <c r="E126" s="101"/>
      <c r="F126" s="101"/>
      <c r="G126" s="101"/>
      <c r="H126" s="101"/>
      <c r="I126" s="101"/>
      <c r="J126" s="101"/>
      <c r="K126" s="101"/>
      <c r="L126" s="101"/>
      <c r="M126" s="101"/>
      <c r="N126" s="101"/>
      <c r="O126" s="101"/>
      <c r="P126" s="101"/>
      <c r="Q126" s="101"/>
      <c r="R126" s="101"/>
      <c r="S126" s="101"/>
      <c r="T126" s="39"/>
      <c r="U126" s="39"/>
      <c r="V126" s="39"/>
      <c r="W126" s="39"/>
      <c r="X126" s="33" t="s">
        <v>10</v>
      </c>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41"/>
      <c r="BB126" s="41"/>
      <c r="BC126" s="41"/>
      <c r="BD126" s="41"/>
      <c r="BE126" s="41"/>
      <c r="BF126" s="10">
        <f>SUM(Y126:BE126)</f>
        <v>0</v>
      </c>
    </row>
    <row r="127" spans="2:58" ht="22" customHeight="1">
      <c r="B127" s="101"/>
      <c r="C127" s="101"/>
      <c r="D127" s="101"/>
      <c r="E127" s="101"/>
      <c r="F127" s="101"/>
      <c r="G127" s="101"/>
      <c r="H127" s="101"/>
      <c r="I127" s="101"/>
      <c r="J127" s="101"/>
      <c r="K127" s="101"/>
      <c r="L127" s="101"/>
      <c r="M127" s="101"/>
      <c r="N127" s="101"/>
      <c r="O127" s="101"/>
      <c r="P127" s="101"/>
      <c r="Q127" s="101"/>
      <c r="R127" s="101"/>
      <c r="S127" s="101"/>
      <c r="T127" s="39"/>
      <c r="U127" s="39"/>
      <c r="V127" s="39"/>
      <c r="W127" s="39"/>
      <c r="X127" s="42" t="s">
        <v>38</v>
      </c>
      <c r="Y127" s="43">
        <v>13000</v>
      </c>
      <c r="Z127" s="43">
        <v>13000</v>
      </c>
      <c r="AA127" s="43">
        <v>13000</v>
      </c>
      <c r="AB127" s="43">
        <v>13000</v>
      </c>
      <c r="AC127" s="43">
        <v>13000</v>
      </c>
      <c r="AD127" s="43">
        <v>13000</v>
      </c>
      <c r="AE127" s="43">
        <v>13000</v>
      </c>
      <c r="AF127" s="43">
        <v>13000</v>
      </c>
      <c r="AG127" s="43">
        <v>13000</v>
      </c>
      <c r="AH127" s="43">
        <v>13000</v>
      </c>
      <c r="AI127" s="43">
        <v>13000</v>
      </c>
      <c r="AJ127" s="43">
        <v>9000</v>
      </c>
      <c r="AK127" s="43">
        <v>9000</v>
      </c>
      <c r="AL127" s="43">
        <v>9000</v>
      </c>
      <c r="AM127" s="43">
        <v>9000</v>
      </c>
      <c r="AN127" s="43">
        <v>9000</v>
      </c>
      <c r="AO127" s="43">
        <v>9000</v>
      </c>
      <c r="AP127" s="43">
        <v>9000</v>
      </c>
      <c r="AQ127" s="43">
        <v>9000</v>
      </c>
      <c r="AR127" s="43">
        <v>9000</v>
      </c>
      <c r="AS127" s="43">
        <v>9000</v>
      </c>
      <c r="AT127" s="43">
        <v>9000</v>
      </c>
      <c r="AU127" s="43">
        <v>9000</v>
      </c>
      <c r="AV127" s="43">
        <v>9000</v>
      </c>
      <c r="AW127" s="43">
        <v>9000</v>
      </c>
      <c r="AX127" s="43">
        <v>9000</v>
      </c>
      <c r="AY127" s="43">
        <v>9000</v>
      </c>
      <c r="AZ127" s="43">
        <v>9000</v>
      </c>
      <c r="BA127" s="43">
        <v>9000</v>
      </c>
      <c r="BB127" s="43">
        <v>9000</v>
      </c>
      <c r="BC127" s="43">
        <v>9000</v>
      </c>
      <c r="BD127" s="43">
        <v>9000</v>
      </c>
      <c r="BE127" s="43">
        <v>9000</v>
      </c>
      <c r="BF127" s="12">
        <f>SUM(Y127:BE127)</f>
        <v>341000</v>
      </c>
    </row>
    <row r="128" spans="2:58" ht="22" customHeight="1">
      <c r="B128" s="102"/>
      <c r="C128" s="102"/>
      <c r="D128" s="102"/>
      <c r="E128" s="102"/>
      <c r="F128" s="102"/>
      <c r="G128" s="102"/>
      <c r="H128" s="102"/>
      <c r="I128" s="102"/>
      <c r="J128" s="102"/>
      <c r="K128" s="102"/>
      <c r="L128" s="102"/>
      <c r="M128" s="102"/>
      <c r="N128" s="102"/>
      <c r="O128" s="102"/>
      <c r="P128" s="102"/>
      <c r="Q128" s="102"/>
      <c r="R128" s="102"/>
      <c r="S128" s="102"/>
      <c r="T128" s="39"/>
      <c r="U128" s="39"/>
      <c r="V128" s="39"/>
      <c r="W128" s="39"/>
      <c r="X128" s="33" t="s">
        <v>11</v>
      </c>
      <c r="Y128" s="36">
        <f t="shared" ref="Y128:BF128" si="50">Y126-Y125</f>
        <v>-1</v>
      </c>
      <c r="Z128" s="36">
        <f t="shared" si="50"/>
        <v>-1</v>
      </c>
      <c r="AA128" s="36">
        <f t="shared" si="50"/>
        <v>-1</v>
      </c>
      <c r="AB128" s="36">
        <f t="shared" si="50"/>
        <v>-1</v>
      </c>
      <c r="AC128" s="36">
        <f t="shared" si="50"/>
        <v>-1</v>
      </c>
      <c r="AD128" s="36">
        <f t="shared" si="50"/>
        <v>-1</v>
      </c>
      <c r="AE128" s="36">
        <f t="shared" si="50"/>
        <v>-1</v>
      </c>
      <c r="AF128" s="36">
        <f t="shared" si="50"/>
        <v>-1</v>
      </c>
      <c r="AG128" s="36">
        <f t="shared" si="50"/>
        <v>-5</v>
      </c>
      <c r="AH128" s="36">
        <f t="shared" si="50"/>
        <v>-6</v>
      </c>
      <c r="AI128" s="36">
        <f t="shared" si="50"/>
        <v>-1</v>
      </c>
      <c r="AJ128" s="36">
        <f t="shared" si="50"/>
        <v>-1</v>
      </c>
      <c r="AK128" s="36">
        <f t="shared" si="50"/>
        <v>-1</v>
      </c>
      <c r="AL128" s="36">
        <f t="shared" si="50"/>
        <v>-1</v>
      </c>
      <c r="AM128" s="36">
        <f t="shared" si="50"/>
        <v>-1</v>
      </c>
      <c r="AN128" s="36">
        <f t="shared" si="50"/>
        <v>-2</v>
      </c>
      <c r="AO128" s="36">
        <f t="shared" si="50"/>
        <v>-2</v>
      </c>
      <c r="AP128" s="36">
        <f t="shared" si="50"/>
        <v>-1</v>
      </c>
      <c r="AQ128" s="36">
        <f t="shared" si="50"/>
        <v>-1</v>
      </c>
      <c r="AR128" s="36">
        <f t="shared" si="50"/>
        <v>-1</v>
      </c>
      <c r="AS128" s="36">
        <f t="shared" si="50"/>
        <v>-1</v>
      </c>
      <c r="AT128" s="36">
        <f t="shared" si="50"/>
        <v>-1</v>
      </c>
      <c r="AU128" s="36">
        <f t="shared" si="50"/>
        <v>-2</v>
      </c>
      <c r="AV128" s="36">
        <f t="shared" si="50"/>
        <v>-2</v>
      </c>
      <c r="AW128" s="36">
        <f t="shared" si="50"/>
        <v>-2</v>
      </c>
      <c r="AX128" s="36">
        <f t="shared" si="50"/>
        <v>-1</v>
      </c>
      <c r="AY128" s="36">
        <f t="shared" si="50"/>
        <v>-1</v>
      </c>
      <c r="AZ128" s="36">
        <f t="shared" si="50"/>
        <v>-1</v>
      </c>
      <c r="BA128" s="36">
        <f t="shared" si="50"/>
        <v>-1</v>
      </c>
      <c r="BB128" s="36">
        <f t="shared" si="50"/>
        <v>-2</v>
      </c>
      <c r="BC128" s="36">
        <f t="shared" si="50"/>
        <v>-2</v>
      </c>
      <c r="BD128" s="36">
        <f t="shared" si="50"/>
        <v>-1</v>
      </c>
      <c r="BE128" s="36">
        <f t="shared" si="50"/>
        <v>-1</v>
      </c>
      <c r="BF128" s="10">
        <f t="shared" si="50"/>
        <v>-49</v>
      </c>
    </row>
    <row r="129" spans="2:58" ht="22" customHeight="1">
      <c r="B129" s="104">
        <v>31</v>
      </c>
      <c r="C129" s="118" t="s">
        <v>98</v>
      </c>
      <c r="D129" s="105" t="s">
        <v>99</v>
      </c>
      <c r="E129" s="115"/>
      <c r="F129" s="119"/>
      <c r="G129" s="114">
        <f>SUM(Y129:AZ129)</f>
        <v>22</v>
      </c>
      <c r="H129" s="114">
        <f>SUM(Y130:AZ130)</f>
        <v>0</v>
      </c>
      <c r="I129" s="100"/>
      <c r="J129" s="116">
        <f>IFERROR(H129/G129,0)</f>
        <v>0</v>
      </c>
      <c r="K129" s="113">
        <v>0.1875</v>
      </c>
      <c r="L129" s="113">
        <v>0.1875</v>
      </c>
      <c r="M129" s="100"/>
      <c r="N129" s="100"/>
      <c r="O129" s="100"/>
      <c r="P129" s="100"/>
      <c r="Q129" s="100"/>
      <c r="R129" s="100"/>
      <c r="S129" s="115" t="s">
        <v>47</v>
      </c>
      <c r="T129" s="9"/>
      <c r="U129" s="9"/>
      <c r="V129" s="9"/>
      <c r="W129" s="9"/>
      <c r="X129" s="7" t="s">
        <v>31</v>
      </c>
      <c r="Y129" s="29">
        <v>1</v>
      </c>
      <c r="Z129" s="29">
        <v>1</v>
      </c>
      <c r="AA129" s="29">
        <v>1</v>
      </c>
      <c r="AB129" s="29">
        <v>1</v>
      </c>
      <c r="AC129" s="29">
        <v>1</v>
      </c>
      <c r="AD129" s="29">
        <v>1</v>
      </c>
      <c r="AE129" s="29">
        <v>1</v>
      </c>
      <c r="AF129" s="29">
        <v>1</v>
      </c>
      <c r="AG129" s="29">
        <v>1</v>
      </c>
      <c r="AH129" s="29">
        <v>1</v>
      </c>
      <c r="AI129" s="29">
        <v>1</v>
      </c>
      <c r="AJ129" s="29">
        <v>1</v>
      </c>
      <c r="AK129" s="29">
        <v>1</v>
      </c>
      <c r="AL129" s="29">
        <v>1</v>
      </c>
      <c r="AM129" s="29">
        <v>1</v>
      </c>
      <c r="AN129" s="29">
        <v>1</v>
      </c>
      <c r="AO129" s="29">
        <v>1</v>
      </c>
      <c r="AP129" s="29">
        <v>1</v>
      </c>
      <c r="AQ129" s="29">
        <v>1</v>
      </c>
      <c r="AR129" s="29">
        <v>0</v>
      </c>
      <c r="AS129" s="29">
        <v>0</v>
      </c>
      <c r="AT129" s="29">
        <v>0</v>
      </c>
      <c r="AU129" s="29">
        <v>0</v>
      </c>
      <c r="AV129" s="29">
        <v>0</v>
      </c>
      <c r="AW129" s="29">
        <v>0</v>
      </c>
      <c r="AX129" s="29">
        <v>1</v>
      </c>
      <c r="AY129" s="29">
        <v>1</v>
      </c>
      <c r="AZ129" s="29">
        <v>1</v>
      </c>
      <c r="BA129" s="29">
        <v>1</v>
      </c>
      <c r="BB129" s="29">
        <v>0</v>
      </c>
      <c r="BC129" s="29">
        <v>0</v>
      </c>
      <c r="BD129" s="29">
        <v>1</v>
      </c>
      <c r="BE129" s="29">
        <v>1</v>
      </c>
      <c r="BF129" s="10">
        <f>SUM(Y129:BE129)</f>
        <v>25</v>
      </c>
    </row>
    <row r="130" spans="2:58" ht="22" customHeight="1">
      <c r="B130" s="101"/>
      <c r="C130" s="101"/>
      <c r="D130" s="101"/>
      <c r="E130" s="101"/>
      <c r="F130" s="101"/>
      <c r="G130" s="101"/>
      <c r="H130" s="101"/>
      <c r="I130" s="101"/>
      <c r="J130" s="101"/>
      <c r="K130" s="101"/>
      <c r="L130" s="101"/>
      <c r="M130" s="101"/>
      <c r="N130" s="101"/>
      <c r="O130" s="101"/>
      <c r="P130" s="101"/>
      <c r="Q130" s="101"/>
      <c r="R130" s="101"/>
      <c r="S130" s="101"/>
      <c r="T130" s="9"/>
      <c r="U130" s="9"/>
      <c r="V130" s="9"/>
      <c r="W130" s="9"/>
      <c r="X130" s="7" t="s">
        <v>10</v>
      </c>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0">
        <f>SUM(Y130:BE130)</f>
        <v>0</v>
      </c>
    </row>
    <row r="131" spans="2:58" ht="22" customHeight="1">
      <c r="B131" s="102"/>
      <c r="C131" s="102"/>
      <c r="D131" s="102"/>
      <c r="E131" s="102"/>
      <c r="F131" s="102"/>
      <c r="G131" s="102"/>
      <c r="H131" s="102"/>
      <c r="I131" s="102"/>
      <c r="J131" s="102"/>
      <c r="K131" s="102"/>
      <c r="L131" s="102"/>
      <c r="M131" s="102"/>
      <c r="N131" s="102"/>
      <c r="O131" s="102"/>
      <c r="P131" s="102"/>
      <c r="Q131" s="102"/>
      <c r="R131" s="102"/>
      <c r="S131" s="102"/>
      <c r="T131" s="9"/>
      <c r="U131" s="9"/>
      <c r="V131" s="9"/>
      <c r="W131" s="9"/>
      <c r="X131" s="7" t="s">
        <v>11</v>
      </c>
      <c r="Y131" s="3">
        <f t="shared" ref="Y131:BF131" si="51">Y130-Y129</f>
        <v>-1</v>
      </c>
      <c r="Z131" s="3">
        <f t="shared" si="51"/>
        <v>-1</v>
      </c>
      <c r="AA131" s="3">
        <f t="shared" si="51"/>
        <v>-1</v>
      </c>
      <c r="AB131" s="3">
        <f t="shared" si="51"/>
        <v>-1</v>
      </c>
      <c r="AC131" s="3">
        <f t="shared" si="51"/>
        <v>-1</v>
      </c>
      <c r="AD131" s="3">
        <f t="shared" si="51"/>
        <v>-1</v>
      </c>
      <c r="AE131" s="3">
        <f t="shared" si="51"/>
        <v>-1</v>
      </c>
      <c r="AF131" s="3">
        <f t="shared" si="51"/>
        <v>-1</v>
      </c>
      <c r="AG131" s="3">
        <f t="shared" si="51"/>
        <v>-1</v>
      </c>
      <c r="AH131" s="3">
        <f t="shared" si="51"/>
        <v>-1</v>
      </c>
      <c r="AI131" s="3">
        <f t="shared" si="51"/>
        <v>-1</v>
      </c>
      <c r="AJ131" s="3">
        <f t="shared" si="51"/>
        <v>-1</v>
      </c>
      <c r="AK131" s="3">
        <f t="shared" si="51"/>
        <v>-1</v>
      </c>
      <c r="AL131" s="3">
        <f t="shared" si="51"/>
        <v>-1</v>
      </c>
      <c r="AM131" s="3">
        <f t="shared" si="51"/>
        <v>-1</v>
      </c>
      <c r="AN131" s="3">
        <f t="shared" si="51"/>
        <v>-1</v>
      </c>
      <c r="AO131" s="3">
        <f t="shared" si="51"/>
        <v>-1</v>
      </c>
      <c r="AP131" s="3">
        <f t="shared" si="51"/>
        <v>-1</v>
      </c>
      <c r="AQ131" s="3">
        <f t="shared" si="51"/>
        <v>-1</v>
      </c>
      <c r="AR131" s="3">
        <f t="shared" si="51"/>
        <v>0</v>
      </c>
      <c r="AS131" s="3">
        <f t="shared" si="51"/>
        <v>0</v>
      </c>
      <c r="AT131" s="3">
        <f t="shared" si="51"/>
        <v>0</v>
      </c>
      <c r="AU131" s="3">
        <f t="shared" si="51"/>
        <v>0</v>
      </c>
      <c r="AV131" s="3">
        <f t="shared" si="51"/>
        <v>0</v>
      </c>
      <c r="AW131" s="3">
        <f t="shared" si="51"/>
        <v>0</v>
      </c>
      <c r="AX131" s="3">
        <f t="shared" si="51"/>
        <v>-1</v>
      </c>
      <c r="AY131" s="3">
        <f t="shared" si="51"/>
        <v>-1</v>
      </c>
      <c r="AZ131" s="3">
        <f t="shared" si="51"/>
        <v>-1</v>
      </c>
      <c r="BA131" s="3">
        <f t="shared" si="51"/>
        <v>-1</v>
      </c>
      <c r="BB131" s="3">
        <f t="shared" si="51"/>
        <v>0</v>
      </c>
      <c r="BC131" s="3">
        <f t="shared" si="51"/>
        <v>0</v>
      </c>
      <c r="BD131" s="3">
        <f t="shared" si="51"/>
        <v>-1</v>
      </c>
      <c r="BE131" s="3">
        <f t="shared" si="51"/>
        <v>-1</v>
      </c>
      <c r="BF131" s="10">
        <f t="shared" si="51"/>
        <v>-25</v>
      </c>
    </row>
    <row r="132" spans="2:58" ht="22" customHeight="1">
      <c r="B132" s="107">
        <v>32</v>
      </c>
      <c r="C132" s="117" t="s">
        <v>100</v>
      </c>
      <c r="D132" s="108" t="s">
        <v>101</v>
      </c>
      <c r="E132" s="103"/>
      <c r="F132" s="109"/>
      <c r="G132" s="106">
        <f>SUM(Y132:AZ132)</f>
        <v>67</v>
      </c>
      <c r="H132" s="106">
        <f>SUM(Y133:AZ133)</f>
        <v>0</v>
      </c>
      <c r="I132" s="111"/>
      <c r="J132" s="112">
        <f>IFERROR(H132/G132,0)</f>
        <v>0</v>
      </c>
      <c r="K132" s="110">
        <v>0.4</v>
      </c>
      <c r="L132" s="110">
        <v>0.4</v>
      </c>
      <c r="M132" s="111"/>
      <c r="N132" s="111"/>
      <c r="O132" s="111"/>
      <c r="P132" s="111"/>
      <c r="Q132" s="111"/>
      <c r="R132" s="111"/>
      <c r="S132" s="103" t="s">
        <v>37</v>
      </c>
      <c r="T132" s="39"/>
      <c r="U132" s="39"/>
      <c r="V132" s="39"/>
      <c r="W132" s="39"/>
      <c r="X132" s="33" t="s">
        <v>31</v>
      </c>
      <c r="Y132" s="40">
        <v>4</v>
      </c>
      <c r="Z132" s="40">
        <v>4</v>
      </c>
      <c r="AA132" s="40">
        <v>4</v>
      </c>
      <c r="AB132" s="40">
        <v>4</v>
      </c>
      <c r="AC132" s="40">
        <v>4</v>
      </c>
      <c r="AD132" s="40">
        <v>4</v>
      </c>
      <c r="AE132" s="40">
        <v>4</v>
      </c>
      <c r="AF132" s="40">
        <v>4</v>
      </c>
      <c r="AG132" s="40">
        <v>4</v>
      </c>
      <c r="AH132" s="40">
        <v>4</v>
      </c>
      <c r="AI132" s="40">
        <v>4</v>
      </c>
      <c r="AJ132" s="40">
        <v>1</v>
      </c>
      <c r="AK132" s="40">
        <v>1</v>
      </c>
      <c r="AL132" s="40">
        <v>1</v>
      </c>
      <c r="AM132" s="40">
        <v>1</v>
      </c>
      <c r="AN132" s="40">
        <v>2</v>
      </c>
      <c r="AO132" s="40">
        <v>2</v>
      </c>
      <c r="AP132" s="40">
        <v>1</v>
      </c>
      <c r="AQ132" s="40">
        <v>1</v>
      </c>
      <c r="AR132" s="40">
        <v>1</v>
      </c>
      <c r="AS132" s="40">
        <v>1</v>
      </c>
      <c r="AT132" s="40">
        <v>1</v>
      </c>
      <c r="AU132" s="40">
        <v>2</v>
      </c>
      <c r="AV132" s="40">
        <v>2</v>
      </c>
      <c r="AW132" s="40">
        <v>2</v>
      </c>
      <c r="AX132" s="40">
        <v>2</v>
      </c>
      <c r="AY132" s="40">
        <v>1</v>
      </c>
      <c r="AZ132" s="40">
        <v>1</v>
      </c>
      <c r="BA132" s="40">
        <v>1</v>
      </c>
      <c r="BB132" s="40">
        <v>2</v>
      </c>
      <c r="BC132" s="40">
        <v>2</v>
      </c>
      <c r="BD132" s="40">
        <v>1</v>
      </c>
      <c r="BE132" s="40">
        <v>1</v>
      </c>
      <c r="BF132" s="10">
        <f>SUM(Y132:BE132)</f>
        <v>74</v>
      </c>
    </row>
    <row r="133" spans="2:58" ht="22" customHeight="1">
      <c r="B133" s="101"/>
      <c r="C133" s="101"/>
      <c r="D133" s="101"/>
      <c r="E133" s="101"/>
      <c r="F133" s="101"/>
      <c r="G133" s="101"/>
      <c r="H133" s="101"/>
      <c r="I133" s="101"/>
      <c r="J133" s="101"/>
      <c r="K133" s="101"/>
      <c r="L133" s="101"/>
      <c r="M133" s="101"/>
      <c r="N133" s="101"/>
      <c r="O133" s="101"/>
      <c r="P133" s="101"/>
      <c r="Q133" s="101"/>
      <c r="R133" s="101"/>
      <c r="S133" s="101"/>
      <c r="T133" s="39"/>
      <c r="U133" s="39"/>
      <c r="V133" s="39"/>
      <c r="W133" s="39"/>
      <c r="X133" s="33" t="s">
        <v>10</v>
      </c>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41"/>
      <c r="BB133" s="41"/>
      <c r="BC133" s="41"/>
      <c r="BD133" s="41"/>
      <c r="BE133" s="41"/>
      <c r="BF133" s="10">
        <f>SUM(Y133:BE133)</f>
        <v>0</v>
      </c>
    </row>
    <row r="134" spans="2:58" ht="22" customHeight="1">
      <c r="B134" s="101"/>
      <c r="C134" s="101"/>
      <c r="D134" s="101"/>
      <c r="E134" s="101"/>
      <c r="F134" s="101"/>
      <c r="G134" s="101"/>
      <c r="H134" s="101"/>
      <c r="I134" s="101"/>
      <c r="J134" s="101"/>
      <c r="K134" s="101"/>
      <c r="L134" s="101"/>
      <c r="M134" s="101"/>
      <c r="N134" s="101"/>
      <c r="O134" s="101"/>
      <c r="P134" s="101"/>
      <c r="Q134" s="101"/>
      <c r="R134" s="101"/>
      <c r="S134" s="101"/>
      <c r="T134" s="39"/>
      <c r="U134" s="39"/>
      <c r="V134" s="39"/>
      <c r="W134" s="39"/>
      <c r="X134" s="42" t="s">
        <v>38</v>
      </c>
      <c r="Y134" s="43">
        <v>13000</v>
      </c>
      <c r="Z134" s="43">
        <v>13000</v>
      </c>
      <c r="AA134" s="43">
        <v>13000</v>
      </c>
      <c r="AB134" s="43">
        <v>13000</v>
      </c>
      <c r="AC134" s="43">
        <v>13000</v>
      </c>
      <c r="AD134" s="43">
        <v>13000</v>
      </c>
      <c r="AE134" s="43">
        <v>13000</v>
      </c>
      <c r="AF134" s="43">
        <v>13000</v>
      </c>
      <c r="AG134" s="43">
        <v>13000</v>
      </c>
      <c r="AH134" s="43">
        <v>13000</v>
      </c>
      <c r="AI134" s="43">
        <v>13000</v>
      </c>
      <c r="AJ134" s="43">
        <v>9000</v>
      </c>
      <c r="AK134" s="43">
        <v>9000</v>
      </c>
      <c r="AL134" s="43">
        <v>9000</v>
      </c>
      <c r="AM134" s="43">
        <v>9000</v>
      </c>
      <c r="AN134" s="43">
        <v>9000</v>
      </c>
      <c r="AO134" s="43">
        <v>9000</v>
      </c>
      <c r="AP134" s="43">
        <v>9000</v>
      </c>
      <c r="AQ134" s="43">
        <v>9000</v>
      </c>
      <c r="AR134" s="43">
        <v>9000</v>
      </c>
      <c r="AS134" s="43">
        <v>9000</v>
      </c>
      <c r="AT134" s="43">
        <v>9000</v>
      </c>
      <c r="AU134" s="43">
        <v>9000</v>
      </c>
      <c r="AV134" s="43">
        <v>9000</v>
      </c>
      <c r="AW134" s="43">
        <v>9000</v>
      </c>
      <c r="AX134" s="43">
        <v>9000</v>
      </c>
      <c r="AY134" s="43">
        <v>9000</v>
      </c>
      <c r="AZ134" s="43">
        <v>9000</v>
      </c>
      <c r="BA134" s="43">
        <v>9000</v>
      </c>
      <c r="BB134" s="43">
        <v>9000</v>
      </c>
      <c r="BC134" s="43">
        <v>9000</v>
      </c>
      <c r="BD134" s="43">
        <v>9000</v>
      </c>
      <c r="BE134" s="43">
        <v>9000</v>
      </c>
      <c r="BF134" s="12">
        <f>SUM(Y134:BE134)</f>
        <v>341000</v>
      </c>
    </row>
    <row r="135" spans="2:58" ht="22" customHeight="1">
      <c r="B135" s="102"/>
      <c r="C135" s="102"/>
      <c r="D135" s="102"/>
      <c r="E135" s="102"/>
      <c r="F135" s="102"/>
      <c r="G135" s="102"/>
      <c r="H135" s="102"/>
      <c r="I135" s="102"/>
      <c r="J135" s="102"/>
      <c r="K135" s="102"/>
      <c r="L135" s="102"/>
      <c r="M135" s="102"/>
      <c r="N135" s="102"/>
      <c r="O135" s="102"/>
      <c r="P135" s="102"/>
      <c r="Q135" s="102"/>
      <c r="R135" s="102"/>
      <c r="S135" s="102"/>
      <c r="T135" s="39"/>
      <c r="U135" s="39"/>
      <c r="V135" s="39"/>
      <c r="W135" s="39"/>
      <c r="X135" s="33" t="s">
        <v>11</v>
      </c>
      <c r="Y135" s="36">
        <f t="shared" ref="Y135:BF135" si="52">Y133-Y132</f>
        <v>-4</v>
      </c>
      <c r="Z135" s="36">
        <f t="shared" si="52"/>
        <v>-4</v>
      </c>
      <c r="AA135" s="36">
        <f t="shared" si="52"/>
        <v>-4</v>
      </c>
      <c r="AB135" s="36">
        <f t="shared" si="52"/>
        <v>-4</v>
      </c>
      <c r="AC135" s="36">
        <f t="shared" si="52"/>
        <v>-4</v>
      </c>
      <c r="AD135" s="36">
        <f t="shared" si="52"/>
        <v>-4</v>
      </c>
      <c r="AE135" s="36">
        <f t="shared" si="52"/>
        <v>-4</v>
      </c>
      <c r="AF135" s="36">
        <f t="shared" si="52"/>
        <v>-4</v>
      </c>
      <c r="AG135" s="36">
        <f t="shared" si="52"/>
        <v>-4</v>
      </c>
      <c r="AH135" s="36">
        <f t="shared" si="52"/>
        <v>-4</v>
      </c>
      <c r="AI135" s="36">
        <f t="shared" si="52"/>
        <v>-4</v>
      </c>
      <c r="AJ135" s="36">
        <f t="shared" si="52"/>
        <v>-1</v>
      </c>
      <c r="AK135" s="36">
        <f t="shared" si="52"/>
        <v>-1</v>
      </c>
      <c r="AL135" s="36">
        <f t="shared" si="52"/>
        <v>-1</v>
      </c>
      <c r="AM135" s="36">
        <f t="shared" si="52"/>
        <v>-1</v>
      </c>
      <c r="AN135" s="36">
        <f t="shared" si="52"/>
        <v>-2</v>
      </c>
      <c r="AO135" s="36">
        <f t="shared" si="52"/>
        <v>-2</v>
      </c>
      <c r="AP135" s="36">
        <f t="shared" si="52"/>
        <v>-1</v>
      </c>
      <c r="AQ135" s="36">
        <f t="shared" si="52"/>
        <v>-1</v>
      </c>
      <c r="AR135" s="36">
        <f t="shared" si="52"/>
        <v>-1</v>
      </c>
      <c r="AS135" s="36">
        <f t="shared" si="52"/>
        <v>-1</v>
      </c>
      <c r="AT135" s="36">
        <f t="shared" si="52"/>
        <v>-1</v>
      </c>
      <c r="AU135" s="36">
        <f t="shared" si="52"/>
        <v>-2</v>
      </c>
      <c r="AV135" s="36">
        <f t="shared" si="52"/>
        <v>-2</v>
      </c>
      <c r="AW135" s="36">
        <f t="shared" si="52"/>
        <v>-2</v>
      </c>
      <c r="AX135" s="36">
        <f t="shared" si="52"/>
        <v>-2</v>
      </c>
      <c r="AY135" s="36">
        <f t="shared" si="52"/>
        <v>-1</v>
      </c>
      <c r="AZ135" s="36">
        <f t="shared" si="52"/>
        <v>-1</v>
      </c>
      <c r="BA135" s="36">
        <f t="shared" si="52"/>
        <v>-1</v>
      </c>
      <c r="BB135" s="36">
        <f t="shared" si="52"/>
        <v>-2</v>
      </c>
      <c r="BC135" s="36">
        <f t="shared" si="52"/>
        <v>-2</v>
      </c>
      <c r="BD135" s="36">
        <f t="shared" si="52"/>
        <v>-1</v>
      </c>
      <c r="BE135" s="36">
        <f t="shared" si="52"/>
        <v>-1</v>
      </c>
      <c r="BF135" s="10">
        <f t="shared" si="52"/>
        <v>-74</v>
      </c>
    </row>
    <row r="136" spans="2:58" ht="22" customHeight="1">
      <c r="B136" s="104">
        <v>33</v>
      </c>
      <c r="C136" s="118" t="s">
        <v>102</v>
      </c>
      <c r="D136" s="105" t="s">
        <v>103</v>
      </c>
      <c r="E136" s="115"/>
      <c r="F136" s="119"/>
      <c r="G136" s="114">
        <f>SUM(Y136:AZ136)</f>
        <v>78</v>
      </c>
      <c r="H136" s="114">
        <f>SUM(Y137:AZ137)</f>
        <v>0</v>
      </c>
      <c r="I136" s="100"/>
      <c r="J136" s="116">
        <f>IFERROR(H136/G136,0)</f>
        <v>0</v>
      </c>
      <c r="K136" s="113">
        <v>0.21917808219178081</v>
      </c>
      <c r="L136" s="113">
        <v>0.21917808219178081</v>
      </c>
      <c r="M136" s="100"/>
      <c r="N136" s="100"/>
      <c r="O136" s="100"/>
      <c r="P136" s="100"/>
      <c r="Q136" s="100"/>
      <c r="R136" s="100"/>
      <c r="S136" s="115" t="s">
        <v>47</v>
      </c>
      <c r="T136" s="9"/>
      <c r="U136" s="9"/>
      <c r="V136" s="9"/>
      <c r="W136" s="9"/>
      <c r="X136" s="7" t="s">
        <v>31</v>
      </c>
      <c r="Y136" s="29">
        <v>5</v>
      </c>
      <c r="Z136" s="29">
        <v>5</v>
      </c>
      <c r="AA136" s="29">
        <v>5</v>
      </c>
      <c r="AB136" s="29">
        <v>5</v>
      </c>
      <c r="AC136" s="29">
        <v>5</v>
      </c>
      <c r="AD136" s="29">
        <v>5</v>
      </c>
      <c r="AE136" s="29">
        <v>5</v>
      </c>
      <c r="AF136" s="29">
        <v>5</v>
      </c>
      <c r="AG136" s="29">
        <v>5</v>
      </c>
      <c r="AH136" s="29">
        <v>5</v>
      </c>
      <c r="AI136" s="29">
        <v>5</v>
      </c>
      <c r="AJ136" s="29">
        <v>1</v>
      </c>
      <c r="AK136" s="29">
        <v>1</v>
      </c>
      <c r="AL136" s="29">
        <v>1</v>
      </c>
      <c r="AM136" s="29">
        <v>1</v>
      </c>
      <c r="AN136" s="29">
        <v>2</v>
      </c>
      <c r="AO136" s="29">
        <v>2</v>
      </c>
      <c r="AP136" s="29">
        <v>1</v>
      </c>
      <c r="AQ136" s="29">
        <v>1</v>
      </c>
      <c r="AR136" s="29">
        <v>1</v>
      </c>
      <c r="AS136" s="29">
        <v>1</v>
      </c>
      <c r="AT136" s="29">
        <v>1</v>
      </c>
      <c r="AU136" s="29">
        <v>2</v>
      </c>
      <c r="AV136" s="29">
        <v>2</v>
      </c>
      <c r="AW136" s="29">
        <v>2</v>
      </c>
      <c r="AX136" s="29">
        <v>2</v>
      </c>
      <c r="AY136" s="29">
        <v>1</v>
      </c>
      <c r="AZ136" s="29">
        <v>1</v>
      </c>
      <c r="BA136" s="29">
        <v>1</v>
      </c>
      <c r="BB136" s="29">
        <v>2</v>
      </c>
      <c r="BC136" s="29">
        <v>2</v>
      </c>
      <c r="BD136" s="29">
        <v>1</v>
      </c>
      <c r="BE136" s="29">
        <v>1</v>
      </c>
      <c r="BF136" s="10">
        <f>SUM(Y136:BE136)</f>
        <v>85</v>
      </c>
    </row>
    <row r="137" spans="2:58" ht="22" customHeight="1">
      <c r="B137" s="101"/>
      <c r="C137" s="101"/>
      <c r="D137" s="101"/>
      <c r="E137" s="101"/>
      <c r="F137" s="101"/>
      <c r="G137" s="101"/>
      <c r="H137" s="101"/>
      <c r="I137" s="101"/>
      <c r="J137" s="101"/>
      <c r="K137" s="101"/>
      <c r="L137" s="101"/>
      <c r="M137" s="101"/>
      <c r="N137" s="101"/>
      <c r="O137" s="101"/>
      <c r="P137" s="101"/>
      <c r="Q137" s="101"/>
      <c r="R137" s="101"/>
      <c r="S137" s="101"/>
      <c r="T137" s="9"/>
      <c r="U137" s="9"/>
      <c r="V137" s="9"/>
      <c r="W137" s="9"/>
      <c r="X137" s="7" t="s">
        <v>10</v>
      </c>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0">
        <f>SUM(Y137:BE137)</f>
        <v>0</v>
      </c>
    </row>
    <row r="138" spans="2:58" ht="22" customHeight="1">
      <c r="B138" s="102"/>
      <c r="C138" s="102"/>
      <c r="D138" s="102"/>
      <c r="E138" s="102"/>
      <c r="F138" s="102"/>
      <c r="G138" s="102"/>
      <c r="H138" s="102"/>
      <c r="I138" s="102"/>
      <c r="J138" s="102"/>
      <c r="K138" s="102"/>
      <c r="L138" s="102"/>
      <c r="M138" s="102"/>
      <c r="N138" s="102"/>
      <c r="O138" s="102"/>
      <c r="P138" s="102"/>
      <c r="Q138" s="102"/>
      <c r="R138" s="102"/>
      <c r="S138" s="102"/>
      <c r="T138" s="9"/>
      <c r="U138" s="9"/>
      <c r="V138" s="9"/>
      <c r="W138" s="9"/>
      <c r="X138" s="7" t="s">
        <v>11</v>
      </c>
      <c r="Y138" s="3">
        <f t="shared" ref="Y138:BF138" si="53">Y137-Y136</f>
        <v>-5</v>
      </c>
      <c r="Z138" s="3">
        <f t="shared" si="53"/>
        <v>-5</v>
      </c>
      <c r="AA138" s="3">
        <f t="shared" si="53"/>
        <v>-5</v>
      </c>
      <c r="AB138" s="3">
        <f t="shared" si="53"/>
        <v>-5</v>
      </c>
      <c r="AC138" s="3">
        <f t="shared" si="53"/>
        <v>-5</v>
      </c>
      <c r="AD138" s="3">
        <f t="shared" si="53"/>
        <v>-5</v>
      </c>
      <c r="AE138" s="3">
        <f t="shared" si="53"/>
        <v>-5</v>
      </c>
      <c r="AF138" s="3">
        <f t="shared" si="53"/>
        <v>-5</v>
      </c>
      <c r="AG138" s="3">
        <f t="shared" si="53"/>
        <v>-5</v>
      </c>
      <c r="AH138" s="3">
        <f t="shared" si="53"/>
        <v>-5</v>
      </c>
      <c r="AI138" s="3">
        <f t="shared" si="53"/>
        <v>-5</v>
      </c>
      <c r="AJ138" s="3">
        <f t="shared" si="53"/>
        <v>-1</v>
      </c>
      <c r="AK138" s="3">
        <f t="shared" si="53"/>
        <v>-1</v>
      </c>
      <c r="AL138" s="3">
        <f t="shared" si="53"/>
        <v>-1</v>
      </c>
      <c r="AM138" s="3">
        <f t="shared" si="53"/>
        <v>-1</v>
      </c>
      <c r="AN138" s="3">
        <f t="shared" si="53"/>
        <v>-2</v>
      </c>
      <c r="AO138" s="3">
        <f t="shared" si="53"/>
        <v>-2</v>
      </c>
      <c r="AP138" s="3">
        <f t="shared" si="53"/>
        <v>-1</v>
      </c>
      <c r="AQ138" s="3">
        <f t="shared" si="53"/>
        <v>-1</v>
      </c>
      <c r="AR138" s="3">
        <f t="shared" si="53"/>
        <v>-1</v>
      </c>
      <c r="AS138" s="3">
        <f t="shared" si="53"/>
        <v>-1</v>
      </c>
      <c r="AT138" s="3">
        <f t="shared" si="53"/>
        <v>-1</v>
      </c>
      <c r="AU138" s="3">
        <f t="shared" si="53"/>
        <v>-2</v>
      </c>
      <c r="AV138" s="3">
        <f t="shared" si="53"/>
        <v>-2</v>
      </c>
      <c r="AW138" s="3">
        <f t="shared" si="53"/>
        <v>-2</v>
      </c>
      <c r="AX138" s="3">
        <f t="shared" si="53"/>
        <v>-2</v>
      </c>
      <c r="AY138" s="3">
        <f t="shared" si="53"/>
        <v>-1</v>
      </c>
      <c r="AZ138" s="3">
        <f t="shared" si="53"/>
        <v>-1</v>
      </c>
      <c r="BA138" s="3">
        <f t="shared" si="53"/>
        <v>-1</v>
      </c>
      <c r="BB138" s="3">
        <f t="shared" si="53"/>
        <v>-2</v>
      </c>
      <c r="BC138" s="3">
        <f t="shared" si="53"/>
        <v>-2</v>
      </c>
      <c r="BD138" s="3">
        <f t="shared" si="53"/>
        <v>-1</v>
      </c>
      <c r="BE138" s="3">
        <f t="shared" si="53"/>
        <v>-1</v>
      </c>
      <c r="BF138" s="10">
        <f t="shared" si="53"/>
        <v>-85</v>
      </c>
    </row>
    <row r="139" spans="2:58" ht="22" customHeight="1">
      <c r="B139" s="107">
        <v>34</v>
      </c>
      <c r="C139" s="117" t="s">
        <v>104</v>
      </c>
      <c r="D139" s="108" t="s">
        <v>105</v>
      </c>
      <c r="E139" s="103"/>
      <c r="F139" s="109"/>
      <c r="G139" s="106">
        <f>SUM(Y139:AZ139)</f>
        <v>22</v>
      </c>
      <c r="H139" s="106">
        <f>SUM(Y140:AZ140)</f>
        <v>0</v>
      </c>
      <c r="I139" s="111"/>
      <c r="J139" s="112">
        <f>IFERROR(H139/G139,0)</f>
        <v>0</v>
      </c>
      <c r="K139" s="110">
        <v>7.3529411764705885E-2</v>
      </c>
      <c r="L139" s="110">
        <v>7.3529411764705885E-2</v>
      </c>
      <c r="M139" s="111"/>
      <c r="N139" s="111"/>
      <c r="O139" s="111"/>
      <c r="P139" s="111"/>
      <c r="Q139" s="111"/>
      <c r="R139" s="111"/>
      <c r="S139" s="103" t="s">
        <v>47</v>
      </c>
      <c r="T139" s="39"/>
      <c r="U139" s="39"/>
      <c r="V139" s="39"/>
      <c r="W139" s="39"/>
      <c r="X139" s="33" t="s">
        <v>31</v>
      </c>
      <c r="Y139" s="40">
        <v>2</v>
      </c>
      <c r="Z139" s="40">
        <v>1</v>
      </c>
      <c r="AA139" s="40">
        <v>1</v>
      </c>
      <c r="AB139" s="40">
        <v>2</v>
      </c>
      <c r="AC139" s="40">
        <v>2</v>
      </c>
      <c r="AD139" s="40">
        <v>2</v>
      </c>
      <c r="AE139" s="40">
        <v>2</v>
      </c>
      <c r="AF139" s="40">
        <v>2</v>
      </c>
      <c r="AG139" s="40">
        <v>1</v>
      </c>
      <c r="AH139" s="40">
        <v>1</v>
      </c>
      <c r="AI139" s="40">
        <v>1</v>
      </c>
      <c r="AJ139" s="40">
        <v>1</v>
      </c>
      <c r="AK139" s="40">
        <v>1</v>
      </c>
      <c r="AL139" s="40">
        <v>1</v>
      </c>
      <c r="AM139" s="40">
        <v>1</v>
      </c>
      <c r="AN139" s="40">
        <v>1</v>
      </c>
      <c r="AO139" s="40">
        <v>0</v>
      </c>
      <c r="AP139" s="40">
        <v>0</v>
      </c>
      <c r="AQ139" s="40">
        <v>0</v>
      </c>
      <c r="AR139" s="40">
        <v>0</v>
      </c>
      <c r="AS139" s="40">
        <v>0</v>
      </c>
      <c r="AT139" s="40">
        <v>0</v>
      </c>
      <c r="AU139" s="40">
        <v>0</v>
      </c>
      <c r="AV139" s="40">
        <v>0</v>
      </c>
      <c r="AW139" s="40">
        <v>0</v>
      </c>
      <c r="AX139" s="40">
        <v>0</v>
      </c>
      <c r="AY139" s="40">
        <v>0</v>
      </c>
      <c r="AZ139" s="40">
        <v>0</v>
      </c>
      <c r="BA139" s="40">
        <v>0</v>
      </c>
      <c r="BB139" s="40">
        <v>0</v>
      </c>
      <c r="BC139" s="40">
        <v>0</v>
      </c>
      <c r="BD139" s="40">
        <v>0</v>
      </c>
      <c r="BE139" s="40">
        <v>0</v>
      </c>
      <c r="BF139" s="10">
        <f>SUM(Y139:BE139)</f>
        <v>22</v>
      </c>
    </row>
    <row r="140" spans="2:58" ht="22" customHeight="1">
      <c r="B140" s="101"/>
      <c r="C140" s="101"/>
      <c r="D140" s="101"/>
      <c r="E140" s="101"/>
      <c r="F140" s="101"/>
      <c r="G140" s="101"/>
      <c r="H140" s="101"/>
      <c r="I140" s="101"/>
      <c r="J140" s="101"/>
      <c r="K140" s="101"/>
      <c r="L140" s="101"/>
      <c r="M140" s="101"/>
      <c r="N140" s="101"/>
      <c r="O140" s="101"/>
      <c r="P140" s="101"/>
      <c r="Q140" s="101"/>
      <c r="R140" s="101"/>
      <c r="S140" s="101"/>
      <c r="T140" s="39"/>
      <c r="U140" s="39"/>
      <c r="V140" s="39"/>
      <c r="W140" s="39"/>
      <c r="X140" s="33" t="s">
        <v>10</v>
      </c>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41"/>
      <c r="BB140" s="41"/>
      <c r="BC140" s="41"/>
      <c r="BD140" s="41"/>
      <c r="BE140" s="41"/>
      <c r="BF140" s="10">
        <f>SUM(Y140:BE140)</f>
        <v>0</v>
      </c>
    </row>
    <row r="141" spans="2:58" ht="22" customHeight="1">
      <c r="B141" s="102"/>
      <c r="C141" s="102"/>
      <c r="D141" s="102"/>
      <c r="E141" s="102"/>
      <c r="F141" s="102"/>
      <c r="G141" s="102"/>
      <c r="H141" s="102"/>
      <c r="I141" s="102"/>
      <c r="J141" s="102"/>
      <c r="K141" s="102"/>
      <c r="L141" s="102"/>
      <c r="M141" s="102"/>
      <c r="N141" s="102"/>
      <c r="O141" s="102"/>
      <c r="P141" s="102"/>
      <c r="Q141" s="102"/>
      <c r="R141" s="102"/>
      <c r="S141" s="102"/>
      <c r="T141" s="39"/>
      <c r="U141" s="39"/>
      <c r="V141" s="39"/>
      <c r="W141" s="39"/>
      <c r="X141" s="33" t="s">
        <v>11</v>
      </c>
      <c r="Y141" s="36">
        <f t="shared" ref="Y141:BF141" si="54">Y140-Y139</f>
        <v>-2</v>
      </c>
      <c r="Z141" s="36">
        <f t="shared" si="54"/>
        <v>-1</v>
      </c>
      <c r="AA141" s="36">
        <f t="shared" si="54"/>
        <v>-1</v>
      </c>
      <c r="AB141" s="36">
        <f t="shared" si="54"/>
        <v>-2</v>
      </c>
      <c r="AC141" s="36">
        <f t="shared" si="54"/>
        <v>-2</v>
      </c>
      <c r="AD141" s="36">
        <f t="shared" si="54"/>
        <v>-2</v>
      </c>
      <c r="AE141" s="36">
        <f t="shared" si="54"/>
        <v>-2</v>
      </c>
      <c r="AF141" s="36">
        <f t="shared" si="54"/>
        <v>-2</v>
      </c>
      <c r="AG141" s="36">
        <f t="shared" si="54"/>
        <v>-1</v>
      </c>
      <c r="AH141" s="36">
        <f t="shared" si="54"/>
        <v>-1</v>
      </c>
      <c r="AI141" s="36">
        <f t="shared" si="54"/>
        <v>-1</v>
      </c>
      <c r="AJ141" s="36">
        <f t="shared" si="54"/>
        <v>-1</v>
      </c>
      <c r="AK141" s="36">
        <f t="shared" si="54"/>
        <v>-1</v>
      </c>
      <c r="AL141" s="36">
        <f t="shared" si="54"/>
        <v>-1</v>
      </c>
      <c r="AM141" s="36">
        <f t="shared" si="54"/>
        <v>-1</v>
      </c>
      <c r="AN141" s="36">
        <f t="shared" si="54"/>
        <v>-1</v>
      </c>
      <c r="AO141" s="36">
        <f t="shared" si="54"/>
        <v>0</v>
      </c>
      <c r="AP141" s="36">
        <f t="shared" si="54"/>
        <v>0</v>
      </c>
      <c r="AQ141" s="36">
        <f t="shared" si="54"/>
        <v>0</v>
      </c>
      <c r="AR141" s="36">
        <f t="shared" si="54"/>
        <v>0</v>
      </c>
      <c r="AS141" s="36">
        <f t="shared" si="54"/>
        <v>0</v>
      </c>
      <c r="AT141" s="36">
        <f t="shared" si="54"/>
        <v>0</v>
      </c>
      <c r="AU141" s="36">
        <f t="shared" si="54"/>
        <v>0</v>
      </c>
      <c r="AV141" s="36">
        <f t="shared" si="54"/>
        <v>0</v>
      </c>
      <c r="AW141" s="36">
        <f t="shared" si="54"/>
        <v>0</v>
      </c>
      <c r="AX141" s="36">
        <f t="shared" si="54"/>
        <v>0</v>
      </c>
      <c r="AY141" s="36">
        <f t="shared" si="54"/>
        <v>0</v>
      </c>
      <c r="AZ141" s="36">
        <f t="shared" si="54"/>
        <v>0</v>
      </c>
      <c r="BA141" s="36">
        <f t="shared" si="54"/>
        <v>0</v>
      </c>
      <c r="BB141" s="36">
        <f t="shared" si="54"/>
        <v>0</v>
      </c>
      <c r="BC141" s="36">
        <f t="shared" si="54"/>
        <v>0</v>
      </c>
      <c r="BD141" s="36">
        <f t="shared" si="54"/>
        <v>0</v>
      </c>
      <c r="BE141" s="36">
        <f t="shared" si="54"/>
        <v>0</v>
      </c>
      <c r="BF141" s="10">
        <f t="shared" si="54"/>
        <v>-22</v>
      </c>
    </row>
    <row r="142" spans="2:58" ht="22" customHeight="1">
      <c r="B142" s="104">
        <v>35</v>
      </c>
      <c r="C142" s="118" t="s">
        <v>106</v>
      </c>
      <c r="D142" s="105" t="s">
        <v>107</v>
      </c>
      <c r="E142" s="115"/>
      <c r="F142" s="119"/>
      <c r="G142" s="114">
        <f>SUM(Y142:AZ142)</f>
        <v>17</v>
      </c>
      <c r="H142" s="114">
        <f>SUM(Y143:AZ143)</f>
        <v>0</v>
      </c>
      <c r="I142" s="100"/>
      <c r="J142" s="116">
        <f>IFERROR(H142/G142,0)</f>
        <v>0</v>
      </c>
      <c r="K142" s="113">
        <v>8.3333333333333329E-2</v>
      </c>
      <c r="L142" s="113">
        <v>8.3333333333333329E-2</v>
      </c>
      <c r="M142" s="100"/>
      <c r="N142" s="100"/>
      <c r="O142" s="100"/>
      <c r="P142" s="100"/>
      <c r="Q142" s="100"/>
      <c r="R142" s="100"/>
      <c r="S142" s="115" t="s">
        <v>47</v>
      </c>
      <c r="T142" s="9"/>
      <c r="U142" s="9"/>
      <c r="V142" s="9"/>
      <c r="W142" s="9"/>
      <c r="X142" s="7" t="s">
        <v>31</v>
      </c>
      <c r="Y142" s="29">
        <v>1</v>
      </c>
      <c r="Z142" s="29">
        <v>2</v>
      </c>
      <c r="AA142" s="29">
        <v>1</v>
      </c>
      <c r="AB142" s="29">
        <v>1</v>
      </c>
      <c r="AC142" s="29">
        <v>1</v>
      </c>
      <c r="AD142" s="29">
        <v>1</v>
      </c>
      <c r="AE142" s="29">
        <v>1</v>
      </c>
      <c r="AF142" s="29">
        <v>1</v>
      </c>
      <c r="AG142" s="29">
        <v>1</v>
      </c>
      <c r="AH142" s="29">
        <v>1</v>
      </c>
      <c r="AI142" s="29">
        <v>1</v>
      </c>
      <c r="AJ142" s="29">
        <v>1</v>
      </c>
      <c r="AK142" s="29">
        <v>1</v>
      </c>
      <c r="AL142" s="29">
        <v>1</v>
      </c>
      <c r="AM142" s="29">
        <v>1</v>
      </c>
      <c r="AN142" s="29">
        <v>1</v>
      </c>
      <c r="AO142" s="29">
        <v>0</v>
      </c>
      <c r="AP142" s="29">
        <v>0</v>
      </c>
      <c r="AQ142" s="29">
        <v>0</v>
      </c>
      <c r="AR142" s="29">
        <v>0</v>
      </c>
      <c r="AS142" s="29">
        <v>0</v>
      </c>
      <c r="AT142" s="29">
        <v>0</v>
      </c>
      <c r="AU142" s="29">
        <v>0</v>
      </c>
      <c r="AV142" s="29">
        <v>0</v>
      </c>
      <c r="AW142" s="29">
        <v>0</v>
      </c>
      <c r="AX142" s="29">
        <v>0</v>
      </c>
      <c r="AY142" s="29">
        <v>0</v>
      </c>
      <c r="AZ142" s="29">
        <v>0</v>
      </c>
      <c r="BA142" s="29">
        <v>0</v>
      </c>
      <c r="BB142" s="29">
        <v>0</v>
      </c>
      <c r="BC142" s="29">
        <v>0</v>
      </c>
      <c r="BD142" s="29">
        <v>0</v>
      </c>
      <c r="BE142" s="29">
        <v>0</v>
      </c>
      <c r="BF142" s="10">
        <f>SUM(Y142:BE142)</f>
        <v>17</v>
      </c>
    </row>
    <row r="143" spans="2:58" ht="22" customHeight="1">
      <c r="B143" s="101"/>
      <c r="C143" s="101"/>
      <c r="D143" s="101"/>
      <c r="E143" s="101"/>
      <c r="F143" s="101"/>
      <c r="G143" s="101"/>
      <c r="H143" s="101"/>
      <c r="I143" s="101"/>
      <c r="J143" s="101"/>
      <c r="K143" s="101"/>
      <c r="L143" s="101"/>
      <c r="M143" s="101"/>
      <c r="N143" s="101"/>
      <c r="O143" s="101"/>
      <c r="P143" s="101"/>
      <c r="Q143" s="101"/>
      <c r="R143" s="101"/>
      <c r="S143" s="101"/>
      <c r="T143" s="9"/>
      <c r="U143" s="9"/>
      <c r="V143" s="9"/>
      <c r="W143" s="9"/>
      <c r="X143" s="7" t="s">
        <v>10</v>
      </c>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0">
        <f>SUM(Y143:BE143)</f>
        <v>0</v>
      </c>
    </row>
    <row r="144" spans="2:58" ht="22" customHeight="1">
      <c r="B144" s="102"/>
      <c r="C144" s="102"/>
      <c r="D144" s="102"/>
      <c r="E144" s="102"/>
      <c r="F144" s="102"/>
      <c r="G144" s="102"/>
      <c r="H144" s="102"/>
      <c r="I144" s="102"/>
      <c r="J144" s="102"/>
      <c r="K144" s="102"/>
      <c r="L144" s="102"/>
      <c r="M144" s="102"/>
      <c r="N144" s="102"/>
      <c r="O144" s="102"/>
      <c r="P144" s="102"/>
      <c r="Q144" s="102"/>
      <c r="R144" s="102"/>
      <c r="S144" s="102"/>
      <c r="T144" s="9"/>
      <c r="U144" s="9"/>
      <c r="V144" s="9"/>
      <c r="W144" s="9"/>
      <c r="X144" s="7" t="s">
        <v>11</v>
      </c>
      <c r="Y144" s="3">
        <f t="shared" ref="Y144:BF144" si="55">Y143-Y142</f>
        <v>-1</v>
      </c>
      <c r="Z144" s="3">
        <f t="shared" si="55"/>
        <v>-2</v>
      </c>
      <c r="AA144" s="3">
        <f t="shared" si="55"/>
        <v>-1</v>
      </c>
      <c r="AB144" s="3">
        <f t="shared" si="55"/>
        <v>-1</v>
      </c>
      <c r="AC144" s="3">
        <f t="shared" si="55"/>
        <v>-1</v>
      </c>
      <c r="AD144" s="3">
        <f t="shared" si="55"/>
        <v>-1</v>
      </c>
      <c r="AE144" s="3">
        <f t="shared" si="55"/>
        <v>-1</v>
      </c>
      <c r="AF144" s="3">
        <f t="shared" si="55"/>
        <v>-1</v>
      </c>
      <c r="AG144" s="3">
        <f t="shared" si="55"/>
        <v>-1</v>
      </c>
      <c r="AH144" s="3">
        <f t="shared" si="55"/>
        <v>-1</v>
      </c>
      <c r="AI144" s="3">
        <f t="shared" si="55"/>
        <v>-1</v>
      </c>
      <c r="AJ144" s="3">
        <f t="shared" si="55"/>
        <v>-1</v>
      </c>
      <c r="AK144" s="3">
        <f t="shared" si="55"/>
        <v>-1</v>
      </c>
      <c r="AL144" s="3">
        <f t="shared" si="55"/>
        <v>-1</v>
      </c>
      <c r="AM144" s="3">
        <f t="shared" si="55"/>
        <v>-1</v>
      </c>
      <c r="AN144" s="3">
        <f t="shared" si="55"/>
        <v>-1</v>
      </c>
      <c r="AO144" s="3">
        <f t="shared" si="55"/>
        <v>0</v>
      </c>
      <c r="AP144" s="3">
        <f t="shared" si="55"/>
        <v>0</v>
      </c>
      <c r="AQ144" s="3">
        <f t="shared" si="55"/>
        <v>0</v>
      </c>
      <c r="AR144" s="3">
        <f t="shared" si="55"/>
        <v>0</v>
      </c>
      <c r="AS144" s="3">
        <f t="shared" si="55"/>
        <v>0</v>
      </c>
      <c r="AT144" s="3">
        <f t="shared" si="55"/>
        <v>0</v>
      </c>
      <c r="AU144" s="3">
        <f t="shared" si="55"/>
        <v>0</v>
      </c>
      <c r="AV144" s="3">
        <f t="shared" si="55"/>
        <v>0</v>
      </c>
      <c r="AW144" s="3">
        <f t="shared" si="55"/>
        <v>0</v>
      </c>
      <c r="AX144" s="3">
        <f t="shared" si="55"/>
        <v>0</v>
      </c>
      <c r="AY144" s="3">
        <f t="shared" si="55"/>
        <v>0</v>
      </c>
      <c r="AZ144" s="3">
        <f t="shared" si="55"/>
        <v>0</v>
      </c>
      <c r="BA144" s="3">
        <f t="shared" si="55"/>
        <v>0</v>
      </c>
      <c r="BB144" s="3">
        <f t="shared" si="55"/>
        <v>0</v>
      </c>
      <c r="BC144" s="3">
        <f t="shared" si="55"/>
        <v>0</v>
      </c>
      <c r="BD144" s="3">
        <f t="shared" si="55"/>
        <v>0</v>
      </c>
      <c r="BE144" s="3">
        <f t="shared" si="55"/>
        <v>0</v>
      </c>
      <c r="BF144" s="10">
        <f t="shared" si="55"/>
        <v>-17</v>
      </c>
    </row>
    <row r="145" spans="2:58" ht="22" customHeight="1">
      <c r="B145" s="107">
        <v>36</v>
      </c>
      <c r="C145" s="117" t="s">
        <v>108</v>
      </c>
      <c r="D145" s="108" t="s">
        <v>109</v>
      </c>
      <c r="E145" s="103"/>
      <c r="F145" s="109"/>
      <c r="G145" s="106">
        <f>SUM(Y145:AZ145)</f>
        <v>17</v>
      </c>
      <c r="H145" s="106">
        <f>SUM(Y146:AZ146)</f>
        <v>0</v>
      </c>
      <c r="I145" s="111"/>
      <c r="J145" s="112">
        <f>IFERROR(H145/G145,0)</f>
        <v>0</v>
      </c>
      <c r="K145" s="110">
        <v>0.2857142857142857</v>
      </c>
      <c r="L145" s="110">
        <v>0.2857142857142857</v>
      </c>
      <c r="M145" s="111"/>
      <c r="N145" s="111"/>
      <c r="O145" s="111"/>
      <c r="P145" s="111"/>
      <c r="Q145" s="111"/>
      <c r="R145" s="111"/>
      <c r="S145" s="103" t="s">
        <v>47</v>
      </c>
      <c r="T145" s="39"/>
      <c r="U145" s="39"/>
      <c r="V145" s="39"/>
      <c r="W145" s="39"/>
      <c r="X145" s="33" t="s">
        <v>31</v>
      </c>
      <c r="Y145" s="40">
        <v>1</v>
      </c>
      <c r="Z145" s="40">
        <v>1</v>
      </c>
      <c r="AA145" s="40">
        <v>1</v>
      </c>
      <c r="AB145" s="40">
        <v>1</v>
      </c>
      <c r="AC145" s="40">
        <v>1</v>
      </c>
      <c r="AD145" s="40">
        <v>1</v>
      </c>
      <c r="AE145" s="40">
        <v>1</v>
      </c>
      <c r="AF145" s="40">
        <v>1</v>
      </c>
      <c r="AG145" s="40">
        <v>1</v>
      </c>
      <c r="AH145" s="40">
        <v>1</v>
      </c>
      <c r="AI145" s="40">
        <v>1</v>
      </c>
      <c r="AJ145" s="40">
        <v>1</v>
      </c>
      <c r="AK145" s="40">
        <v>1</v>
      </c>
      <c r="AL145" s="40">
        <v>1</v>
      </c>
      <c r="AM145" s="40">
        <v>1</v>
      </c>
      <c r="AN145" s="40">
        <v>1</v>
      </c>
      <c r="AO145" s="40">
        <v>1</v>
      </c>
      <c r="AP145" s="40">
        <v>0</v>
      </c>
      <c r="AQ145" s="40">
        <v>0</v>
      </c>
      <c r="AR145" s="40">
        <v>0</v>
      </c>
      <c r="AS145" s="40">
        <v>0</v>
      </c>
      <c r="AT145" s="40">
        <v>0</v>
      </c>
      <c r="AU145" s="40">
        <v>0</v>
      </c>
      <c r="AV145" s="40">
        <v>0</v>
      </c>
      <c r="AW145" s="40">
        <v>0</v>
      </c>
      <c r="AX145" s="40">
        <v>0</v>
      </c>
      <c r="AY145" s="40">
        <v>0</v>
      </c>
      <c r="AZ145" s="40">
        <v>0</v>
      </c>
      <c r="BA145" s="40">
        <v>0</v>
      </c>
      <c r="BB145" s="40">
        <v>0</v>
      </c>
      <c r="BC145" s="40">
        <v>0</v>
      </c>
      <c r="BD145" s="40">
        <v>0</v>
      </c>
      <c r="BE145" s="40">
        <v>0</v>
      </c>
      <c r="BF145" s="10">
        <f>SUM(Y145:BE145)</f>
        <v>17</v>
      </c>
    </row>
    <row r="146" spans="2:58" ht="22" customHeight="1">
      <c r="B146" s="101"/>
      <c r="C146" s="101"/>
      <c r="D146" s="101"/>
      <c r="E146" s="101"/>
      <c r="F146" s="101"/>
      <c r="G146" s="101"/>
      <c r="H146" s="101"/>
      <c r="I146" s="101"/>
      <c r="J146" s="101"/>
      <c r="K146" s="101"/>
      <c r="L146" s="101"/>
      <c r="M146" s="101"/>
      <c r="N146" s="101"/>
      <c r="O146" s="101"/>
      <c r="P146" s="101"/>
      <c r="Q146" s="101"/>
      <c r="R146" s="101"/>
      <c r="S146" s="101"/>
      <c r="T146" s="39"/>
      <c r="U146" s="39"/>
      <c r="V146" s="39"/>
      <c r="W146" s="39"/>
      <c r="X146" s="33" t="s">
        <v>10</v>
      </c>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41"/>
      <c r="BB146" s="41"/>
      <c r="BC146" s="41"/>
      <c r="BD146" s="41"/>
      <c r="BE146" s="41"/>
      <c r="BF146" s="10">
        <f>SUM(Y146:BE146)</f>
        <v>0</v>
      </c>
    </row>
    <row r="147" spans="2:58" ht="22" customHeight="1">
      <c r="B147" s="102"/>
      <c r="C147" s="102"/>
      <c r="D147" s="102"/>
      <c r="E147" s="102"/>
      <c r="F147" s="102"/>
      <c r="G147" s="102"/>
      <c r="H147" s="102"/>
      <c r="I147" s="102"/>
      <c r="J147" s="102"/>
      <c r="K147" s="102"/>
      <c r="L147" s="102"/>
      <c r="M147" s="102"/>
      <c r="N147" s="102"/>
      <c r="O147" s="102"/>
      <c r="P147" s="102"/>
      <c r="Q147" s="102"/>
      <c r="R147" s="102"/>
      <c r="S147" s="102"/>
      <c r="T147" s="39"/>
      <c r="U147" s="39"/>
      <c r="V147" s="39"/>
      <c r="W147" s="39"/>
      <c r="X147" s="33" t="s">
        <v>11</v>
      </c>
      <c r="Y147" s="36">
        <f t="shared" ref="Y147:BF147" si="56">Y146-Y145</f>
        <v>-1</v>
      </c>
      <c r="Z147" s="36">
        <f t="shared" si="56"/>
        <v>-1</v>
      </c>
      <c r="AA147" s="36">
        <f t="shared" si="56"/>
        <v>-1</v>
      </c>
      <c r="AB147" s="36">
        <f t="shared" si="56"/>
        <v>-1</v>
      </c>
      <c r="AC147" s="36">
        <f t="shared" si="56"/>
        <v>-1</v>
      </c>
      <c r="AD147" s="36">
        <f t="shared" si="56"/>
        <v>-1</v>
      </c>
      <c r="AE147" s="36">
        <f t="shared" si="56"/>
        <v>-1</v>
      </c>
      <c r="AF147" s="36">
        <f t="shared" si="56"/>
        <v>-1</v>
      </c>
      <c r="AG147" s="36">
        <f t="shared" si="56"/>
        <v>-1</v>
      </c>
      <c r="AH147" s="36">
        <f t="shared" si="56"/>
        <v>-1</v>
      </c>
      <c r="AI147" s="36">
        <f t="shared" si="56"/>
        <v>-1</v>
      </c>
      <c r="AJ147" s="36">
        <f t="shared" si="56"/>
        <v>-1</v>
      </c>
      <c r="AK147" s="36">
        <f t="shared" si="56"/>
        <v>-1</v>
      </c>
      <c r="AL147" s="36">
        <f t="shared" si="56"/>
        <v>-1</v>
      </c>
      <c r="AM147" s="36">
        <f t="shared" si="56"/>
        <v>-1</v>
      </c>
      <c r="AN147" s="36">
        <f t="shared" si="56"/>
        <v>-1</v>
      </c>
      <c r="AO147" s="36">
        <f t="shared" si="56"/>
        <v>-1</v>
      </c>
      <c r="AP147" s="36">
        <f t="shared" si="56"/>
        <v>0</v>
      </c>
      <c r="AQ147" s="36">
        <f t="shared" si="56"/>
        <v>0</v>
      </c>
      <c r="AR147" s="36">
        <f t="shared" si="56"/>
        <v>0</v>
      </c>
      <c r="AS147" s="36">
        <f t="shared" si="56"/>
        <v>0</v>
      </c>
      <c r="AT147" s="36">
        <f t="shared" si="56"/>
        <v>0</v>
      </c>
      <c r="AU147" s="36">
        <f t="shared" si="56"/>
        <v>0</v>
      </c>
      <c r="AV147" s="36">
        <f t="shared" si="56"/>
        <v>0</v>
      </c>
      <c r="AW147" s="36">
        <f t="shared" si="56"/>
        <v>0</v>
      </c>
      <c r="AX147" s="36">
        <f t="shared" si="56"/>
        <v>0</v>
      </c>
      <c r="AY147" s="36">
        <f t="shared" si="56"/>
        <v>0</v>
      </c>
      <c r="AZ147" s="36">
        <f t="shared" si="56"/>
        <v>0</v>
      </c>
      <c r="BA147" s="36">
        <f t="shared" si="56"/>
        <v>0</v>
      </c>
      <c r="BB147" s="36">
        <f t="shared" si="56"/>
        <v>0</v>
      </c>
      <c r="BC147" s="36">
        <f t="shared" si="56"/>
        <v>0</v>
      </c>
      <c r="BD147" s="36">
        <f t="shared" si="56"/>
        <v>0</v>
      </c>
      <c r="BE147" s="36">
        <f t="shared" si="56"/>
        <v>0</v>
      </c>
      <c r="BF147" s="10">
        <f t="shared" si="56"/>
        <v>-17</v>
      </c>
    </row>
    <row r="148" spans="2:58" ht="22" customHeight="1">
      <c r="B148" s="104">
        <v>37</v>
      </c>
      <c r="C148" s="118" t="s">
        <v>110</v>
      </c>
      <c r="D148" s="105" t="s">
        <v>111</v>
      </c>
      <c r="E148" s="115"/>
      <c r="F148" s="119"/>
      <c r="G148" s="114">
        <f>SUM(Y148:AZ148)</f>
        <v>67</v>
      </c>
      <c r="H148" s="114">
        <f>SUM(Y149:AZ149)</f>
        <v>0</v>
      </c>
      <c r="I148" s="100"/>
      <c r="J148" s="116">
        <f>IFERROR(H148/G148,0)</f>
        <v>0</v>
      </c>
      <c r="K148" s="113">
        <v>0.1020408163265306</v>
      </c>
      <c r="L148" s="113">
        <v>0.1020408163265306</v>
      </c>
      <c r="M148" s="100"/>
      <c r="N148" s="100"/>
      <c r="O148" s="100"/>
      <c r="P148" s="100"/>
      <c r="Q148" s="100"/>
      <c r="R148" s="100"/>
      <c r="S148" s="115" t="s">
        <v>47</v>
      </c>
      <c r="T148" s="9"/>
      <c r="U148" s="9"/>
      <c r="V148" s="9"/>
      <c r="W148" s="9"/>
      <c r="X148" s="7" t="s">
        <v>31</v>
      </c>
      <c r="Y148" s="29">
        <v>5</v>
      </c>
      <c r="Z148" s="29">
        <v>5</v>
      </c>
      <c r="AA148" s="29">
        <v>5</v>
      </c>
      <c r="AB148" s="29">
        <v>4</v>
      </c>
      <c r="AC148" s="29">
        <v>4</v>
      </c>
      <c r="AD148" s="29">
        <v>4</v>
      </c>
      <c r="AE148" s="29">
        <v>4</v>
      </c>
      <c r="AF148" s="29">
        <v>4</v>
      </c>
      <c r="AG148" s="29">
        <v>5</v>
      </c>
      <c r="AH148" s="29">
        <v>5</v>
      </c>
      <c r="AI148" s="29">
        <v>5</v>
      </c>
      <c r="AJ148" s="29">
        <v>1</v>
      </c>
      <c r="AK148" s="29">
        <v>1</v>
      </c>
      <c r="AL148" s="29">
        <v>1</v>
      </c>
      <c r="AM148" s="29">
        <v>1</v>
      </c>
      <c r="AN148" s="29">
        <v>1</v>
      </c>
      <c r="AO148" s="29">
        <v>1</v>
      </c>
      <c r="AP148" s="29">
        <v>1</v>
      </c>
      <c r="AQ148" s="29">
        <v>1</v>
      </c>
      <c r="AR148" s="29">
        <v>1</v>
      </c>
      <c r="AS148" s="29">
        <v>1</v>
      </c>
      <c r="AT148" s="29">
        <v>1</v>
      </c>
      <c r="AU148" s="29">
        <v>1</v>
      </c>
      <c r="AV148" s="29">
        <v>1</v>
      </c>
      <c r="AW148" s="29">
        <v>1</v>
      </c>
      <c r="AX148" s="29">
        <v>1</v>
      </c>
      <c r="AY148" s="29">
        <v>1</v>
      </c>
      <c r="AZ148" s="29">
        <v>1</v>
      </c>
      <c r="BA148" s="29">
        <v>1</v>
      </c>
      <c r="BB148" s="29">
        <v>1</v>
      </c>
      <c r="BC148" s="29">
        <v>1</v>
      </c>
      <c r="BD148" s="29">
        <v>1</v>
      </c>
      <c r="BE148" s="29">
        <v>1</v>
      </c>
      <c r="BF148" s="10">
        <f>SUM(Y148:BE148)</f>
        <v>72</v>
      </c>
    </row>
    <row r="149" spans="2:58" ht="22" customHeight="1">
      <c r="B149" s="101"/>
      <c r="C149" s="101"/>
      <c r="D149" s="101"/>
      <c r="E149" s="101"/>
      <c r="F149" s="101"/>
      <c r="G149" s="101"/>
      <c r="H149" s="101"/>
      <c r="I149" s="101"/>
      <c r="J149" s="101"/>
      <c r="K149" s="101"/>
      <c r="L149" s="101"/>
      <c r="M149" s="101"/>
      <c r="N149" s="101"/>
      <c r="O149" s="101"/>
      <c r="P149" s="101"/>
      <c r="Q149" s="101"/>
      <c r="R149" s="101"/>
      <c r="S149" s="101"/>
      <c r="T149" s="9"/>
      <c r="U149" s="9"/>
      <c r="V149" s="9"/>
      <c r="W149" s="9"/>
      <c r="X149" s="7" t="s">
        <v>10</v>
      </c>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0">
        <f>SUM(Y149:BE149)</f>
        <v>0</v>
      </c>
    </row>
    <row r="150" spans="2:58" ht="22" customHeight="1">
      <c r="B150" s="102"/>
      <c r="C150" s="102"/>
      <c r="D150" s="102"/>
      <c r="E150" s="102"/>
      <c r="F150" s="102"/>
      <c r="G150" s="102"/>
      <c r="H150" s="102"/>
      <c r="I150" s="102"/>
      <c r="J150" s="102"/>
      <c r="K150" s="102"/>
      <c r="L150" s="102"/>
      <c r="M150" s="102"/>
      <c r="N150" s="102"/>
      <c r="O150" s="102"/>
      <c r="P150" s="102"/>
      <c r="Q150" s="102"/>
      <c r="R150" s="102"/>
      <c r="S150" s="102"/>
      <c r="T150" s="9"/>
      <c r="U150" s="9"/>
      <c r="V150" s="9"/>
      <c r="W150" s="9"/>
      <c r="X150" s="7" t="s">
        <v>11</v>
      </c>
      <c r="Y150" s="3">
        <f t="shared" ref="Y150:BF150" si="57">Y149-Y148</f>
        <v>-5</v>
      </c>
      <c r="Z150" s="3">
        <f t="shared" si="57"/>
        <v>-5</v>
      </c>
      <c r="AA150" s="3">
        <f t="shared" si="57"/>
        <v>-5</v>
      </c>
      <c r="AB150" s="3">
        <f t="shared" si="57"/>
        <v>-4</v>
      </c>
      <c r="AC150" s="3">
        <f t="shared" si="57"/>
        <v>-4</v>
      </c>
      <c r="AD150" s="3">
        <f t="shared" si="57"/>
        <v>-4</v>
      </c>
      <c r="AE150" s="3">
        <f t="shared" si="57"/>
        <v>-4</v>
      </c>
      <c r="AF150" s="3">
        <f t="shared" si="57"/>
        <v>-4</v>
      </c>
      <c r="AG150" s="3">
        <f t="shared" si="57"/>
        <v>-5</v>
      </c>
      <c r="AH150" s="3">
        <f t="shared" si="57"/>
        <v>-5</v>
      </c>
      <c r="AI150" s="3">
        <f t="shared" si="57"/>
        <v>-5</v>
      </c>
      <c r="AJ150" s="3">
        <f t="shared" si="57"/>
        <v>-1</v>
      </c>
      <c r="AK150" s="3">
        <f t="shared" si="57"/>
        <v>-1</v>
      </c>
      <c r="AL150" s="3">
        <f t="shared" si="57"/>
        <v>-1</v>
      </c>
      <c r="AM150" s="3">
        <f t="shared" si="57"/>
        <v>-1</v>
      </c>
      <c r="AN150" s="3">
        <f t="shared" si="57"/>
        <v>-1</v>
      </c>
      <c r="AO150" s="3">
        <f t="shared" si="57"/>
        <v>-1</v>
      </c>
      <c r="AP150" s="3">
        <f t="shared" si="57"/>
        <v>-1</v>
      </c>
      <c r="AQ150" s="3">
        <f t="shared" si="57"/>
        <v>-1</v>
      </c>
      <c r="AR150" s="3">
        <f t="shared" si="57"/>
        <v>-1</v>
      </c>
      <c r="AS150" s="3">
        <f t="shared" si="57"/>
        <v>-1</v>
      </c>
      <c r="AT150" s="3">
        <f t="shared" si="57"/>
        <v>-1</v>
      </c>
      <c r="AU150" s="3">
        <f t="shared" si="57"/>
        <v>-1</v>
      </c>
      <c r="AV150" s="3">
        <f t="shared" si="57"/>
        <v>-1</v>
      </c>
      <c r="AW150" s="3">
        <f t="shared" si="57"/>
        <v>-1</v>
      </c>
      <c r="AX150" s="3">
        <f t="shared" si="57"/>
        <v>-1</v>
      </c>
      <c r="AY150" s="3">
        <f t="shared" si="57"/>
        <v>-1</v>
      </c>
      <c r="AZ150" s="3">
        <f t="shared" si="57"/>
        <v>-1</v>
      </c>
      <c r="BA150" s="3">
        <f t="shared" si="57"/>
        <v>-1</v>
      </c>
      <c r="BB150" s="3">
        <f t="shared" si="57"/>
        <v>-1</v>
      </c>
      <c r="BC150" s="3">
        <f t="shared" si="57"/>
        <v>-1</v>
      </c>
      <c r="BD150" s="3">
        <f t="shared" si="57"/>
        <v>-1</v>
      </c>
      <c r="BE150" s="3">
        <f t="shared" si="57"/>
        <v>-1</v>
      </c>
      <c r="BF150" s="10">
        <f t="shared" si="57"/>
        <v>-72</v>
      </c>
    </row>
    <row r="151" spans="2:58" ht="22" customHeight="1">
      <c r="B151" s="107">
        <v>38</v>
      </c>
      <c r="C151" s="117" t="s">
        <v>112</v>
      </c>
      <c r="D151" s="108" t="s">
        <v>113</v>
      </c>
      <c r="E151" s="103"/>
      <c r="F151" s="109"/>
      <c r="G151" s="106">
        <f>SUM(Y151:AZ151)</f>
        <v>36</v>
      </c>
      <c r="H151" s="106">
        <f>SUM(Y152:AZ152)</f>
        <v>0</v>
      </c>
      <c r="I151" s="111"/>
      <c r="J151" s="112">
        <f>IFERROR(H151/G151,0)</f>
        <v>0</v>
      </c>
      <c r="K151" s="110">
        <v>0.29032258064516131</v>
      </c>
      <c r="L151" s="110">
        <v>0.29032258064516131</v>
      </c>
      <c r="M151" s="111"/>
      <c r="N151" s="111"/>
      <c r="O151" s="111"/>
      <c r="P151" s="111"/>
      <c r="Q151" s="111"/>
      <c r="R151" s="111"/>
      <c r="S151" s="103" t="s">
        <v>47</v>
      </c>
      <c r="T151" s="39"/>
      <c r="U151" s="39"/>
      <c r="V151" s="39"/>
      <c r="W151" s="39"/>
      <c r="X151" s="33" t="s">
        <v>31</v>
      </c>
      <c r="Y151" s="40">
        <v>2</v>
      </c>
      <c r="Z151" s="40">
        <v>1</v>
      </c>
      <c r="AA151" s="40">
        <v>2</v>
      </c>
      <c r="AB151" s="40">
        <v>2</v>
      </c>
      <c r="AC151" s="40">
        <v>2</v>
      </c>
      <c r="AD151" s="40">
        <v>2</v>
      </c>
      <c r="AE151" s="40">
        <v>2</v>
      </c>
      <c r="AF151" s="40">
        <v>2</v>
      </c>
      <c r="AG151" s="40">
        <v>1</v>
      </c>
      <c r="AH151" s="40">
        <v>2</v>
      </c>
      <c r="AI151" s="40">
        <v>1</v>
      </c>
      <c r="AJ151" s="40">
        <v>2</v>
      </c>
      <c r="AK151" s="40">
        <v>2</v>
      </c>
      <c r="AL151" s="40">
        <v>2</v>
      </c>
      <c r="AM151" s="40">
        <v>2</v>
      </c>
      <c r="AN151" s="40">
        <v>1</v>
      </c>
      <c r="AO151" s="40">
        <v>2</v>
      </c>
      <c r="AP151" s="40">
        <v>1</v>
      </c>
      <c r="AQ151" s="40">
        <v>0</v>
      </c>
      <c r="AR151" s="40">
        <v>0</v>
      </c>
      <c r="AS151" s="40">
        <v>0</v>
      </c>
      <c r="AT151" s="40">
        <v>0</v>
      </c>
      <c r="AU151" s="40">
        <v>0</v>
      </c>
      <c r="AV151" s="40">
        <v>1</v>
      </c>
      <c r="AW151" s="40">
        <v>1</v>
      </c>
      <c r="AX151" s="40">
        <v>1</v>
      </c>
      <c r="AY151" s="40">
        <v>1</v>
      </c>
      <c r="AZ151" s="40">
        <v>1</v>
      </c>
      <c r="BA151" s="40">
        <v>1</v>
      </c>
      <c r="BB151" s="40">
        <v>0</v>
      </c>
      <c r="BC151" s="40">
        <v>1</v>
      </c>
      <c r="BD151" s="40">
        <v>1</v>
      </c>
      <c r="BE151" s="40">
        <v>1</v>
      </c>
      <c r="BF151" s="10">
        <f>SUM(Y151:BE151)</f>
        <v>40</v>
      </c>
    </row>
    <row r="152" spans="2:58" ht="22" customHeight="1">
      <c r="B152" s="101"/>
      <c r="C152" s="101"/>
      <c r="D152" s="101"/>
      <c r="E152" s="101"/>
      <c r="F152" s="101"/>
      <c r="G152" s="101"/>
      <c r="H152" s="101"/>
      <c r="I152" s="101"/>
      <c r="J152" s="101"/>
      <c r="K152" s="101"/>
      <c r="L152" s="101"/>
      <c r="M152" s="101"/>
      <c r="N152" s="101"/>
      <c r="O152" s="101"/>
      <c r="P152" s="101"/>
      <c r="Q152" s="101"/>
      <c r="R152" s="101"/>
      <c r="S152" s="101"/>
      <c r="T152" s="39"/>
      <c r="U152" s="39"/>
      <c r="V152" s="39"/>
      <c r="W152" s="39"/>
      <c r="X152" s="33" t="s">
        <v>10</v>
      </c>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41"/>
      <c r="BB152" s="41"/>
      <c r="BC152" s="41"/>
      <c r="BD152" s="41"/>
      <c r="BE152" s="41"/>
      <c r="BF152" s="10">
        <f>SUM(Y152:BE152)</f>
        <v>0</v>
      </c>
    </row>
    <row r="153" spans="2:58" ht="22" customHeight="1">
      <c r="B153" s="102"/>
      <c r="C153" s="102"/>
      <c r="D153" s="102"/>
      <c r="E153" s="102"/>
      <c r="F153" s="102"/>
      <c r="G153" s="102"/>
      <c r="H153" s="102"/>
      <c r="I153" s="102"/>
      <c r="J153" s="102"/>
      <c r="K153" s="102"/>
      <c r="L153" s="102"/>
      <c r="M153" s="102"/>
      <c r="N153" s="102"/>
      <c r="O153" s="102"/>
      <c r="P153" s="102"/>
      <c r="Q153" s="102"/>
      <c r="R153" s="102"/>
      <c r="S153" s="102"/>
      <c r="T153" s="39"/>
      <c r="U153" s="39"/>
      <c r="V153" s="39"/>
      <c r="W153" s="39"/>
      <c r="X153" s="33" t="s">
        <v>11</v>
      </c>
      <c r="Y153" s="36">
        <f t="shared" ref="Y153:BF153" si="58">Y152-Y151</f>
        <v>-2</v>
      </c>
      <c r="Z153" s="36">
        <f t="shared" si="58"/>
        <v>-1</v>
      </c>
      <c r="AA153" s="36">
        <f t="shared" si="58"/>
        <v>-2</v>
      </c>
      <c r="AB153" s="36">
        <f t="shared" si="58"/>
        <v>-2</v>
      </c>
      <c r="AC153" s="36">
        <f t="shared" si="58"/>
        <v>-2</v>
      </c>
      <c r="AD153" s="36">
        <f t="shared" si="58"/>
        <v>-2</v>
      </c>
      <c r="AE153" s="36">
        <f t="shared" si="58"/>
        <v>-2</v>
      </c>
      <c r="AF153" s="36">
        <f t="shared" si="58"/>
        <v>-2</v>
      </c>
      <c r="AG153" s="36">
        <f t="shared" si="58"/>
        <v>-1</v>
      </c>
      <c r="AH153" s="36">
        <f t="shared" si="58"/>
        <v>-2</v>
      </c>
      <c r="AI153" s="36">
        <f t="shared" si="58"/>
        <v>-1</v>
      </c>
      <c r="AJ153" s="36">
        <f t="shared" si="58"/>
        <v>-2</v>
      </c>
      <c r="AK153" s="36">
        <f t="shared" si="58"/>
        <v>-2</v>
      </c>
      <c r="AL153" s="36">
        <f t="shared" si="58"/>
        <v>-2</v>
      </c>
      <c r="AM153" s="36">
        <f t="shared" si="58"/>
        <v>-2</v>
      </c>
      <c r="AN153" s="36">
        <f t="shared" si="58"/>
        <v>-1</v>
      </c>
      <c r="AO153" s="36">
        <f t="shared" si="58"/>
        <v>-2</v>
      </c>
      <c r="AP153" s="36">
        <f t="shared" si="58"/>
        <v>-1</v>
      </c>
      <c r="AQ153" s="36">
        <f t="shared" si="58"/>
        <v>0</v>
      </c>
      <c r="AR153" s="36">
        <f t="shared" si="58"/>
        <v>0</v>
      </c>
      <c r="AS153" s="36">
        <f t="shared" si="58"/>
        <v>0</v>
      </c>
      <c r="AT153" s="36">
        <f t="shared" si="58"/>
        <v>0</v>
      </c>
      <c r="AU153" s="36">
        <f t="shared" si="58"/>
        <v>0</v>
      </c>
      <c r="AV153" s="36">
        <f t="shared" si="58"/>
        <v>-1</v>
      </c>
      <c r="AW153" s="36">
        <f t="shared" si="58"/>
        <v>-1</v>
      </c>
      <c r="AX153" s="36">
        <f t="shared" si="58"/>
        <v>-1</v>
      </c>
      <c r="AY153" s="36">
        <f t="shared" si="58"/>
        <v>-1</v>
      </c>
      <c r="AZ153" s="36">
        <f t="shared" si="58"/>
        <v>-1</v>
      </c>
      <c r="BA153" s="36">
        <f t="shared" si="58"/>
        <v>-1</v>
      </c>
      <c r="BB153" s="36">
        <f t="shared" si="58"/>
        <v>0</v>
      </c>
      <c r="BC153" s="36">
        <f t="shared" si="58"/>
        <v>-1</v>
      </c>
      <c r="BD153" s="36">
        <f t="shared" si="58"/>
        <v>-1</v>
      </c>
      <c r="BE153" s="36">
        <f t="shared" si="58"/>
        <v>-1</v>
      </c>
      <c r="BF153" s="10">
        <f t="shared" si="58"/>
        <v>-40</v>
      </c>
    </row>
    <row r="154" spans="2:58" ht="22" customHeight="1">
      <c r="B154" s="104">
        <v>39</v>
      </c>
      <c r="C154" s="118" t="s">
        <v>114</v>
      </c>
      <c r="D154" s="105" t="s">
        <v>115</v>
      </c>
      <c r="E154" s="115"/>
      <c r="F154" s="119"/>
      <c r="G154" s="114">
        <f>SUM(Y154:AZ154)</f>
        <v>0</v>
      </c>
      <c r="H154" s="114">
        <f>SUM(Y155:AZ155)</f>
        <v>0</v>
      </c>
      <c r="I154" s="100"/>
      <c r="J154" s="116">
        <f>IFERROR(H154/G154,0)</f>
        <v>0</v>
      </c>
      <c r="K154" s="113">
        <v>0.33333333333333331</v>
      </c>
      <c r="L154" s="113">
        <v>0.33333333333333331</v>
      </c>
      <c r="M154" s="100"/>
      <c r="N154" s="100"/>
      <c r="O154" s="100"/>
      <c r="P154" s="100"/>
      <c r="Q154" s="100"/>
      <c r="R154" s="100"/>
      <c r="S154" s="115" t="s">
        <v>47</v>
      </c>
      <c r="T154" s="9"/>
      <c r="U154" s="9"/>
      <c r="V154" s="9"/>
      <c r="W154" s="9"/>
      <c r="X154" s="7" t="s">
        <v>31</v>
      </c>
      <c r="Y154" s="29">
        <v>0</v>
      </c>
      <c r="Z154" s="29">
        <v>0</v>
      </c>
      <c r="AA154" s="29">
        <v>0</v>
      </c>
      <c r="AB154" s="29">
        <v>0</v>
      </c>
      <c r="AC154" s="29">
        <v>0</v>
      </c>
      <c r="AD154" s="29">
        <v>0</v>
      </c>
      <c r="AE154" s="29">
        <v>0</v>
      </c>
      <c r="AF154" s="29">
        <v>0</v>
      </c>
      <c r="AG154" s="29">
        <v>0</v>
      </c>
      <c r="AH154" s="29">
        <v>0</v>
      </c>
      <c r="AI154" s="29">
        <v>0</v>
      </c>
      <c r="AJ154" s="29">
        <v>0</v>
      </c>
      <c r="AK154" s="29">
        <v>0</v>
      </c>
      <c r="AL154" s="29">
        <v>0</v>
      </c>
      <c r="AM154" s="29">
        <v>0</v>
      </c>
      <c r="AN154" s="29">
        <v>0</v>
      </c>
      <c r="AO154" s="29">
        <v>0</v>
      </c>
      <c r="AP154" s="29">
        <v>0</v>
      </c>
      <c r="AQ154" s="29">
        <v>0</v>
      </c>
      <c r="AR154" s="29">
        <v>0</v>
      </c>
      <c r="AS154" s="29">
        <v>0</v>
      </c>
      <c r="AT154" s="29">
        <v>0</v>
      </c>
      <c r="AU154" s="29">
        <v>0</v>
      </c>
      <c r="AV154" s="29">
        <v>0</v>
      </c>
      <c r="AW154" s="29">
        <v>0</v>
      </c>
      <c r="AX154" s="29">
        <v>0</v>
      </c>
      <c r="AY154" s="29">
        <v>0</v>
      </c>
      <c r="AZ154" s="29">
        <v>0</v>
      </c>
      <c r="BA154" s="29">
        <v>0</v>
      </c>
      <c r="BB154" s="29">
        <v>0</v>
      </c>
      <c r="BC154" s="29">
        <v>0</v>
      </c>
      <c r="BD154" s="29">
        <v>0</v>
      </c>
      <c r="BE154" s="29">
        <v>0</v>
      </c>
      <c r="BF154" s="10">
        <f>SUM(Y154:BE154)</f>
        <v>0</v>
      </c>
    </row>
    <row r="155" spans="2:58" ht="22" customHeight="1">
      <c r="B155" s="101"/>
      <c r="C155" s="101"/>
      <c r="D155" s="101"/>
      <c r="E155" s="101"/>
      <c r="F155" s="101"/>
      <c r="G155" s="101"/>
      <c r="H155" s="101"/>
      <c r="I155" s="101"/>
      <c r="J155" s="101"/>
      <c r="K155" s="101"/>
      <c r="L155" s="101"/>
      <c r="M155" s="101"/>
      <c r="N155" s="101"/>
      <c r="O155" s="101"/>
      <c r="P155" s="101"/>
      <c r="Q155" s="101"/>
      <c r="R155" s="101"/>
      <c r="S155" s="101"/>
      <c r="T155" s="9"/>
      <c r="U155" s="9"/>
      <c r="V155" s="9"/>
      <c r="W155" s="9"/>
      <c r="X155" s="7" t="s">
        <v>10</v>
      </c>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0">
        <f>SUM(Y155:BE155)</f>
        <v>0</v>
      </c>
    </row>
    <row r="156" spans="2:58" ht="22" customHeight="1">
      <c r="B156" s="102"/>
      <c r="C156" s="102"/>
      <c r="D156" s="102"/>
      <c r="E156" s="102"/>
      <c r="F156" s="102"/>
      <c r="G156" s="102"/>
      <c r="H156" s="102"/>
      <c r="I156" s="102"/>
      <c r="J156" s="102"/>
      <c r="K156" s="102"/>
      <c r="L156" s="102"/>
      <c r="M156" s="102"/>
      <c r="N156" s="102"/>
      <c r="O156" s="102"/>
      <c r="P156" s="102"/>
      <c r="Q156" s="102"/>
      <c r="R156" s="102"/>
      <c r="S156" s="102"/>
      <c r="T156" s="9"/>
      <c r="U156" s="9"/>
      <c r="V156" s="9"/>
      <c r="W156" s="9"/>
      <c r="X156" s="7" t="s">
        <v>11</v>
      </c>
      <c r="Y156" s="3">
        <f t="shared" ref="Y156:BF156" si="59">Y155-Y154</f>
        <v>0</v>
      </c>
      <c r="Z156" s="3">
        <f t="shared" si="59"/>
        <v>0</v>
      </c>
      <c r="AA156" s="3">
        <f t="shared" si="59"/>
        <v>0</v>
      </c>
      <c r="AB156" s="3">
        <f t="shared" si="59"/>
        <v>0</v>
      </c>
      <c r="AC156" s="3">
        <f t="shared" si="59"/>
        <v>0</v>
      </c>
      <c r="AD156" s="3">
        <f t="shared" si="59"/>
        <v>0</v>
      </c>
      <c r="AE156" s="3">
        <f t="shared" si="59"/>
        <v>0</v>
      </c>
      <c r="AF156" s="3">
        <f t="shared" si="59"/>
        <v>0</v>
      </c>
      <c r="AG156" s="3">
        <f t="shared" si="59"/>
        <v>0</v>
      </c>
      <c r="AH156" s="3">
        <f t="shared" si="59"/>
        <v>0</v>
      </c>
      <c r="AI156" s="3">
        <f t="shared" si="59"/>
        <v>0</v>
      </c>
      <c r="AJ156" s="3">
        <f t="shared" si="59"/>
        <v>0</v>
      </c>
      <c r="AK156" s="3">
        <f t="shared" si="59"/>
        <v>0</v>
      </c>
      <c r="AL156" s="3">
        <f t="shared" si="59"/>
        <v>0</v>
      </c>
      <c r="AM156" s="3">
        <f t="shared" si="59"/>
        <v>0</v>
      </c>
      <c r="AN156" s="3">
        <f t="shared" si="59"/>
        <v>0</v>
      </c>
      <c r="AO156" s="3">
        <f t="shared" si="59"/>
        <v>0</v>
      </c>
      <c r="AP156" s="3">
        <f t="shared" si="59"/>
        <v>0</v>
      </c>
      <c r="AQ156" s="3">
        <f t="shared" si="59"/>
        <v>0</v>
      </c>
      <c r="AR156" s="3">
        <f t="shared" si="59"/>
        <v>0</v>
      </c>
      <c r="AS156" s="3">
        <f t="shared" si="59"/>
        <v>0</v>
      </c>
      <c r="AT156" s="3">
        <f t="shared" si="59"/>
        <v>0</v>
      </c>
      <c r="AU156" s="3">
        <f t="shared" si="59"/>
        <v>0</v>
      </c>
      <c r="AV156" s="3">
        <f t="shared" si="59"/>
        <v>0</v>
      </c>
      <c r="AW156" s="3">
        <f t="shared" si="59"/>
        <v>0</v>
      </c>
      <c r="AX156" s="3">
        <f t="shared" si="59"/>
        <v>0</v>
      </c>
      <c r="AY156" s="3">
        <f t="shared" si="59"/>
        <v>0</v>
      </c>
      <c r="AZ156" s="3">
        <f t="shared" si="59"/>
        <v>0</v>
      </c>
      <c r="BA156" s="3">
        <f t="shared" si="59"/>
        <v>0</v>
      </c>
      <c r="BB156" s="3">
        <f t="shared" si="59"/>
        <v>0</v>
      </c>
      <c r="BC156" s="3">
        <f t="shared" si="59"/>
        <v>0</v>
      </c>
      <c r="BD156" s="3">
        <f t="shared" si="59"/>
        <v>0</v>
      </c>
      <c r="BE156" s="3">
        <f t="shared" si="59"/>
        <v>0</v>
      </c>
      <c r="BF156" s="10">
        <f t="shared" si="59"/>
        <v>0</v>
      </c>
    </row>
    <row r="157" spans="2:58" ht="22" customHeight="1">
      <c r="B157" s="107">
        <v>40</v>
      </c>
      <c r="C157" s="117" t="s">
        <v>116</v>
      </c>
      <c r="D157" s="108" t="s">
        <v>117</v>
      </c>
      <c r="E157" s="103"/>
      <c r="F157" s="109"/>
      <c r="G157" s="106">
        <f>SUM(Y157:AZ157)</f>
        <v>78</v>
      </c>
      <c r="H157" s="106">
        <f>SUM(Y158:AZ158)</f>
        <v>0</v>
      </c>
      <c r="I157" s="111"/>
      <c r="J157" s="112">
        <f>IFERROR(H157/G157,0)</f>
        <v>0</v>
      </c>
      <c r="K157" s="110">
        <v>9.375E-2</v>
      </c>
      <c r="L157" s="110">
        <v>9.375E-2</v>
      </c>
      <c r="M157" s="111"/>
      <c r="N157" s="111"/>
      <c r="O157" s="111"/>
      <c r="P157" s="111"/>
      <c r="Q157" s="111"/>
      <c r="R157" s="111"/>
      <c r="S157" s="103" t="s">
        <v>47</v>
      </c>
      <c r="T157" s="39"/>
      <c r="U157" s="39"/>
      <c r="V157" s="39"/>
      <c r="W157" s="39"/>
      <c r="X157" s="33" t="s">
        <v>31</v>
      </c>
      <c r="Y157" s="40">
        <v>4</v>
      </c>
      <c r="Z157" s="40">
        <v>3</v>
      </c>
      <c r="AA157" s="40">
        <v>3</v>
      </c>
      <c r="AB157" s="40">
        <v>4</v>
      </c>
      <c r="AC157" s="40">
        <v>4</v>
      </c>
      <c r="AD157" s="40">
        <v>4</v>
      </c>
      <c r="AE157" s="40">
        <v>4</v>
      </c>
      <c r="AF157" s="40">
        <v>4</v>
      </c>
      <c r="AG157" s="40">
        <v>3</v>
      </c>
      <c r="AH157" s="40">
        <v>2</v>
      </c>
      <c r="AI157" s="40">
        <v>2</v>
      </c>
      <c r="AJ157" s="40">
        <v>4</v>
      </c>
      <c r="AK157" s="40">
        <v>4</v>
      </c>
      <c r="AL157" s="40">
        <v>4</v>
      </c>
      <c r="AM157" s="40">
        <v>4</v>
      </c>
      <c r="AN157" s="40">
        <v>3</v>
      </c>
      <c r="AO157" s="40">
        <v>2</v>
      </c>
      <c r="AP157" s="40">
        <v>2</v>
      </c>
      <c r="AQ157" s="40">
        <v>3</v>
      </c>
      <c r="AR157" s="40">
        <v>3</v>
      </c>
      <c r="AS157" s="40">
        <v>3</v>
      </c>
      <c r="AT157" s="40">
        <v>3</v>
      </c>
      <c r="AU157" s="40">
        <v>1</v>
      </c>
      <c r="AV157" s="40">
        <v>1</v>
      </c>
      <c r="AW157" s="40">
        <v>1</v>
      </c>
      <c r="AX157" s="40">
        <v>1</v>
      </c>
      <c r="AY157" s="40">
        <v>1</v>
      </c>
      <c r="AZ157" s="40">
        <v>1</v>
      </c>
      <c r="BA157" s="40">
        <v>1</v>
      </c>
      <c r="BB157" s="40">
        <v>0</v>
      </c>
      <c r="BC157" s="40">
        <v>0</v>
      </c>
      <c r="BD157" s="40">
        <v>1</v>
      </c>
      <c r="BE157" s="40">
        <v>1</v>
      </c>
      <c r="BF157" s="10">
        <f>SUM(Y157:BE157)</f>
        <v>81</v>
      </c>
    </row>
    <row r="158" spans="2:58" ht="22" customHeight="1">
      <c r="B158" s="101"/>
      <c r="C158" s="101"/>
      <c r="D158" s="101"/>
      <c r="E158" s="101"/>
      <c r="F158" s="101"/>
      <c r="G158" s="101"/>
      <c r="H158" s="101"/>
      <c r="I158" s="101"/>
      <c r="J158" s="101"/>
      <c r="K158" s="101"/>
      <c r="L158" s="101"/>
      <c r="M158" s="101"/>
      <c r="N158" s="101"/>
      <c r="O158" s="101"/>
      <c r="P158" s="101"/>
      <c r="Q158" s="101"/>
      <c r="R158" s="101"/>
      <c r="S158" s="101"/>
      <c r="T158" s="39"/>
      <c r="U158" s="39"/>
      <c r="V158" s="39"/>
      <c r="W158" s="39"/>
      <c r="X158" s="33" t="s">
        <v>10</v>
      </c>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41"/>
      <c r="BB158" s="41"/>
      <c r="BC158" s="41"/>
      <c r="BD158" s="41"/>
      <c r="BE158" s="41"/>
      <c r="BF158" s="10">
        <f>SUM(Y158:BE158)</f>
        <v>0</v>
      </c>
    </row>
    <row r="159" spans="2:58" ht="22" customHeight="1">
      <c r="B159" s="102"/>
      <c r="C159" s="102"/>
      <c r="D159" s="102"/>
      <c r="E159" s="102"/>
      <c r="F159" s="102"/>
      <c r="G159" s="102"/>
      <c r="H159" s="102"/>
      <c r="I159" s="102"/>
      <c r="J159" s="102"/>
      <c r="K159" s="102"/>
      <c r="L159" s="102"/>
      <c r="M159" s="102"/>
      <c r="N159" s="102"/>
      <c r="O159" s="102"/>
      <c r="P159" s="102"/>
      <c r="Q159" s="102"/>
      <c r="R159" s="102"/>
      <c r="S159" s="102"/>
      <c r="T159" s="39"/>
      <c r="U159" s="39"/>
      <c r="V159" s="39"/>
      <c r="W159" s="39"/>
      <c r="X159" s="33" t="s">
        <v>11</v>
      </c>
      <c r="Y159" s="36">
        <f t="shared" ref="Y159:BF159" si="60">Y158-Y157</f>
        <v>-4</v>
      </c>
      <c r="Z159" s="36">
        <f t="shared" si="60"/>
        <v>-3</v>
      </c>
      <c r="AA159" s="36">
        <f t="shared" si="60"/>
        <v>-3</v>
      </c>
      <c r="AB159" s="36">
        <f t="shared" si="60"/>
        <v>-4</v>
      </c>
      <c r="AC159" s="36">
        <f t="shared" si="60"/>
        <v>-4</v>
      </c>
      <c r="AD159" s="36">
        <f t="shared" si="60"/>
        <v>-4</v>
      </c>
      <c r="AE159" s="36">
        <f t="shared" si="60"/>
        <v>-4</v>
      </c>
      <c r="AF159" s="36">
        <f t="shared" si="60"/>
        <v>-4</v>
      </c>
      <c r="AG159" s="36">
        <f t="shared" si="60"/>
        <v>-3</v>
      </c>
      <c r="AH159" s="36">
        <f t="shared" si="60"/>
        <v>-2</v>
      </c>
      <c r="AI159" s="36">
        <f t="shared" si="60"/>
        <v>-2</v>
      </c>
      <c r="AJ159" s="36">
        <f t="shared" si="60"/>
        <v>-4</v>
      </c>
      <c r="AK159" s="36">
        <f t="shared" si="60"/>
        <v>-4</v>
      </c>
      <c r="AL159" s="36">
        <f t="shared" si="60"/>
        <v>-4</v>
      </c>
      <c r="AM159" s="36">
        <f t="shared" si="60"/>
        <v>-4</v>
      </c>
      <c r="AN159" s="36">
        <f t="shared" si="60"/>
        <v>-3</v>
      </c>
      <c r="AO159" s="36">
        <f t="shared" si="60"/>
        <v>-2</v>
      </c>
      <c r="AP159" s="36">
        <f t="shared" si="60"/>
        <v>-2</v>
      </c>
      <c r="AQ159" s="36">
        <f t="shared" si="60"/>
        <v>-3</v>
      </c>
      <c r="AR159" s="36">
        <f t="shared" si="60"/>
        <v>-3</v>
      </c>
      <c r="AS159" s="36">
        <f t="shared" si="60"/>
        <v>-3</v>
      </c>
      <c r="AT159" s="36">
        <f t="shared" si="60"/>
        <v>-3</v>
      </c>
      <c r="AU159" s="36">
        <f t="shared" si="60"/>
        <v>-1</v>
      </c>
      <c r="AV159" s="36">
        <f t="shared" si="60"/>
        <v>-1</v>
      </c>
      <c r="AW159" s="36">
        <f t="shared" si="60"/>
        <v>-1</v>
      </c>
      <c r="AX159" s="36">
        <f t="shared" si="60"/>
        <v>-1</v>
      </c>
      <c r="AY159" s="36">
        <f t="shared" si="60"/>
        <v>-1</v>
      </c>
      <c r="AZ159" s="36">
        <f t="shared" si="60"/>
        <v>-1</v>
      </c>
      <c r="BA159" s="36">
        <f t="shared" si="60"/>
        <v>-1</v>
      </c>
      <c r="BB159" s="36">
        <f t="shared" si="60"/>
        <v>0</v>
      </c>
      <c r="BC159" s="36">
        <f t="shared" si="60"/>
        <v>0</v>
      </c>
      <c r="BD159" s="36">
        <f t="shared" si="60"/>
        <v>-1</v>
      </c>
      <c r="BE159" s="36">
        <f t="shared" si="60"/>
        <v>-1</v>
      </c>
      <c r="BF159" s="10">
        <f t="shared" si="60"/>
        <v>-81</v>
      </c>
    </row>
    <row r="160" spans="2:58" ht="22" customHeight="1">
      <c r="B160" s="104">
        <v>41</v>
      </c>
      <c r="C160" s="118" t="s">
        <v>118</v>
      </c>
      <c r="D160" s="105" t="s">
        <v>119</v>
      </c>
      <c r="E160" s="115"/>
      <c r="F160" s="119"/>
      <c r="G160" s="114">
        <f>SUM(Y160:AZ160)</f>
        <v>39</v>
      </c>
      <c r="H160" s="114">
        <f>SUM(Y161:AZ161)</f>
        <v>0</v>
      </c>
      <c r="I160" s="100"/>
      <c r="J160" s="116">
        <f>IFERROR(H160/G160,0)</f>
        <v>0</v>
      </c>
      <c r="K160" s="113">
        <v>0.125</v>
      </c>
      <c r="L160" s="113">
        <v>0.125</v>
      </c>
      <c r="M160" s="100"/>
      <c r="N160" s="100"/>
      <c r="O160" s="100"/>
      <c r="P160" s="100"/>
      <c r="Q160" s="100"/>
      <c r="R160" s="100"/>
      <c r="S160" s="115" t="s">
        <v>37</v>
      </c>
      <c r="T160" s="9"/>
      <c r="U160" s="9"/>
      <c r="V160" s="9"/>
      <c r="W160" s="9"/>
      <c r="X160" s="7" t="s">
        <v>31</v>
      </c>
      <c r="Y160" s="29">
        <v>2</v>
      </c>
      <c r="Z160" s="29">
        <v>2</v>
      </c>
      <c r="AA160" s="29">
        <v>2</v>
      </c>
      <c r="AB160" s="29">
        <v>2</v>
      </c>
      <c r="AC160" s="29">
        <v>2</v>
      </c>
      <c r="AD160" s="29">
        <v>2</v>
      </c>
      <c r="AE160" s="29">
        <v>2</v>
      </c>
      <c r="AF160" s="29">
        <v>2</v>
      </c>
      <c r="AG160" s="29">
        <v>2</v>
      </c>
      <c r="AH160" s="29">
        <v>2</v>
      </c>
      <c r="AI160" s="29">
        <v>2</v>
      </c>
      <c r="AJ160" s="29">
        <v>1</v>
      </c>
      <c r="AK160" s="29">
        <v>1</v>
      </c>
      <c r="AL160" s="29">
        <v>1</v>
      </c>
      <c r="AM160" s="29">
        <v>1</v>
      </c>
      <c r="AN160" s="29">
        <v>1</v>
      </c>
      <c r="AO160" s="29">
        <v>1</v>
      </c>
      <c r="AP160" s="29">
        <v>1</v>
      </c>
      <c r="AQ160" s="29">
        <v>1</v>
      </c>
      <c r="AR160" s="29">
        <v>1</v>
      </c>
      <c r="AS160" s="29">
        <v>1</v>
      </c>
      <c r="AT160" s="29">
        <v>1</v>
      </c>
      <c r="AU160" s="29">
        <v>1</v>
      </c>
      <c r="AV160" s="29">
        <v>1</v>
      </c>
      <c r="AW160" s="29">
        <v>1</v>
      </c>
      <c r="AX160" s="29">
        <v>1</v>
      </c>
      <c r="AY160" s="29">
        <v>1</v>
      </c>
      <c r="AZ160" s="29">
        <v>1</v>
      </c>
      <c r="BA160" s="29">
        <v>1</v>
      </c>
      <c r="BB160" s="29">
        <v>1</v>
      </c>
      <c r="BC160" s="29">
        <v>1</v>
      </c>
      <c r="BD160" s="29">
        <v>1</v>
      </c>
      <c r="BE160" s="29">
        <v>1</v>
      </c>
      <c r="BF160" s="10">
        <f>SUM(Y160:BE160)</f>
        <v>44</v>
      </c>
    </row>
    <row r="161" spans="2:58" ht="22" customHeight="1">
      <c r="B161" s="101"/>
      <c r="C161" s="101"/>
      <c r="D161" s="101"/>
      <c r="E161" s="101"/>
      <c r="F161" s="101"/>
      <c r="G161" s="101"/>
      <c r="H161" s="101"/>
      <c r="I161" s="101"/>
      <c r="J161" s="101"/>
      <c r="K161" s="101"/>
      <c r="L161" s="101"/>
      <c r="M161" s="101"/>
      <c r="N161" s="101"/>
      <c r="O161" s="101"/>
      <c r="P161" s="101"/>
      <c r="Q161" s="101"/>
      <c r="R161" s="101"/>
      <c r="S161" s="101"/>
      <c r="T161" s="9"/>
      <c r="U161" s="9"/>
      <c r="V161" s="9"/>
      <c r="W161" s="9"/>
      <c r="X161" s="7" t="s">
        <v>10</v>
      </c>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0">
        <f>SUM(Y161:BE161)</f>
        <v>0</v>
      </c>
    </row>
    <row r="162" spans="2:58" ht="22" customHeight="1">
      <c r="B162" s="101"/>
      <c r="C162" s="101"/>
      <c r="D162" s="101"/>
      <c r="E162" s="101"/>
      <c r="F162" s="101"/>
      <c r="G162" s="101"/>
      <c r="H162" s="101"/>
      <c r="I162" s="101"/>
      <c r="J162" s="101"/>
      <c r="K162" s="101"/>
      <c r="L162" s="101"/>
      <c r="M162" s="101"/>
      <c r="N162" s="101"/>
      <c r="O162" s="101"/>
      <c r="P162" s="101"/>
      <c r="Q162" s="101"/>
      <c r="R162" s="101"/>
      <c r="S162" s="101"/>
      <c r="T162" s="9"/>
      <c r="U162" s="9"/>
      <c r="V162" s="9"/>
      <c r="W162" s="9"/>
      <c r="X162" s="30" t="s">
        <v>38</v>
      </c>
      <c r="Y162" s="31">
        <v>1300</v>
      </c>
      <c r="Z162" s="31">
        <v>1300</v>
      </c>
      <c r="AA162" s="31">
        <v>1300</v>
      </c>
      <c r="AB162" s="31">
        <v>1300</v>
      </c>
      <c r="AC162" s="31">
        <v>1300</v>
      </c>
      <c r="AD162" s="31">
        <v>1300</v>
      </c>
      <c r="AE162" s="31">
        <v>1300</v>
      </c>
      <c r="AF162" s="31">
        <v>1300</v>
      </c>
      <c r="AG162" s="31">
        <v>1300</v>
      </c>
      <c r="AH162" s="31">
        <v>1300</v>
      </c>
      <c r="AI162" s="31">
        <v>1300</v>
      </c>
      <c r="AJ162" s="31">
        <v>1300</v>
      </c>
      <c r="AK162" s="31">
        <v>1300</v>
      </c>
      <c r="AL162" s="31">
        <v>1300</v>
      </c>
      <c r="AM162" s="31">
        <v>1300</v>
      </c>
      <c r="AN162" s="31">
        <v>1300</v>
      </c>
      <c r="AO162" s="31">
        <v>1300</v>
      </c>
      <c r="AP162" s="31">
        <v>1300</v>
      </c>
      <c r="AQ162" s="31">
        <v>1300</v>
      </c>
      <c r="AR162" s="31">
        <v>1300</v>
      </c>
      <c r="AS162" s="31">
        <v>1300</v>
      </c>
      <c r="AT162" s="31">
        <v>1300</v>
      </c>
      <c r="AU162" s="31">
        <v>1300</v>
      </c>
      <c r="AV162" s="31">
        <v>1300</v>
      </c>
      <c r="AW162" s="31">
        <v>1300</v>
      </c>
      <c r="AX162" s="31">
        <v>1300</v>
      </c>
      <c r="AY162" s="31">
        <v>1300</v>
      </c>
      <c r="AZ162" s="31">
        <v>1300</v>
      </c>
      <c r="BA162" s="31">
        <v>1300</v>
      </c>
      <c r="BB162" s="31">
        <v>1300</v>
      </c>
      <c r="BC162" s="31">
        <v>1300</v>
      </c>
      <c r="BD162" s="31">
        <v>1300</v>
      </c>
      <c r="BE162" s="31">
        <v>1300</v>
      </c>
      <c r="BF162" s="12">
        <f>SUM(Y162:BE162)</f>
        <v>42900</v>
      </c>
    </row>
    <row r="163" spans="2:58" ht="22" customHeight="1">
      <c r="B163" s="102"/>
      <c r="C163" s="102"/>
      <c r="D163" s="102"/>
      <c r="E163" s="102"/>
      <c r="F163" s="102"/>
      <c r="G163" s="102"/>
      <c r="H163" s="102"/>
      <c r="I163" s="102"/>
      <c r="J163" s="102"/>
      <c r="K163" s="102"/>
      <c r="L163" s="102"/>
      <c r="M163" s="102"/>
      <c r="N163" s="102"/>
      <c r="O163" s="102"/>
      <c r="P163" s="102"/>
      <c r="Q163" s="102"/>
      <c r="R163" s="102"/>
      <c r="S163" s="102"/>
      <c r="T163" s="9"/>
      <c r="U163" s="9"/>
      <c r="V163" s="9"/>
      <c r="W163" s="9"/>
      <c r="X163" s="7" t="s">
        <v>11</v>
      </c>
      <c r="Y163" s="3">
        <f t="shared" ref="Y163:BF163" si="61">Y161-Y160</f>
        <v>-2</v>
      </c>
      <c r="Z163" s="3">
        <f t="shared" si="61"/>
        <v>-2</v>
      </c>
      <c r="AA163" s="3">
        <f t="shared" si="61"/>
        <v>-2</v>
      </c>
      <c r="AB163" s="3">
        <f t="shared" si="61"/>
        <v>-2</v>
      </c>
      <c r="AC163" s="3">
        <f t="shared" si="61"/>
        <v>-2</v>
      </c>
      <c r="AD163" s="3">
        <f t="shared" si="61"/>
        <v>-2</v>
      </c>
      <c r="AE163" s="3">
        <f t="shared" si="61"/>
        <v>-2</v>
      </c>
      <c r="AF163" s="3">
        <f t="shared" si="61"/>
        <v>-2</v>
      </c>
      <c r="AG163" s="3">
        <f t="shared" si="61"/>
        <v>-2</v>
      </c>
      <c r="AH163" s="3">
        <f t="shared" si="61"/>
        <v>-2</v>
      </c>
      <c r="AI163" s="3">
        <f t="shared" si="61"/>
        <v>-2</v>
      </c>
      <c r="AJ163" s="3">
        <f t="shared" si="61"/>
        <v>-1</v>
      </c>
      <c r="AK163" s="3">
        <f t="shared" si="61"/>
        <v>-1</v>
      </c>
      <c r="AL163" s="3">
        <f t="shared" si="61"/>
        <v>-1</v>
      </c>
      <c r="AM163" s="3">
        <f t="shared" si="61"/>
        <v>-1</v>
      </c>
      <c r="AN163" s="3">
        <f t="shared" si="61"/>
        <v>-1</v>
      </c>
      <c r="AO163" s="3">
        <f t="shared" si="61"/>
        <v>-1</v>
      </c>
      <c r="AP163" s="3">
        <f t="shared" si="61"/>
        <v>-1</v>
      </c>
      <c r="AQ163" s="3">
        <f t="shared" si="61"/>
        <v>-1</v>
      </c>
      <c r="AR163" s="3">
        <f t="shared" si="61"/>
        <v>-1</v>
      </c>
      <c r="AS163" s="3">
        <f t="shared" si="61"/>
        <v>-1</v>
      </c>
      <c r="AT163" s="3">
        <f t="shared" si="61"/>
        <v>-1</v>
      </c>
      <c r="AU163" s="3">
        <f t="shared" si="61"/>
        <v>-1</v>
      </c>
      <c r="AV163" s="3">
        <f t="shared" si="61"/>
        <v>-1</v>
      </c>
      <c r="AW163" s="3">
        <f t="shared" si="61"/>
        <v>-1</v>
      </c>
      <c r="AX163" s="3">
        <f t="shared" si="61"/>
        <v>-1</v>
      </c>
      <c r="AY163" s="3">
        <f t="shared" si="61"/>
        <v>-1</v>
      </c>
      <c r="AZ163" s="3">
        <f t="shared" si="61"/>
        <v>-1</v>
      </c>
      <c r="BA163" s="3">
        <f t="shared" si="61"/>
        <v>-1</v>
      </c>
      <c r="BB163" s="3">
        <f t="shared" si="61"/>
        <v>-1</v>
      </c>
      <c r="BC163" s="3">
        <f t="shared" si="61"/>
        <v>-1</v>
      </c>
      <c r="BD163" s="3">
        <f t="shared" si="61"/>
        <v>-1</v>
      </c>
      <c r="BE163" s="3">
        <f t="shared" si="61"/>
        <v>-1</v>
      </c>
      <c r="BF163" s="10">
        <f t="shared" si="61"/>
        <v>-44</v>
      </c>
    </row>
    <row r="164" spans="2:58" ht="22" customHeight="1">
      <c r="B164" s="107">
        <v>42</v>
      </c>
      <c r="C164" s="117" t="s">
        <v>120</v>
      </c>
      <c r="D164" s="108" t="s">
        <v>121</v>
      </c>
      <c r="E164" s="103"/>
      <c r="F164" s="109"/>
      <c r="G164" s="106">
        <f>SUM(Y164:AZ164)</f>
        <v>10</v>
      </c>
      <c r="H164" s="106">
        <f>SUM(Y165:AZ165)</f>
        <v>0</v>
      </c>
      <c r="I164" s="111"/>
      <c r="J164" s="112">
        <f>IFERROR(H164/G164,0)</f>
        <v>0</v>
      </c>
      <c r="K164" s="110">
        <v>0.66666666666666663</v>
      </c>
      <c r="L164" s="110">
        <v>0.66666666666666663</v>
      </c>
      <c r="M164" s="111"/>
      <c r="N164" s="111"/>
      <c r="O164" s="111"/>
      <c r="P164" s="111"/>
      <c r="Q164" s="111"/>
      <c r="R164" s="111"/>
      <c r="S164" s="103" t="s">
        <v>37</v>
      </c>
      <c r="T164" s="39"/>
      <c r="U164" s="39"/>
      <c r="V164" s="39"/>
      <c r="W164" s="39"/>
      <c r="X164" s="33" t="s">
        <v>31</v>
      </c>
      <c r="Y164" s="40">
        <v>1</v>
      </c>
      <c r="Z164" s="40">
        <v>1</v>
      </c>
      <c r="AA164" s="40">
        <v>1</v>
      </c>
      <c r="AB164" s="40">
        <v>1</v>
      </c>
      <c r="AC164" s="40">
        <v>1</v>
      </c>
      <c r="AD164" s="40">
        <v>1</v>
      </c>
      <c r="AE164" s="40">
        <v>1</v>
      </c>
      <c r="AF164" s="40">
        <v>1</v>
      </c>
      <c r="AG164" s="40">
        <v>1</v>
      </c>
      <c r="AH164" s="40">
        <v>1</v>
      </c>
      <c r="AI164" s="40">
        <v>0</v>
      </c>
      <c r="AJ164" s="40">
        <v>0</v>
      </c>
      <c r="AK164" s="40">
        <v>0</v>
      </c>
      <c r="AL164" s="40">
        <v>0</v>
      </c>
      <c r="AM164" s="40">
        <v>0</v>
      </c>
      <c r="AN164" s="40">
        <v>0</v>
      </c>
      <c r="AO164" s="40">
        <v>0</v>
      </c>
      <c r="AP164" s="40">
        <v>0</v>
      </c>
      <c r="AQ164" s="40">
        <v>0</v>
      </c>
      <c r="AR164" s="40">
        <v>0</v>
      </c>
      <c r="AS164" s="40">
        <v>0</v>
      </c>
      <c r="AT164" s="40">
        <v>0</v>
      </c>
      <c r="AU164" s="40">
        <v>0</v>
      </c>
      <c r="AV164" s="40">
        <v>0</v>
      </c>
      <c r="AW164" s="40">
        <v>0</v>
      </c>
      <c r="AX164" s="40">
        <v>0</v>
      </c>
      <c r="AY164" s="40">
        <v>0</v>
      </c>
      <c r="AZ164" s="40">
        <v>0</v>
      </c>
      <c r="BA164" s="40">
        <v>0</v>
      </c>
      <c r="BB164" s="40">
        <v>0</v>
      </c>
      <c r="BC164" s="40">
        <v>0</v>
      </c>
      <c r="BD164" s="40">
        <v>0</v>
      </c>
      <c r="BE164" s="40">
        <v>0</v>
      </c>
      <c r="BF164" s="10">
        <f>SUM(Y164:BE164)</f>
        <v>10</v>
      </c>
    </row>
    <row r="165" spans="2:58" ht="22" customHeight="1">
      <c r="B165" s="101"/>
      <c r="C165" s="101"/>
      <c r="D165" s="101"/>
      <c r="E165" s="101"/>
      <c r="F165" s="101"/>
      <c r="G165" s="101"/>
      <c r="H165" s="101"/>
      <c r="I165" s="101"/>
      <c r="J165" s="101"/>
      <c r="K165" s="101"/>
      <c r="L165" s="101"/>
      <c r="M165" s="101"/>
      <c r="N165" s="101"/>
      <c r="O165" s="101"/>
      <c r="P165" s="101"/>
      <c r="Q165" s="101"/>
      <c r="R165" s="101"/>
      <c r="S165" s="101"/>
      <c r="T165" s="39"/>
      <c r="U165" s="39"/>
      <c r="V165" s="39"/>
      <c r="W165" s="39"/>
      <c r="X165" s="33" t="s">
        <v>10</v>
      </c>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41"/>
      <c r="BB165" s="41"/>
      <c r="BC165" s="41"/>
      <c r="BD165" s="41"/>
      <c r="BE165" s="41"/>
      <c r="BF165" s="10">
        <f>SUM(Y165:BE165)</f>
        <v>0</v>
      </c>
    </row>
    <row r="166" spans="2:58" ht="22" customHeight="1">
      <c r="B166" s="101"/>
      <c r="C166" s="101"/>
      <c r="D166" s="101"/>
      <c r="E166" s="101"/>
      <c r="F166" s="101"/>
      <c r="G166" s="101"/>
      <c r="H166" s="101"/>
      <c r="I166" s="101"/>
      <c r="J166" s="101"/>
      <c r="K166" s="101"/>
      <c r="L166" s="101"/>
      <c r="M166" s="101"/>
      <c r="N166" s="101"/>
      <c r="O166" s="101"/>
      <c r="P166" s="101"/>
      <c r="Q166" s="101"/>
      <c r="R166" s="101"/>
      <c r="S166" s="101"/>
      <c r="T166" s="39"/>
      <c r="U166" s="39"/>
      <c r="V166" s="39"/>
      <c r="W166" s="39"/>
      <c r="X166" s="42" t="s">
        <v>38</v>
      </c>
      <c r="Y166" s="43">
        <v>1300</v>
      </c>
      <c r="Z166" s="43">
        <v>1300</v>
      </c>
      <c r="AA166" s="43">
        <v>1300</v>
      </c>
      <c r="AB166" s="43">
        <v>1300</v>
      </c>
      <c r="AC166" s="43">
        <v>1300</v>
      </c>
      <c r="AD166" s="43">
        <v>1300</v>
      </c>
      <c r="AE166" s="43">
        <v>1300</v>
      </c>
      <c r="AF166" s="43">
        <v>1300</v>
      </c>
      <c r="AG166" s="43">
        <v>1300</v>
      </c>
      <c r="AH166" s="43">
        <v>1300</v>
      </c>
      <c r="AI166" s="43">
        <v>1300</v>
      </c>
      <c r="AJ166" s="43">
        <v>1300</v>
      </c>
      <c r="AK166" s="43">
        <v>1300</v>
      </c>
      <c r="AL166" s="43">
        <v>1300</v>
      </c>
      <c r="AM166" s="43">
        <v>1300</v>
      </c>
      <c r="AN166" s="43">
        <v>1300</v>
      </c>
      <c r="AO166" s="43">
        <v>1300</v>
      </c>
      <c r="AP166" s="43">
        <v>1300</v>
      </c>
      <c r="AQ166" s="43">
        <v>1300</v>
      </c>
      <c r="AR166" s="43">
        <v>1300</v>
      </c>
      <c r="AS166" s="43">
        <v>1300</v>
      </c>
      <c r="AT166" s="43">
        <v>1300</v>
      </c>
      <c r="AU166" s="43">
        <v>1300</v>
      </c>
      <c r="AV166" s="43">
        <v>1300</v>
      </c>
      <c r="AW166" s="43">
        <v>1300</v>
      </c>
      <c r="AX166" s="43">
        <v>1300</v>
      </c>
      <c r="AY166" s="43">
        <v>1300</v>
      </c>
      <c r="AZ166" s="43">
        <v>1300</v>
      </c>
      <c r="BA166" s="43">
        <v>1300</v>
      </c>
      <c r="BB166" s="43">
        <v>1300</v>
      </c>
      <c r="BC166" s="43">
        <v>1300</v>
      </c>
      <c r="BD166" s="43">
        <v>1300</v>
      </c>
      <c r="BE166" s="43">
        <v>1300</v>
      </c>
      <c r="BF166" s="12">
        <f>SUM(Y166:BE166)</f>
        <v>42900</v>
      </c>
    </row>
    <row r="167" spans="2:58" ht="22" customHeight="1">
      <c r="B167" s="102"/>
      <c r="C167" s="102"/>
      <c r="D167" s="102"/>
      <c r="E167" s="102"/>
      <c r="F167" s="102"/>
      <c r="G167" s="102"/>
      <c r="H167" s="102"/>
      <c r="I167" s="102"/>
      <c r="J167" s="102"/>
      <c r="K167" s="102"/>
      <c r="L167" s="102"/>
      <c r="M167" s="102"/>
      <c r="N167" s="102"/>
      <c r="O167" s="102"/>
      <c r="P167" s="102"/>
      <c r="Q167" s="102"/>
      <c r="R167" s="102"/>
      <c r="S167" s="102"/>
      <c r="T167" s="39"/>
      <c r="U167" s="39"/>
      <c r="V167" s="39"/>
      <c r="W167" s="39"/>
      <c r="X167" s="33" t="s">
        <v>11</v>
      </c>
      <c r="Y167" s="36">
        <f t="shared" ref="Y167:BF167" si="62">Y165-Y164</f>
        <v>-1</v>
      </c>
      <c r="Z167" s="36">
        <f t="shared" si="62"/>
        <v>-1</v>
      </c>
      <c r="AA167" s="36">
        <f t="shared" si="62"/>
        <v>-1</v>
      </c>
      <c r="AB167" s="36">
        <f t="shared" si="62"/>
        <v>-1</v>
      </c>
      <c r="AC167" s="36">
        <f t="shared" si="62"/>
        <v>-1</v>
      </c>
      <c r="AD167" s="36">
        <f t="shared" si="62"/>
        <v>-1</v>
      </c>
      <c r="AE167" s="36">
        <f t="shared" si="62"/>
        <v>-1</v>
      </c>
      <c r="AF167" s="36">
        <f t="shared" si="62"/>
        <v>-1</v>
      </c>
      <c r="AG167" s="36">
        <f t="shared" si="62"/>
        <v>-1</v>
      </c>
      <c r="AH167" s="36">
        <f t="shared" si="62"/>
        <v>-1</v>
      </c>
      <c r="AI167" s="36">
        <f t="shared" si="62"/>
        <v>0</v>
      </c>
      <c r="AJ167" s="36">
        <f t="shared" si="62"/>
        <v>0</v>
      </c>
      <c r="AK167" s="36">
        <f t="shared" si="62"/>
        <v>0</v>
      </c>
      <c r="AL167" s="36">
        <f t="shared" si="62"/>
        <v>0</v>
      </c>
      <c r="AM167" s="36">
        <f t="shared" si="62"/>
        <v>0</v>
      </c>
      <c r="AN167" s="36">
        <f t="shared" si="62"/>
        <v>0</v>
      </c>
      <c r="AO167" s="36">
        <f t="shared" si="62"/>
        <v>0</v>
      </c>
      <c r="AP167" s="36">
        <f t="shared" si="62"/>
        <v>0</v>
      </c>
      <c r="AQ167" s="36">
        <f t="shared" si="62"/>
        <v>0</v>
      </c>
      <c r="AR167" s="36">
        <f t="shared" si="62"/>
        <v>0</v>
      </c>
      <c r="AS167" s="36">
        <f t="shared" si="62"/>
        <v>0</v>
      </c>
      <c r="AT167" s="36">
        <f t="shared" si="62"/>
        <v>0</v>
      </c>
      <c r="AU167" s="36">
        <f t="shared" si="62"/>
        <v>0</v>
      </c>
      <c r="AV167" s="36">
        <f t="shared" si="62"/>
        <v>0</v>
      </c>
      <c r="AW167" s="36">
        <f t="shared" si="62"/>
        <v>0</v>
      </c>
      <c r="AX167" s="36">
        <f t="shared" si="62"/>
        <v>0</v>
      </c>
      <c r="AY167" s="36">
        <f t="shared" si="62"/>
        <v>0</v>
      </c>
      <c r="AZ167" s="36">
        <f t="shared" si="62"/>
        <v>0</v>
      </c>
      <c r="BA167" s="36">
        <f t="shared" si="62"/>
        <v>0</v>
      </c>
      <c r="BB167" s="36">
        <f t="shared" si="62"/>
        <v>0</v>
      </c>
      <c r="BC167" s="36">
        <f t="shared" si="62"/>
        <v>0</v>
      </c>
      <c r="BD167" s="36">
        <f t="shared" si="62"/>
        <v>0</v>
      </c>
      <c r="BE167" s="36">
        <f t="shared" si="62"/>
        <v>0</v>
      </c>
      <c r="BF167" s="10">
        <f t="shared" si="62"/>
        <v>-10</v>
      </c>
    </row>
    <row r="168" spans="2:58" ht="22" customHeight="1">
      <c r="B168" s="104">
        <v>43</v>
      </c>
      <c r="C168" s="118" t="s">
        <v>122</v>
      </c>
      <c r="D168" s="105" t="s">
        <v>123</v>
      </c>
      <c r="E168" s="115"/>
      <c r="F168" s="119"/>
      <c r="G168" s="114">
        <f>SUM(Y168:AZ168)</f>
        <v>10</v>
      </c>
      <c r="H168" s="114">
        <f>SUM(Y169:AZ169)</f>
        <v>0</v>
      </c>
      <c r="I168" s="100"/>
      <c r="J168" s="116">
        <f>IFERROR(H168/G168,0)</f>
        <v>0</v>
      </c>
      <c r="K168" s="113">
        <v>0</v>
      </c>
      <c r="L168" s="113">
        <v>0</v>
      </c>
      <c r="M168" s="100"/>
      <c r="N168" s="100"/>
      <c r="O168" s="100"/>
      <c r="P168" s="100"/>
      <c r="Q168" s="100"/>
      <c r="R168" s="100"/>
      <c r="S168" s="115" t="s">
        <v>47</v>
      </c>
      <c r="T168" s="9"/>
      <c r="U168" s="9"/>
      <c r="V168" s="9"/>
      <c r="W168" s="9"/>
      <c r="X168" s="7" t="s">
        <v>31</v>
      </c>
      <c r="Y168" s="29">
        <v>1</v>
      </c>
      <c r="Z168" s="29">
        <v>1</v>
      </c>
      <c r="AA168" s="29">
        <v>1</v>
      </c>
      <c r="AB168" s="29">
        <v>1</v>
      </c>
      <c r="AC168" s="29">
        <v>1</v>
      </c>
      <c r="AD168" s="29">
        <v>1</v>
      </c>
      <c r="AE168" s="29">
        <v>1</v>
      </c>
      <c r="AF168" s="29">
        <v>1</v>
      </c>
      <c r="AG168" s="29">
        <v>1</v>
      </c>
      <c r="AH168" s="29">
        <v>1</v>
      </c>
      <c r="AI168" s="29">
        <v>0</v>
      </c>
      <c r="AJ168" s="29">
        <v>0</v>
      </c>
      <c r="AK168" s="29">
        <v>0</v>
      </c>
      <c r="AL168" s="29">
        <v>0</v>
      </c>
      <c r="AM168" s="29">
        <v>0</v>
      </c>
      <c r="AN168" s="29">
        <v>0</v>
      </c>
      <c r="AO168" s="29">
        <v>0</v>
      </c>
      <c r="AP168" s="29">
        <v>0</v>
      </c>
      <c r="AQ168" s="29">
        <v>0</v>
      </c>
      <c r="AR168" s="29">
        <v>0</v>
      </c>
      <c r="AS168" s="29">
        <v>0</v>
      </c>
      <c r="AT168" s="29">
        <v>0</v>
      </c>
      <c r="AU168" s="29">
        <v>0</v>
      </c>
      <c r="AV168" s="29">
        <v>0</v>
      </c>
      <c r="AW168" s="29">
        <v>0</v>
      </c>
      <c r="AX168" s="29">
        <v>0</v>
      </c>
      <c r="AY168" s="29">
        <v>0</v>
      </c>
      <c r="AZ168" s="29">
        <v>0</v>
      </c>
      <c r="BA168" s="29">
        <v>0</v>
      </c>
      <c r="BB168" s="29">
        <v>0</v>
      </c>
      <c r="BC168" s="29">
        <v>0</v>
      </c>
      <c r="BD168" s="29">
        <v>0</v>
      </c>
      <c r="BE168" s="29">
        <v>0</v>
      </c>
      <c r="BF168" s="10">
        <f>SUM(Y168:BE168)</f>
        <v>10</v>
      </c>
    </row>
    <row r="169" spans="2:58" ht="22" customHeight="1">
      <c r="B169" s="101"/>
      <c r="C169" s="101"/>
      <c r="D169" s="101"/>
      <c r="E169" s="101"/>
      <c r="F169" s="101"/>
      <c r="G169" s="101"/>
      <c r="H169" s="101"/>
      <c r="I169" s="101"/>
      <c r="J169" s="101"/>
      <c r="K169" s="101"/>
      <c r="L169" s="101"/>
      <c r="M169" s="101"/>
      <c r="N169" s="101"/>
      <c r="O169" s="101"/>
      <c r="P169" s="101"/>
      <c r="Q169" s="101"/>
      <c r="R169" s="101"/>
      <c r="S169" s="101"/>
      <c r="T169" s="9"/>
      <c r="U169" s="9"/>
      <c r="V169" s="9"/>
      <c r="W169" s="9"/>
      <c r="X169" s="7" t="s">
        <v>10</v>
      </c>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0">
        <f>SUM(Y169:BE169)</f>
        <v>0</v>
      </c>
    </row>
    <row r="170" spans="2:58" ht="22" customHeight="1">
      <c r="B170" s="102"/>
      <c r="C170" s="102"/>
      <c r="D170" s="102"/>
      <c r="E170" s="102"/>
      <c r="F170" s="102"/>
      <c r="G170" s="102"/>
      <c r="H170" s="102"/>
      <c r="I170" s="102"/>
      <c r="J170" s="102"/>
      <c r="K170" s="102"/>
      <c r="L170" s="102"/>
      <c r="M170" s="102"/>
      <c r="N170" s="102"/>
      <c r="O170" s="102"/>
      <c r="P170" s="102"/>
      <c r="Q170" s="102"/>
      <c r="R170" s="102"/>
      <c r="S170" s="102"/>
      <c r="T170" s="9"/>
      <c r="U170" s="9"/>
      <c r="V170" s="9"/>
      <c r="W170" s="9"/>
      <c r="X170" s="7" t="s">
        <v>11</v>
      </c>
      <c r="Y170" s="3">
        <f t="shared" ref="Y170:BF170" si="63">Y169-Y168</f>
        <v>-1</v>
      </c>
      <c r="Z170" s="3">
        <f t="shared" si="63"/>
        <v>-1</v>
      </c>
      <c r="AA170" s="3">
        <f t="shared" si="63"/>
        <v>-1</v>
      </c>
      <c r="AB170" s="3">
        <f t="shared" si="63"/>
        <v>-1</v>
      </c>
      <c r="AC170" s="3">
        <f t="shared" si="63"/>
        <v>-1</v>
      </c>
      <c r="AD170" s="3">
        <f t="shared" si="63"/>
        <v>-1</v>
      </c>
      <c r="AE170" s="3">
        <f t="shared" si="63"/>
        <v>-1</v>
      </c>
      <c r="AF170" s="3">
        <f t="shared" si="63"/>
        <v>-1</v>
      </c>
      <c r="AG170" s="3">
        <f t="shared" si="63"/>
        <v>-1</v>
      </c>
      <c r="AH170" s="3">
        <f t="shared" si="63"/>
        <v>-1</v>
      </c>
      <c r="AI170" s="3">
        <f t="shared" si="63"/>
        <v>0</v>
      </c>
      <c r="AJ170" s="3">
        <f t="shared" si="63"/>
        <v>0</v>
      </c>
      <c r="AK170" s="3">
        <f t="shared" si="63"/>
        <v>0</v>
      </c>
      <c r="AL170" s="3">
        <f t="shared" si="63"/>
        <v>0</v>
      </c>
      <c r="AM170" s="3">
        <f t="shared" si="63"/>
        <v>0</v>
      </c>
      <c r="AN170" s="3">
        <f t="shared" si="63"/>
        <v>0</v>
      </c>
      <c r="AO170" s="3">
        <f t="shared" si="63"/>
        <v>0</v>
      </c>
      <c r="AP170" s="3">
        <f t="shared" si="63"/>
        <v>0</v>
      </c>
      <c r="AQ170" s="3">
        <f t="shared" si="63"/>
        <v>0</v>
      </c>
      <c r="AR170" s="3">
        <f t="shared" si="63"/>
        <v>0</v>
      </c>
      <c r="AS170" s="3">
        <f t="shared" si="63"/>
        <v>0</v>
      </c>
      <c r="AT170" s="3">
        <f t="shared" si="63"/>
        <v>0</v>
      </c>
      <c r="AU170" s="3">
        <f t="shared" si="63"/>
        <v>0</v>
      </c>
      <c r="AV170" s="3">
        <f t="shared" si="63"/>
        <v>0</v>
      </c>
      <c r="AW170" s="3">
        <f t="shared" si="63"/>
        <v>0</v>
      </c>
      <c r="AX170" s="3">
        <f t="shared" si="63"/>
        <v>0</v>
      </c>
      <c r="AY170" s="3">
        <f t="shared" si="63"/>
        <v>0</v>
      </c>
      <c r="AZ170" s="3">
        <f t="shared" si="63"/>
        <v>0</v>
      </c>
      <c r="BA170" s="3">
        <f t="shared" si="63"/>
        <v>0</v>
      </c>
      <c r="BB170" s="3">
        <f t="shared" si="63"/>
        <v>0</v>
      </c>
      <c r="BC170" s="3">
        <f t="shared" si="63"/>
        <v>0</v>
      </c>
      <c r="BD170" s="3">
        <f t="shared" si="63"/>
        <v>0</v>
      </c>
      <c r="BE170" s="3">
        <f t="shared" si="63"/>
        <v>0</v>
      </c>
      <c r="BF170" s="10">
        <f t="shared" si="63"/>
        <v>-10</v>
      </c>
    </row>
    <row r="171" spans="2:58" ht="22" customHeight="1">
      <c r="B171" s="107">
        <v>44</v>
      </c>
      <c r="C171" s="117" t="s">
        <v>124</v>
      </c>
      <c r="D171" s="108" t="s">
        <v>125</v>
      </c>
      <c r="E171" s="103"/>
      <c r="F171" s="109"/>
      <c r="G171" s="106">
        <f>SUM(Y171:AZ171)</f>
        <v>0</v>
      </c>
      <c r="H171" s="106">
        <f>SUM(Y172:AZ172)</f>
        <v>0</v>
      </c>
      <c r="I171" s="111"/>
      <c r="J171" s="112">
        <f>IFERROR(H171/G171,0)</f>
        <v>0</v>
      </c>
      <c r="K171" s="110">
        <v>0</v>
      </c>
      <c r="L171" s="110">
        <v>0</v>
      </c>
      <c r="M171" s="111"/>
      <c r="N171" s="111"/>
      <c r="O171" s="111"/>
      <c r="P171" s="111"/>
      <c r="Q171" s="111"/>
      <c r="R171" s="111"/>
      <c r="S171" s="103" t="s">
        <v>47</v>
      </c>
      <c r="T171" s="39"/>
      <c r="U171" s="39"/>
      <c r="V171" s="39"/>
      <c r="W171" s="39"/>
      <c r="X171" s="33" t="s">
        <v>31</v>
      </c>
      <c r="Y171" s="40">
        <v>0</v>
      </c>
      <c r="Z171" s="40">
        <v>0</v>
      </c>
      <c r="AA171" s="40">
        <v>0</v>
      </c>
      <c r="AB171" s="40">
        <v>0</v>
      </c>
      <c r="AC171" s="40">
        <v>0</v>
      </c>
      <c r="AD171" s="40">
        <v>0</v>
      </c>
      <c r="AE171" s="40">
        <v>0</v>
      </c>
      <c r="AF171" s="40">
        <v>0</v>
      </c>
      <c r="AG171" s="40">
        <v>0</v>
      </c>
      <c r="AH171" s="40">
        <v>0</v>
      </c>
      <c r="AI171" s="40">
        <v>0</v>
      </c>
      <c r="AJ171" s="40">
        <v>0</v>
      </c>
      <c r="AK171" s="40">
        <v>0</v>
      </c>
      <c r="AL171" s="40">
        <v>0</v>
      </c>
      <c r="AM171" s="40">
        <v>0</v>
      </c>
      <c r="AN171" s="40">
        <v>0</v>
      </c>
      <c r="AO171" s="40">
        <v>0</v>
      </c>
      <c r="AP171" s="40">
        <v>0</v>
      </c>
      <c r="AQ171" s="40">
        <v>0</v>
      </c>
      <c r="AR171" s="40">
        <v>0</v>
      </c>
      <c r="AS171" s="40">
        <v>0</v>
      </c>
      <c r="AT171" s="40">
        <v>0</v>
      </c>
      <c r="AU171" s="40">
        <v>0</v>
      </c>
      <c r="AV171" s="40">
        <v>0</v>
      </c>
      <c r="AW171" s="40">
        <v>0</v>
      </c>
      <c r="AX171" s="40">
        <v>0</v>
      </c>
      <c r="AY171" s="40">
        <v>0</v>
      </c>
      <c r="AZ171" s="40">
        <v>0</v>
      </c>
      <c r="BA171" s="40">
        <v>0</v>
      </c>
      <c r="BB171" s="40">
        <v>0</v>
      </c>
      <c r="BC171" s="40">
        <v>0</v>
      </c>
      <c r="BD171" s="40">
        <v>0</v>
      </c>
      <c r="BE171" s="40">
        <v>0</v>
      </c>
      <c r="BF171" s="10">
        <f>SUM(Y171:BE171)</f>
        <v>0</v>
      </c>
    </row>
    <row r="172" spans="2:58" ht="22" customHeight="1">
      <c r="B172" s="101"/>
      <c r="C172" s="101"/>
      <c r="D172" s="101"/>
      <c r="E172" s="101"/>
      <c r="F172" s="101"/>
      <c r="G172" s="101"/>
      <c r="H172" s="101"/>
      <c r="I172" s="101"/>
      <c r="J172" s="101"/>
      <c r="K172" s="101"/>
      <c r="L172" s="101"/>
      <c r="M172" s="101"/>
      <c r="N172" s="101"/>
      <c r="O172" s="101"/>
      <c r="P172" s="101"/>
      <c r="Q172" s="101"/>
      <c r="R172" s="101"/>
      <c r="S172" s="101"/>
      <c r="T172" s="39"/>
      <c r="U172" s="39"/>
      <c r="V172" s="39"/>
      <c r="W172" s="39"/>
      <c r="X172" s="33" t="s">
        <v>10</v>
      </c>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41"/>
      <c r="BB172" s="41"/>
      <c r="BC172" s="41"/>
      <c r="BD172" s="41"/>
      <c r="BE172" s="41"/>
      <c r="BF172" s="10">
        <f>SUM(Y172:BE172)</f>
        <v>0</v>
      </c>
    </row>
    <row r="173" spans="2:58" ht="22" customHeight="1">
      <c r="B173" s="102"/>
      <c r="C173" s="102"/>
      <c r="D173" s="102"/>
      <c r="E173" s="102"/>
      <c r="F173" s="102"/>
      <c r="G173" s="102"/>
      <c r="H173" s="102"/>
      <c r="I173" s="102"/>
      <c r="J173" s="102"/>
      <c r="K173" s="102"/>
      <c r="L173" s="102"/>
      <c r="M173" s="102"/>
      <c r="N173" s="102"/>
      <c r="O173" s="102"/>
      <c r="P173" s="102"/>
      <c r="Q173" s="102"/>
      <c r="R173" s="102"/>
      <c r="S173" s="102"/>
      <c r="T173" s="39"/>
      <c r="U173" s="39"/>
      <c r="V173" s="39"/>
      <c r="W173" s="39"/>
      <c r="X173" s="33" t="s">
        <v>11</v>
      </c>
      <c r="Y173" s="36">
        <f t="shared" ref="Y173:BF173" si="64">Y172-Y171</f>
        <v>0</v>
      </c>
      <c r="Z173" s="36">
        <f t="shared" si="64"/>
        <v>0</v>
      </c>
      <c r="AA173" s="36">
        <f t="shared" si="64"/>
        <v>0</v>
      </c>
      <c r="AB173" s="36">
        <f t="shared" si="64"/>
        <v>0</v>
      </c>
      <c r="AC173" s="36">
        <f t="shared" si="64"/>
        <v>0</v>
      </c>
      <c r="AD173" s="36">
        <f t="shared" si="64"/>
        <v>0</v>
      </c>
      <c r="AE173" s="36">
        <f t="shared" si="64"/>
        <v>0</v>
      </c>
      <c r="AF173" s="36">
        <f t="shared" si="64"/>
        <v>0</v>
      </c>
      <c r="AG173" s="36">
        <f t="shared" si="64"/>
        <v>0</v>
      </c>
      <c r="AH173" s="36">
        <f t="shared" si="64"/>
        <v>0</v>
      </c>
      <c r="AI173" s="36">
        <f t="shared" si="64"/>
        <v>0</v>
      </c>
      <c r="AJ173" s="36">
        <f t="shared" si="64"/>
        <v>0</v>
      </c>
      <c r="AK173" s="36">
        <f t="shared" si="64"/>
        <v>0</v>
      </c>
      <c r="AL173" s="36">
        <f t="shared" si="64"/>
        <v>0</v>
      </c>
      <c r="AM173" s="36">
        <f t="shared" si="64"/>
        <v>0</v>
      </c>
      <c r="AN173" s="36">
        <f t="shared" si="64"/>
        <v>0</v>
      </c>
      <c r="AO173" s="36">
        <f t="shared" si="64"/>
        <v>0</v>
      </c>
      <c r="AP173" s="36">
        <f t="shared" si="64"/>
        <v>0</v>
      </c>
      <c r="AQ173" s="36">
        <f t="shared" si="64"/>
        <v>0</v>
      </c>
      <c r="AR173" s="36">
        <f t="shared" si="64"/>
        <v>0</v>
      </c>
      <c r="AS173" s="36">
        <f t="shared" si="64"/>
        <v>0</v>
      </c>
      <c r="AT173" s="36">
        <f t="shared" si="64"/>
        <v>0</v>
      </c>
      <c r="AU173" s="36">
        <f t="shared" si="64"/>
        <v>0</v>
      </c>
      <c r="AV173" s="36">
        <f t="shared" si="64"/>
        <v>0</v>
      </c>
      <c r="AW173" s="36">
        <f t="shared" si="64"/>
        <v>0</v>
      </c>
      <c r="AX173" s="36">
        <f t="shared" si="64"/>
        <v>0</v>
      </c>
      <c r="AY173" s="36">
        <f t="shared" si="64"/>
        <v>0</v>
      </c>
      <c r="AZ173" s="36">
        <f t="shared" si="64"/>
        <v>0</v>
      </c>
      <c r="BA173" s="36">
        <f t="shared" si="64"/>
        <v>0</v>
      </c>
      <c r="BB173" s="36">
        <f t="shared" si="64"/>
        <v>0</v>
      </c>
      <c r="BC173" s="36">
        <f t="shared" si="64"/>
        <v>0</v>
      </c>
      <c r="BD173" s="36">
        <f t="shared" si="64"/>
        <v>0</v>
      </c>
      <c r="BE173" s="36">
        <f t="shared" si="64"/>
        <v>0</v>
      </c>
      <c r="BF173" s="10">
        <f t="shared" si="64"/>
        <v>0</v>
      </c>
    </row>
    <row r="174" spans="2:58" ht="22" customHeight="1">
      <c r="B174" s="104">
        <v>45</v>
      </c>
      <c r="C174" s="118" t="s">
        <v>126</v>
      </c>
      <c r="D174" s="105" t="s">
        <v>127</v>
      </c>
      <c r="E174" s="115"/>
      <c r="F174" s="119"/>
      <c r="G174" s="114">
        <f>SUM(Y174:AZ174)</f>
        <v>10</v>
      </c>
      <c r="H174" s="114">
        <f>SUM(Y175:AZ175)</f>
        <v>0</v>
      </c>
      <c r="I174" s="100"/>
      <c r="J174" s="116">
        <f>IFERROR(H174/G174,0)</f>
        <v>0</v>
      </c>
      <c r="K174" s="113">
        <v>0.41666666666666669</v>
      </c>
      <c r="L174" s="113">
        <v>0.41666666666666669</v>
      </c>
      <c r="M174" s="100"/>
      <c r="N174" s="100"/>
      <c r="O174" s="100"/>
      <c r="P174" s="100"/>
      <c r="Q174" s="100"/>
      <c r="R174" s="100"/>
      <c r="S174" s="115" t="s">
        <v>47</v>
      </c>
      <c r="T174" s="9"/>
      <c r="U174" s="9"/>
      <c r="V174" s="9"/>
      <c r="W174" s="9"/>
      <c r="X174" s="7" t="s">
        <v>31</v>
      </c>
      <c r="Y174" s="29">
        <v>1</v>
      </c>
      <c r="Z174" s="29">
        <v>1</v>
      </c>
      <c r="AA174" s="29">
        <v>1</v>
      </c>
      <c r="AB174" s="29">
        <v>1</v>
      </c>
      <c r="AC174" s="29">
        <v>1</v>
      </c>
      <c r="AD174" s="29">
        <v>1</v>
      </c>
      <c r="AE174" s="29">
        <v>1</v>
      </c>
      <c r="AF174" s="29">
        <v>1</v>
      </c>
      <c r="AG174" s="29">
        <v>1</v>
      </c>
      <c r="AH174" s="29">
        <v>1</v>
      </c>
      <c r="AI174" s="29">
        <v>0</v>
      </c>
      <c r="AJ174" s="29">
        <v>0</v>
      </c>
      <c r="AK174" s="29">
        <v>0</v>
      </c>
      <c r="AL174" s="29">
        <v>0</v>
      </c>
      <c r="AM174" s="29">
        <v>0</v>
      </c>
      <c r="AN174" s="29">
        <v>0</v>
      </c>
      <c r="AO174" s="29">
        <v>0</v>
      </c>
      <c r="AP174" s="29">
        <v>0</v>
      </c>
      <c r="AQ174" s="29">
        <v>0</v>
      </c>
      <c r="AR174" s="29">
        <v>0</v>
      </c>
      <c r="AS174" s="29">
        <v>0</v>
      </c>
      <c r="AT174" s="29">
        <v>0</v>
      </c>
      <c r="AU174" s="29">
        <v>0</v>
      </c>
      <c r="AV174" s="29">
        <v>0</v>
      </c>
      <c r="AW174" s="29">
        <v>0</v>
      </c>
      <c r="AX174" s="29">
        <v>0</v>
      </c>
      <c r="AY174" s="29">
        <v>0</v>
      </c>
      <c r="AZ174" s="29">
        <v>0</v>
      </c>
      <c r="BA174" s="29">
        <v>0</v>
      </c>
      <c r="BB174" s="29">
        <v>0</v>
      </c>
      <c r="BC174" s="29">
        <v>0</v>
      </c>
      <c r="BD174" s="29">
        <v>0</v>
      </c>
      <c r="BE174" s="29">
        <v>0</v>
      </c>
      <c r="BF174" s="10">
        <f>SUM(Y174:BE174)</f>
        <v>10</v>
      </c>
    </row>
    <row r="175" spans="2:58" ht="22" customHeight="1">
      <c r="B175" s="101"/>
      <c r="C175" s="101"/>
      <c r="D175" s="101"/>
      <c r="E175" s="101"/>
      <c r="F175" s="101"/>
      <c r="G175" s="101"/>
      <c r="H175" s="101"/>
      <c r="I175" s="101"/>
      <c r="J175" s="101"/>
      <c r="K175" s="101"/>
      <c r="L175" s="101"/>
      <c r="M175" s="101"/>
      <c r="N175" s="101"/>
      <c r="O175" s="101"/>
      <c r="P175" s="101"/>
      <c r="Q175" s="101"/>
      <c r="R175" s="101"/>
      <c r="S175" s="101"/>
      <c r="T175" s="9"/>
      <c r="U175" s="9"/>
      <c r="V175" s="9"/>
      <c r="W175" s="9"/>
      <c r="X175" s="7" t="s">
        <v>10</v>
      </c>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0">
        <f>SUM(Y175:BE175)</f>
        <v>0</v>
      </c>
    </row>
    <row r="176" spans="2:58" ht="22" customHeight="1">
      <c r="B176" s="102"/>
      <c r="C176" s="102"/>
      <c r="D176" s="102"/>
      <c r="E176" s="102"/>
      <c r="F176" s="102"/>
      <c r="G176" s="102"/>
      <c r="H176" s="102"/>
      <c r="I176" s="102"/>
      <c r="J176" s="102"/>
      <c r="K176" s="102"/>
      <c r="L176" s="102"/>
      <c r="M176" s="102"/>
      <c r="N176" s="102"/>
      <c r="O176" s="102"/>
      <c r="P176" s="102"/>
      <c r="Q176" s="102"/>
      <c r="R176" s="102"/>
      <c r="S176" s="102"/>
      <c r="T176" s="9"/>
      <c r="U176" s="9"/>
      <c r="V176" s="9"/>
      <c r="W176" s="9"/>
      <c r="X176" s="7" t="s">
        <v>11</v>
      </c>
      <c r="Y176" s="3">
        <f t="shared" ref="Y176:BF176" si="65">Y175-Y174</f>
        <v>-1</v>
      </c>
      <c r="Z176" s="3">
        <f t="shared" si="65"/>
        <v>-1</v>
      </c>
      <c r="AA176" s="3">
        <f t="shared" si="65"/>
        <v>-1</v>
      </c>
      <c r="AB176" s="3">
        <f t="shared" si="65"/>
        <v>-1</v>
      </c>
      <c r="AC176" s="3">
        <f t="shared" si="65"/>
        <v>-1</v>
      </c>
      <c r="AD176" s="3">
        <f t="shared" si="65"/>
        <v>-1</v>
      </c>
      <c r="AE176" s="3">
        <f t="shared" si="65"/>
        <v>-1</v>
      </c>
      <c r="AF176" s="3">
        <f t="shared" si="65"/>
        <v>-1</v>
      </c>
      <c r="AG176" s="3">
        <f t="shared" si="65"/>
        <v>-1</v>
      </c>
      <c r="AH176" s="3">
        <f t="shared" si="65"/>
        <v>-1</v>
      </c>
      <c r="AI176" s="3">
        <f t="shared" si="65"/>
        <v>0</v>
      </c>
      <c r="AJ176" s="3">
        <f t="shared" si="65"/>
        <v>0</v>
      </c>
      <c r="AK176" s="3">
        <f t="shared" si="65"/>
        <v>0</v>
      </c>
      <c r="AL176" s="3">
        <f t="shared" si="65"/>
        <v>0</v>
      </c>
      <c r="AM176" s="3">
        <f t="shared" si="65"/>
        <v>0</v>
      </c>
      <c r="AN176" s="3">
        <f t="shared" si="65"/>
        <v>0</v>
      </c>
      <c r="AO176" s="3">
        <f t="shared" si="65"/>
        <v>0</v>
      </c>
      <c r="AP176" s="3">
        <f t="shared" si="65"/>
        <v>0</v>
      </c>
      <c r="AQ176" s="3">
        <f t="shared" si="65"/>
        <v>0</v>
      </c>
      <c r="AR176" s="3">
        <f t="shared" si="65"/>
        <v>0</v>
      </c>
      <c r="AS176" s="3">
        <f t="shared" si="65"/>
        <v>0</v>
      </c>
      <c r="AT176" s="3">
        <f t="shared" si="65"/>
        <v>0</v>
      </c>
      <c r="AU176" s="3">
        <f t="shared" si="65"/>
        <v>0</v>
      </c>
      <c r="AV176" s="3">
        <f t="shared" si="65"/>
        <v>0</v>
      </c>
      <c r="AW176" s="3">
        <f t="shared" si="65"/>
        <v>0</v>
      </c>
      <c r="AX176" s="3">
        <f t="shared" si="65"/>
        <v>0</v>
      </c>
      <c r="AY176" s="3">
        <f t="shared" si="65"/>
        <v>0</v>
      </c>
      <c r="AZ176" s="3">
        <f t="shared" si="65"/>
        <v>0</v>
      </c>
      <c r="BA176" s="3">
        <f t="shared" si="65"/>
        <v>0</v>
      </c>
      <c r="BB176" s="3">
        <f t="shared" si="65"/>
        <v>0</v>
      </c>
      <c r="BC176" s="3">
        <f t="shared" si="65"/>
        <v>0</v>
      </c>
      <c r="BD176" s="3">
        <f t="shared" si="65"/>
        <v>0</v>
      </c>
      <c r="BE176" s="3">
        <f t="shared" si="65"/>
        <v>0</v>
      </c>
      <c r="BF176" s="10">
        <f t="shared" si="65"/>
        <v>-10</v>
      </c>
    </row>
    <row r="177" spans="2:58" ht="22" customHeight="1">
      <c r="B177" s="107">
        <v>46</v>
      </c>
      <c r="C177" s="117" t="s">
        <v>128</v>
      </c>
      <c r="D177" s="108" t="s">
        <v>129</v>
      </c>
      <c r="E177" s="103"/>
      <c r="F177" s="109"/>
      <c r="G177" s="106">
        <f>SUM(Y177:AZ177)</f>
        <v>0</v>
      </c>
      <c r="H177" s="106">
        <f>SUM(Y178:AZ178)</f>
        <v>0</v>
      </c>
      <c r="I177" s="111"/>
      <c r="J177" s="112">
        <f>IFERROR(H177/G177,0)</f>
        <v>0</v>
      </c>
      <c r="K177" s="110">
        <v>1</v>
      </c>
      <c r="L177" s="110">
        <v>1</v>
      </c>
      <c r="M177" s="111"/>
      <c r="N177" s="111"/>
      <c r="O177" s="111"/>
      <c r="P177" s="111"/>
      <c r="Q177" s="111"/>
      <c r="R177" s="111"/>
      <c r="S177" s="103" t="s">
        <v>47</v>
      </c>
      <c r="T177" s="39"/>
      <c r="U177" s="39"/>
      <c r="V177" s="39"/>
      <c r="W177" s="39"/>
      <c r="X177" s="33" t="s">
        <v>31</v>
      </c>
      <c r="Y177" s="40">
        <v>0</v>
      </c>
      <c r="Z177" s="40">
        <v>0</v>
      </c>
      <c r="AA177" s="40">
        <v>0</v>
      </c>
      <c r="AB177" s="40">
        <v>0</v>
      </c>
      <c r="AC177" s="40">
        <v>0</v>
      </c>
      <c r="AD177" s="40">
        <v>0</v>
      </c>
      <c r="AE177" s="40">
        <v>0</v>
      </c>
      <c r="AF177" s="40">
        <v>0</v>
      </c>
      <c r="AG177" s="40">
        <v>0</v>
      </c>
      <c r="AH177" s="40">
        <v>0</v>
      </c>
      <c r="AI177" s="40">
        <v>0</v>
      </c>
      <c r="AJ177" s="40">
        <v>0</v>
      </c>
      <c r="AK177" s="40">
        <v>0</v>
      </c>
      <c r="AL177" s="40">
        <v>0</v>
      </c>
      <c r="AM177" s="40">
        <v>0</v>
      </c>
      <c r="AN177" s="40">
        <v>0</v>
      </c>
      <c r="AO177" s="40">
        <v>0</v>
      </c>
      <c r="AP177" s="40">
        <v>0</v>
      </c>
      <c r="AQ177" s="40">
        <v>0</v>
      </c>
      <c r="AR177" s="40">
        <v>0</v>
      </c>
      <c r="AS177" s="40">
        <v>0</v>
      </c>
      <c r="AT177" s="40">
        <v>0</v>
      </c>
      <c r="AU177" s="40">
        <v>0</v>
      </c>
      <c r="AV177" s="40">
        <v>0</v>
      </c>
      <c r="AW177" s="40">
        <v>0</v>
      </c>
      <c r="AX177" s="40">
        <v>0</v>
      </c>
      <c r="AY177" s="40">
        <v>0</v>
      </c>
      <c r="AZ177" s="40">
        <v>0</v>
      </c>
      <c r="BA177" s="40">
        <v>0</v>
      </c>
      <c r="BB177" s="40">
        <v>0</v>
      </c>
      <c r="BC177" s="40">
        <v>0</v>
      </c>
      <c r="BD177" s="40">
        <v>0</v>
      </c>
      <c r="BE177" s="40">
        <v>0</v>
      </c>
      <c r="BF177" s="10">
        <f>SUM(Y177:BE177)</f>
        <v>0</v>
      </c>
    </row>
    <row r="178" spans="2:58" ht="22" customHeight="1">
      <c r="B178" s="101"/>
      <c r="C178" s="101"/>
      <c r="D178" s="101"/>
      <c r="E178" s="101"/>
      <c r="F178" s="101"/>
      <c r="G178" s="101"/>
      <c r="H178" s="101"/>
      <c r="I178" s="101"/>
      <c r="J178" s="101"/>
      <c r="K178" s="101"/>
      <c r="L178" s="101"/>
      <c r="M178" s="101"/>
      <c r="N178" s="101"/>
      <c r="O178" s="101"/>
      <c r="P178" s="101"/>
      <c r="Q178" s="101"/>
      <c r="R178" s="101"/>
      <c r="S178" s="101"/>
      <c r="T178" s="39"/>
      <c r="U178" s="39"/>
      <c r="V178" s="39"/>
      <c r="W178" s="39"/>
      <c r="X178" s="33" t="s">
        <v>10</v>
      </c>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41"/>
      <c r="BB178" s="41"/>
      <c r="BC178" s="41"/>
      <c r="BD178" s="41"/>
      <c r="BE178" s="41"/>
      <c r="BF178" s="10">
        <f>SUM(Y178:BE178)</f>
        <v>0</v>
      </c>
    </row>
    <row r="179" spans="2:58" ht="22" customHeight="1">
      <c r="B179" s="102"/>
      <c r="C179" s="102"/>
      <c r="D179" s="102"/>
      <c r="E179" s="102"/>
      <c r="F179" s="102"/>
      <c r="G179" s="102"/>
      <c r="H179" s="102"/>
      <c r="I179" s="102"/>
      <c r="J179" s="102"/>
      <c r="K179" s="102"/>
      <c r="L179" s="102"/>
      <c r="M179" s="102"/>
      <c r="N179" s="102"/>
      <c r="O179" s="102"/>
      <c r="P179" s="102"/>
      <c r="Q179" s="102"/>
      <c r="R179" s="102"/>
      <c r="S179" s="102"/>
      <c r="T179" s="39"/>
      <c r="U179" s="39"/>
      <c r="V179" s="39"/>
      <c r="W179" s="39"/>
      <c r="X179" s="33" t="s">
        <v>11</v>
      </c>
      <c r="Y179" s="36">
        <f t="shared" ref="Y179:BF179" si="66">Y178-Y177</f>
        <v>0</v>
      </c>
      <c r="Z179" s="36">
        <f t="shared" si="66"/>
        <v>0</v>
      </c>
      <c r="AA179" s="36">
        <f t="shared" si="66"/>
        <v>0</v>
      </c>
      <c r="AB179" s="36">
        <f t="shared" si="66"/>
        <v>0</v>
      </c>
      <c r="AC179" s="36">
        <f t="shared" si="66"/>
        <v>0</v>
      </c>
      <c r="AD179" s="36">
        <f t="shared" si="66"/>
        <v>0</v>
      </c>
      <c r="AE179" s="36">
        <f t="shared" si="66"/>
        <v>0</v>
      </c>
      <c r="AF179" s="36">
        <f t="shared" si="66"/>
        <v>0</v>
      </c>
      <c r="AG179" s="36">
        <f t="shared" si="66"/>
        <v>0</v>
      </c>
      <c r="AH179" s="36">
        <f t="shared" si="66"/>
        <v>0</v>
      </c>
      <c r="AI179" s="36">
        <f t="shared" si="66"/>
        <v>0</v>
      </c>
      <c r="AJ179" s="36">
        <f t="shared" si="66"/>
        <v>0</v>
      </c>
      <c r="AK179" s="36">
        <f t="shared" si="66"/>
        <v>0</v>
      </c>
      <c r="AL179" s="36">
        <f t="shared" si="66"/>
        <v>0</v>
      </c>
      <c r="AM179" s="36">
        <f t="shared" si="66"/>
        <v>0</v>
      </c>
      <c r="AN179" s="36">
        <f t="shared" si="66"/>
        <v>0</v>
      </c>
      <c r="AO179" s="36">
        <f t="shared" si="66"/>
        <v>0</v>
      </c>
      <c r="AP179" s="36">
        <f t="shared" si="66"/>
        <v>0</v>
      </c>
      <c r="AQ179" s="36">
        <f t="shared" si="66"/>
        <v>0</v>
      </c>
      <c r="AR179" s="36">
        <f t="shared" si="66"/>
        <v>0</v>
      </c>
      <c r="AS179" s="36">
        <f t="shared" si="66"/>
        <v>0</v>
      </c>
      <c r="AT179" s="36">
        <f t="shared" si="66"/>
        <v>0</v>
      </c>
      <c r="AU179" s="36">
        <f t="shared" si="66"/>
        <v>0</v>
      </c>
      <c r="AV179" s="36">
        <f t="shared" si="66"/>
        <v>0</v>
      </c>
      <c r="AW179" s="36">
        <f t="shared" si="66"/>
        <v>0</v>
      </c>
      <c r="AX179" s="36">
        <f t="shared" si="66"/>
        <v>0</v>
      </c>
      <c r="AY179" s="36">
        <f t="shared" si="66"/>
        <v>0</v>
      </c>
      <c r="AZ179" s="36">
        <f t="shared" si="66"/>
        <v>0</v>
      </c>
      <c r="BA179" s="36">
        <f t="shared" si="66"/>
        <v>0</v>
      </c>
      <c r="BB179" s="36">
        <f t="shared" si="66"/>
        <v>0</v>
      </c>
      <c r="BC179" s="36">
        <f t="shared" si="66"/>
        <v>0</v>
      </c>
      <c r="BD179" s="36">
        <f t="shared" si="66"/>
        <v>0</v>
      </c>
      <c r="BE179" s="36">
        <f t="shared" si="66"/>
        <v>0</v>
      </c>
      <c r="BF179" s="10">
        <f t="shared" si="66"/>
        <v>0</v>
      </c>
    </row>
    <row r="180" spans="2:58" ht="22" customHeight="1">
      <c r="B180" s="104">
        <v>47</v>
      </c>
      <c r="C180" s="118" t="s">
        <v>130</v>
      </c>
      <c r="D180" s="105" t="s">
        <v>131</v>
      </c>
      <c r="E180" s="115"/>
      <c r="F180" s="119"/>
      <c r="G180" s="114">
        <f>SUM(Y180:AZ180)</f>
        <v>20</v>
      </c>
      <c r="H180" s="114">
        <f>SUM(Y181:AZ181)</f>
        <v>0</v>
      </c>
      <c r="I180" s="100"/>
      <c r="J180" s="116">
        <f>IFERROR(H180/G180,0)</f>
        <v>0</v>
      </c>
      <c r="K180" s="113">
        <v>0.16666666666666671</v>
      </c>
      <c r="L180" s="113">
        <v>0.16666666666666671</v>
      </c>
      <c r="M180" s="100"/>
      <c r="N180" s="100"/>
      <c r="O180" s="100"/>
      <c r="P180" s="100"/>
      <c r="Q180" s="100"/>
      <c r="R180" s="100"/>
      <c r="S180" s="115" t="s">
        <v>37</v>
      </c>
      <c r="T180" s="9"/>
      <c r="U180" s="9"/>
      <c r="V180" s="9"/>
      <c r="W180" s="9"/>
      <c r="X180" s="7" t="s">
        <v>31</v>
      </c>
      <c r="Y180" s="29">
        <v>1</v>
      </c>
      <c r="Z180" s="29">
        <v>2</v>
      </c>
      <c r="AA180" s="29">
        <v>2</v>
      </c>
      <c r="AB180" s="29">
        <v>2</v>
      </c>
      <c r="AC180" s="29">
        <v>2</v>
      </c>
      <c r="AD180" s="29">
        <v>2</v>
      </c>
      <c r="AE180" s="29">
        <v>2</v>
      </c>
      <c r="AF180" s="29">
        <v>1</v>
      </c>
      <c r="AG180" s="29">
        <v>2</v>
      </c>
      <c r="AH180" s="29">
        <v>2</v>
      </c>
      <c r="AI180" s="29">
        <v>2</v>
      </c>
      <c r="AJ180" s="29">
        <v>0</v>
      </c>
      <c r="AK180" s="29">
        <v>0</v>
      </c>
      <c r="AL180" s="29">
        <v>0</v>
      </c>
      <c r="AM180" s="29">
        <v>0</v>
      </c>
      <c r="AN180" s="29">
        <v>0</v>
      </c>
      <c r="AO180" s="29">
        <v>0</v>
      </c>
      <c r="AP180" s="29">
        <v>0</v>
      </c>
      <c r="AQ180" s="29">
        <v>0</v>
      </c>
      <c r="AR180" s="29">
        <v>0</v>
      </c>
      <c r="AS180" s="29">
        <v>0</v>
      </c>
      <c r="AT180" s="29">
        <v>0</v>
      </c>
      <c r="AU180" s="29">
        <v>0</v>
      </c>
      <c r="AV180" s="29">
        <v>0</v>
      </c>
      <c r="AW180" s="29">
        <v>0</v>
      </c>
      <c r="AX180" s="29">
        <v>0</v>
      </c>
      <c r="AY180" s="29">
        <v>0</v>
      </c>
      <c r="AZ180" s="29">
        <v>0</v>
      </c>
      <c r="BA180" s="29">
        <v>0</v>
      </c>
      <c r="BB180" s="29">
        <v>0</v>
      </c>
      <c r="BC180" s="29">
        <v>0</v>
      </c>
      <c r="BD180" s="29">
        <v>0</v>
      </c>
      <c r="BE180" s="29">
        <v>0</v>
      </c>
      <c r="BF180" s="10">
        <f>SUM(Y180:BE180)</f>
        <v>20</v>
      </c>
    </row>
    <row r="181" spans="2:58" ht="22" customHeight="1">
      <c r="B181" s="101"/>
      <c r="C181" s="101"/>
      <c r="D181" s="101"/>
      <c r="E181" s="101"/>
      <c r="F181" s="101"/>
      <c r="G181" s="101"/>
      <c r="H181" s="101"/>
      <c r="I181" s="101"/>
      <c r="J181" s="101"/>
      <c r="K181" s="101"/>
      <c r="L181" s="101"/>
      <c r="M181" s="101"/>
      <c r="N181" s="101"/>
      <c r="O181" s="101"/>
      <c r="P181" s="101"/>
      <c r="Q181" s="101"/>
      <c r="R181" s="101"/>
      <c r="S181" s="101"/>
      <c r="T181" s="9"/>
      <c r="U181" s="9"/>
      <c r="V181" s="9"/>
      <c r="W181" s="9"/>
      <c r="X181" s="7" t="s">
        <v>10</v>
      </c>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0">
        <f>SUM(Y181:BE181)</f>
        <v>0</v>
      </c>
    </row>
    <row r="182" spans="2:58" ht="22" customHeight="1">
      <c r="B182" s="101"/>
      <c r="C182" s="101"/>
      <c r="D182" s="101"/>
      <c r="E182" s="101"/>
      <c r="F182" s="101"/>
      <c r="G182" s="101"/>
      <c r="H182" s="101"/>
      <c r="I182" s="101"/>
      <c r="J182" s="101"/>
      <c r="K182" s="101"/>
      <c r="L182" s="101"/>
      <c r="M182" s="101"/>
      <c r="N182" s="101"/>
      <c r="O182" s="101"/>
      <c r="P182" s="101"/>
      <c r="Q182" s="101"/>
      <c r="R182" s="101"/>
      <c r="S182" s="101"/>
      <c r="T182" s="9"/>
      <c r="U182" s="9"/>
      <c r="V182" s="9"/>
      <c r="W182" s="9"/>
      <c r="X182" s="30" t="s">
        <v>38</v>
      </c>
      <c r="Y182" s="31">
        <v>12000</v>
      </c>
      <c r="Z182" s="31">
        <v>12000</v>
      </c>
      <c r="AA182" s="31">
        <v>12000</v>
      </c>
      <c r="AB182" s="31">
        <v>12000</v>
      </c>
      <c r="AC182" s="31">
        <v>12000</v>
      </c>
      <c r="AD182" s="31">
        <v>12000</v>
      </c>
      <c r="AE182" s="31">
        <v>12000</v>
      </c>
      <c r="AF182" s="31">
        <v>12000</v>
      </c>
      <c r="AG182" s="31">
        <v>12000</v>
      </c>
      <c r="AH182" s="31">
        <v>12000</v>
      </c>
      <c r="AI182" s="31">
        <v>12000</v>
      </c>
      <c r="AJ182" s="31">
        <v>2400</v>
      </c>
      <c r="AK182" s="31">
        <v>2400</v>
      </c>
      <c r="AL182" s="31">
        <v>2400</v>
      </c>
      <c r="AM182" s="31">
        <v>2400</v>
      </c>
      <c r="AN182" s="31">
        <v>2400</v>
      </c>
      <c r="AO182" s="31">
        <v>2400</v>
      </c>
      <c r="AP182" s="31">
        <v>2400</v>
      </c>
      <c r="AQ182" s="31">
        <v>2400</v>
      </c>
      <c r="AR182" s="31">
        <v>2400</v>
      </c>
      <c r="AS182" s="31">
        <v>2400</v>
      </c>
      <c r="AT182" s="31">
        <v>2400</v>
      </c>
      <c r="AU182" s="31">
        <v>2400</v>
      </c>
      <c r="AV182" s="31">
        <v>2400</v>
      </c>
      <c r="AW182" s="31">
        <v>2400</v>
      </c>
      <c r="AX182" s="31">
        <v>2400</v>
      </c>
      <c r="AY182" s="31">
        <v>2400</v>
      </c>
      <c r="AZ182" s="31">
        <v>2400</v>
      </c>
      <c r="BA182" s="31">
        <v>2400</v>
      </c>
      <c r="BB182" s="31">
        <v>2400</v>
      </c>
      <c r="BC182" s="31">
        <v>2400</v>
      </c>
      <c r="BD182" s="31">
        <v>2400</v>
      </c>
      <c r="BE182" s="31">
        <v>2400</v>
      </c>
      <c r="BF182" s="12">
        <f>SUM(Y182:BE182)</f>
        <v>184800</v>
      </c>
    </row>
    <row r="183" spans="2:58" ht="22" customHeight="1">
      <c r="B183" s="102"/>
      <c r="C183" s="102"/>
      <c r="D183" s="102"/>
      <c r="E183" s="102"/>
      <c r="F183" s="102"/>
      <c r="G183" s="102"/>
      <c r="H183" s="102"/>
      <c r="I183" s="102"/>
      <c r="J183" s="102"/>
      <c r="K183" s="102"/>
      <c r="L183" s="102"/>
      <c r="M183" s="102"/>
      <c r="N183" s="102"/>
      <c r="O183" s="102"/>
      <c r="P183" s="102"/>
      <c r="Q183" s="102"/>
      <c r="R183" s="102"/>
      <c r="S183" s="102"/>
      <c r="T183" s="9"/>
      <c r="U183" s="9"/>
      <c r="V183" s="9"/>
      <c r="W183" s="9"/>
      <c r="X183" s="7" t="s">
        <v>11</v>
      </c>
      <c r="Y183" s="3">
        <f t="shared" ref="Y183:BF183" si="67">Y181-Y180</f>
        <v>-1</v>
      </c>
      <c r="Z183" s="3">
        <f t="shared" si="67"/>
        <v>-2</v>
      </c>
      <c r="AA183" s="3">
        <f t="shared" si="67"/>
        <v>-2</v>
      </c>
      <c r="AB183" s="3">
        <f t="shared" si="67"/>
        <v>-2</v>
      </c>
      <c r="AC183" s="3">
        <f t="shared" si="67"/>
        <v>-2</v>
      </c>
      <c r="AD183" s="3">
        <f t="shared" si="67"/>
        <v>-2</v>
      </c>
      <c r="AE183" s="3">
        <f t="shared" si="67"/>
        <v>-2</v>
      </c>
      <c r="AF183" s="3">
        <f t="shared" si="67"/>
        <v>-1</v>
      </c>
      <c r="AG183" s="3">
        <f t="shared" si="67"/>
        <v>-2</v>
      </c>
      <c r="AH183" s="3">
        <f t="shared" si="67"/>
        <v>-2</v>
      </c>
      <c r="AI183" s="3">
        <f t="shared" si="67"/>
        <v>-2</v>
      </c>
      <c r="AJ183" s="3">
        <f t="shared" si="67"/>
        <v>0</v>
      </c>
      <c r="AK183" s="3">
        <f t="shared" si="67"/>
        <v>0</v>
      </c>
      <c r="AL183" s="3">
        <f t="shared" si="67"/>
        <v>0</v>
      </c>
      <c r="AM183" s="3">
        <f t="shared" si="67"/>
        <v>0</v>
      </c>
      <c r="AN183" s="3">
        <f t="shared" si="67"/>
        <v>0</v>
      </c>
      <c r="AO183" s="3">
        <f t="shared" si="67"/>
        <v>0</v>
      </c>
      <c r="AP183" s="3">
        <f t="shared" si="67"/>
        <v>0</v>
      </c>
      <c r="AQ183" s="3">
        <f t="shared" si="67"/>
        <v>0</v>
      </c>
      <c r="AR183" s="3">
        <f t="shared" si="67"/>
        <v>0</v>
      </c>
      <c r="AS183" s="3">
        <f t="shared" si="67"/>
        <v>0</v>
      </c>
      <c r="AT183" s="3">
        <f t="shared" si="67"/>
        <v>0</v>
      </c>
      <c r="AU183" s="3">
        <f t="shared" si="67"/>
        <v>0</v>
      </c>
      <c r="AV183" s="3">
        <f t="shared" si="67"/>
        <v>0</v>
      </c>
      <c r="AW183" s="3">
        <f t="shared" si="67"/>
        <v>0</v>
      </c>
      <c r="AX183" s="3">
        <f t="shared" si="67"/>
        <v>0</v>
      </c>
      <c r="AY183" s="3">
        <f t="shared" si="67"/>
        <v>0</v>
      </c>
      <c r="AZ183" s="3">
        <f t="shared" si="67"/>
        <v>0</v>
      </c>
      <c r="BA183" s="3">
        <f t="shared" si="67"/>
        <v>0</v>
      </c>
      <c r="BB183" s="3">
        <f t="shared" si="67"/>
        <v>0</v>
      </c>
      <c r="BC183" s="3">
        <f t="shared" si="67"/>
        <v>0</v>
      </c>
      <c r="BD183" s="3">
        <f t="shared" si="67"/>
        <v>0</v>
      </c>
      <c r="BE183" s="3">
        <f t="shared" si="67"/>
        <v>0</v>
      </c>
      <c r="BF183" s="10">
        <f t="shared" si="67"/>
        <v>-20</v>
      </c>
    </row>
    <row r="184" spans="2:58" ht="22" customHeight="1">
      <c r="B184" s="107">
        <v>48</v>
      </c>
      <c r="C184" s="117" t="s">
        <v>132</v>
      </c>
      <c r="D184" s="108" t="s">
        <v>133</v>
      </c>
      <c r="E184" s="103"/>
      <c r="F184" s="109"/>
      <c r="G184" s="106">
        <f>SUM(Y184:AZ184)</f>
        <v>9</v>
      </c>
      <c r="H184" s="106">
        <f>SUM(Y185:AZ185)</f>
        <v>0</v>
      </c>
      <c r="I184" s="111"/>
      <c r="J184" s="112">
        <f>IFERROR(H184/G184,0)</f>
        <v>0</v>
      </c>
      <c r="K184" s="110">
        <v>0.7142857142857143</v>
      </c>
      <c r="L184" s="110">
        <v>0.7142857142857143</v>
      </c>
      <c r="M184" s="111"/>
      <c r="N184" s="111"/>
      <c r="O184" s="111"/>
      <c r="P184" s="111"/>
      <c r="Q184" s="111"/>
      <c r="R184" s="111"/>
      <c r="S184" s="103" t="s">
        <v>37</v>
      </c>
      <c r="T184" s="39"/>
      <c r="U184" s="39"/>
      <c r="V184" s="39"/>
      <c r="W184" s="39"/>
      <c r="X184" s="33" t="s">
        <v>31</v>
      </c>
      <c r="Y184" s="40">
        <v>1</v>
      </c>
      <c r="Z184" s="40">
        <v>1</v>
      </c>
      <c r="AA184" s="40">
        <v>1</v>
      </c>
      <c r="AB184" s="40">
        <v>1</v>
      </c>
      <c r="AC184" s="40">
        <v>1</v>
      </c>
      <c r="AD184" s="40">
        <v>1</v>
      </c>
      <c r="AE184" s="40">
        <v>1</v>
      </c>
      <c r="AF184" s="40">
        <v>1</v>
      </c>
      <c r="AG184" s="40">
        <v>1</v>
      </c>
      <c r="AH184" s="40">
        <v>0</v>
      </c>
      <c r="AI184" s="40">
        <v>0</v>
      </c>
      <c r="AJ184" s="40">
        <v>0</v>
      </c>
      <c r="AK184" s="40">
        <v>0</v>
      </c>
      <c r="AL184" s="40">
        <v>0</v>
      </c>
      <c r="AM184" s="40">
        <v>0</v>
      </c>
      <c r="AN184" s="40">
        <v>0</v>
      </c>
      <c r="AO184" s="40">
        <v>0</v>
      </c>
      <c r="AP184" s="40">
        <v>0</v>
      </c>
      <c r="AQ184" s="40">
        <v>0</v>
      </c>
      <c r="AR184" s="40">
        <v>0</v>
      </c>
      <c r="AS184" s="40">
        <v>0</v>
      </c>
      <c r="AT184" s="40">
        <v>0</v>
      </c>
      <c r="AU184" s="40">
        <v>0</v>
      </c>
      <c r="AV184" s="40">
        <v>0</v>
      </c>
      <c r="AW184" s="40">
        <v>0</v>
      </c>
      <c r="AX184" s="40">
        <v>0</v>
      </c>
      <c r="AY184" s="40">
        <v>0</v>
      </c>
      <c r="AZ184" s="40">
        <v>0</v>
      </c>
      <c r="BA184" s="40">
        <v>0</v>
      </c>
      <c r="BB184" s="40">
        <v>0</v>
      </c>
      <c r="BC184" s="40">
        <v>1</v>
      </c>
      <c r="BD184" s="40">
        <v>0</v>
      </c>
      <c r="BE184" s="40">
        <v>0</v>
      </c>
      <c r="BF184" s="10">
        <f>SUM(Y184:BE184)</f>
        <v>10</v>
      </c>
    </row>
    <row r="185" spans="2:58" ht="22" customHeight="1">
      <c r="B185" s="101"/>
      <c r="C185" s="101"/>
      <c r="D185" s="101"/>
      <c r="E185" s="101"/>
      <c r="F185" s="101"/>
      <c r="G185" s="101"/>
      <c r="H185" s="101"/>
      <c r="I185" s="101"/>
      <c r="J185" s="101"/>
      <c r="K185" s="101"/>
      <c r="L185" s="101"/>
      <c r="M185" s="101"/>
      <c r="N185" s="101"/>
      <c r="O185" s="101"/>
      <c r="P185" s="101"/>
      <c r="Q185" s="101"/>
      <c r="R185" s="101"/>
      <c r="S185" s="101"/>
      <c r="T185" s="39"/>
      <c r="U185" s="39"/>
      <c r="V185" s="39"/>
      <c r="W185" s="39"/>
      <c r="X185" s="33" t="s">
        <v>10</v>
      </c>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41"/>
      <c r="BB185" s="41"/>
      <c r="BC185" s="41"/>
      <c r="BD185" s="41"/>
      <c r="BE185" s="41"/>
      <c r="BF185" s="10">
        <f>SUM(Y185:BE185)</f>
        <v>0</v>
      </c>
    </row>
    <row r="186" spans="2:58" ht="22" customHeight="1">
      <c r="B186" s="101"/>
      <c r="C186" s="101"/>
      <c r="D186" s="101"/>
      <c r="E186" s="101"/>
      <c r="F186" s="101"/>
      <c r="G186" s="101"/>
      <c r="H186" s="101"/>
      <c r="I186" s="101"/>
      <c r="J186" s="101"/>
      <c r="K186" s="101"/>
      <c r="L186" s="101"/>
      <c r="M186" s="101"/>
      <c r="N186" s="101"/>
      <c r="O186" s="101"/>
      <c r="P186" s="101"/>
      <c r="Q186" s="101"/>
      <c r="R186" s="101"/>
      <c r="S186" s="101"/>
      <c r="T186" s="39"/>
      <c r="U186" s="39"/>
      <c r="V186" s="39"/>
      <c r="W186" s="39"/>
      <c r="X186" s="42" t="s">
        <v>38</v>
      </c>
      <c r="Y186" s="43">
        <v>6000</v>
      </c>
      <c r="Z186" s="43">
        <v>6000</v>
      </c>
      <c r="AA186" s="43">
        <v>6000</v>
      </c>
      <c r="AB186" s="43">
        <v>6000</v>
      </c>
      <c r="AC186" s="43">
        <v>6000</v>
      </c>
      <c r="AD186" s="43">
        <v>6000</v>
      </c>
      <c r="AE186" s="43">
        <v>6000</v>
      </c>
      <c r="AF186" s="43">
        <v>6000</v>
      </c>
      <c r="AG186" s="43">
        <v>6000</v>
      </c>
      <c r="AH186" s="43">
        <v>6000</v>
      </c>
      <c r="AI186" s="43">
        <v>6000</v>
      </c>
      <c r="AJ186" s="43">
        <v>6000</v>
      </c>
      <c r="AK186" s="43">
        <v>6000</v>
      </c>
      <c r="AL186" s="43">
        <v>6000</v>
      </c>
      <c r="AM186" s="43">
        <v>6000</v>
      </c>
      <c r="AN186" s="43">
        <v>6000</v>
      </c>
      <c r="AO186" s="43">
        <v>6000</v>
      </c>
      <c r="AP186" s="43">
        <v>6000</v>
      </c>
      <c r="AQ186" s="43">
        <v>6000</v>
      </c>
      <c r="AR186" s="43">
        <v>6000</v>
      </c>
      <c r="AS186" s="43">
        <v>6000</v>
      </c>
      <c r="AT186" s="43">
        <v>6000</v>
      </c>
      <c r="AU186" s="43">
        <v>6000</v>
      </c>
      <c r="AV186" s="43">
        <v>6000</v>
      </c>
      <c r="AW186" s="43">
        <v>6000</v>
      </c>
      <c r="AX186" s="43">
        <v>6000</v>
      </c>
      <c r="AY186" s="43">
        <v>6000</v>
      </c>
      <c r="AZ186" s="43">
        <v>6000</v>
      </c>
      <c r="BA186" s="43">
        <v>6000</v>
      </c>
      <c r="BB186" s="43">
        <v>6000</v>
      </c>
      <c r="BC186" s="43">
        <v>6000</v>
      </c>
      <c r="BD186" s="43">
        <v>6000</v>
      </c>
      <c r="BE186" s="43">
        <v>6000</v>
      </c>
      <c r="BF186" s="12">
        <f>SUM(Y186:BE186)</f>
        <v>198000</v>
      </c>
    </row>
    <row r="187" spans="2:58" ht="22" customHeight="1">
      <c r="B187" s="102"/>
      <c r="C187" s="102"/>
      <c r="D187" s="102"/>
      <c r="E187" s="102"/>
      <c r="F187" s="102"/>
      <c r="G187" s="102"/>
      <c r="H187" s="102"/>
      <c r="I187" s="102"/>
      <c r="J187" s="102"/>
      <c r="K187" s="102"/>
      <c r="L187" s="102"/>
      <c r="M187" s="102"/>
      <c r="N187" s="102"/>
      <c r="O187" s="102"/>
      <c r="P187" s="102"/>
      <c r="Q187" s="102"/>
      <c r="R187" s="102"/>
      <c r="S187" s="102"/>
      <c r="T187" s="39"/>
      <c r="U187" s="39"/>
      <c r="V187" s="39"/>
      <c r="W187" s="39"/>
      <c r="X187" s="33" t="s">
        <v>11</v>
      </c>
      <c r="Y187" s="36">
        <f t="shared" ref="Y187:BF187" si="68">Y185-Y184</f>
        <v>-1</v>
      </c>
      <c r="Z187" s="36">
        <f t="shared" si="68"/>
        <v>-1</v>
      </c>
      <c r="AA187" s="36">
        <f t="shared" si="68"/>
        <v>-1</v>
      </c>
      <c r="AB187" s="36">
        <f t="shared" si="68"/>
        <v>-1</v>
      </c>
      <c r="AC187" s="36">
        <f t="shared" si="68"/>
        <v>-1</v>
      </c>
      <c r="AD187" s="36">
        <f t="shared" si="68"/>
        <v>-1</v>
      </c>
      <c r="AE187" s="36">
        <f t="shared" si="68"/>
        <v>-1</v>
      </c>
      <c r="AF187" s="36">
        <f t="shared" si="68"/>
        <v>-1</v>
      </c>
      <c r="AG187" s="36">
        <f t="shared" si="68"/>
        <v>-1</v>
      </c>
      <c r="AH187" s="36">
        <f t="shared" si="68"/>
        <v>0</v>
      </c>
      <c r="AI187" s="36">
        <f t="shared" si="68"/>
        <v>0</v>
      </c>
      <c r="AJ187" s="36">
        <f t="shared" si="68"/>
        <v>0</v>
      </c>
      <c r="AK187" s="36">
        <f t="shared" si="68"/>
        <v>0</v>
      </c>
      <c r="AL187" s="36">
        <f t="shared" si="68"/>
        <v>0</v>
      </c>
      <c r="AM187" s="36">
        <f t="shared" si="68"/>
        <v>0</v>
      </c>
      <c r="AN187" s="36">
        <f t="shared" si="68"/>
        <v>0</v>
      </c>
      <c r="AO187" s="36">
        <f t="shared" si="68"/>
        <v>0</v>
      </c>
      <c r="AP187" s="36">
        <f t="shared" si="68"/>
        <v>0</v>
      </c>
      <c r="AQ187" s="36">
        <f t="shared" si="68"/>
        <v>0</v>
      </c>
      <c r="AR187" s="36">
        <f t="shared" si="68"/>
        <v>0</v>
      </c>
      <c r="AS187" s="36">
        <f t="shared" si="68"/>
        <v>0</v>
      </c>
      <c r="AT187" s="36">
        <f t="shared" si="68"/>
        <v>0</v>
      </c>
      <c r="AU187" s="36">
        <f t="shared" si="68"/>
        <v>0</v>
      </c>
      <c r="AV187" s="36">
        <f t="shared" si="68"/>
        <v>0</v>
      </c>
      <c r="AW187" s="36">
        <f t="shared" si="68"/>
        <v>0</v>
      </c>
      <c r="AX187" s="36">
        <f t="shared" si="68"/>
        <v>0</v>
      </c>
      <c r="AY187" s="36">
        <f t="shared" si="68"/>
        <v>0</v>
      </c>
      <c r="AZ187" s="36">
        <f t="shared" si="68"/>
        <v>0</v>
      </c>
      <c r="BA187" s="36">
        <f t="shared" si="68"/>
        <v>0</v>
      </c>
      <c r="BB187" s="36">
        <f t="shared" si="68"/>
        <v>0</v>
      </c>
      <c r="BC187" s="36">
        <f t="shared" si="68"/>
        <v>-1</v>
      </c>
      <c r="BD187" s="36">
        <f t="shared" si="68"/>
        <v>0</v>
      </c>
      <c r="BE187" s="36">
        <f t="shared" si="68"/>
        <v>0</v>
      </c>
      <c r="BF187" s="10">
        <f t="shared" si="68"/>
        <v>-10</v>
      </c>
    </row>
    <row r="188" spans="2:58" ht="22" customHeight="1">
      <c r="B188" s="104">
        <v>49</v>
      </c>
      <c r="C188" s="118" t="s">
        <v>134</v>
      </c>
      <c r="D188" s="105" t="s">
        <v>135</v>
      </c>
      <c r="E188" s="115"/>
      <c r="F188" s="119"/>
      <c r="G188" s="114">
        <f>SUM(Y188:AZ188)</f>
        <v>10</v>
      </c>
      <c r="H188" s="114">
        <f>SUM(Y189:AZ189)</f>
        <v>0</v>
      </c>
      <c r="I188" s="100"/>
      <c r="J188" s="116">
        <f>IFERROR(H188/G188,0)</f>
        <v>0</v>
      </c>
      <c r="K188" s="113">
        <v>0.22222222222222221</v>
      </c>
      <c r="L188" s="113">
        <v>0.22222222222222221</v>
      </c>
      <c r="M188" s="100"/>
      <c r="N188" s="100"/>
      <c r="O188" s="100"/>
      <c r="P188" s="100"/>
      <c r="Q188" s="100"/>
      <c r="R188" s="100"/>
      <c r="S188" s="115" t="s">
        <v>47</v>
      </c>
      <c r="T188" s="9"/>
      <c r="U188" s="9"/>
      <c r="V188" s="9"/>
      <c r="W188" s="9"/>
      <c r="X188" s="7" t="s">
        <v>31</v>
      </c>
      <c r="Y188" s="29">
        <v>1</v>
      </c>
      <c r="Z188" s="29">
        <v>3</v>
      </c>
      <c r="AA188" s="29">
        <v>1</v>
      </c>
      <c r="AB188" s="29">
        <v>1</v>
      </c>
      <c r="AC188" s="29">
        <v>1</v>
      </c>
      <c r="AD188" s="29">
        <v>1</v>
      </c>
      <c r="AE188" s="29">
        <v>0</v>
      </c>
      <c r="AF188" s="29">
        <v>0</v>
      </c>
      <c r="AG188" s="29">
        <v>2</v>
      </c>
      <c r="AH188" s="29">
        <v>0</v>
      </c>
      <c r="AI188" s="29">
        <v>0</v>
      </c>
      <c r="AJ188" s="29">
        <v>0</v>
      </c>
      <c r="AK188" s="29">
        <v>0</v>
      </c>
      <c r="AL188" s="29">
        <v>0</v>
      </c>
      <c r="AM188" s="29">
        <v>0</v>
      </c>
      <c r="AN188" s="29">
        <v>0</v>
      </c>
      <c r="AO188" s="29">
        <v>0</v>
      </c>
      <c r="AP188" s="29">
        <v>0</v>
      </c>
      <c r="AQ188" s="29">
        <v>0</v>
      </c>
      <c r="AR188" s="29">
        <v>0</v>
      </c>
      <c r="AS188" s="29">
        <v>0</v>
      </c>
      <c r="AT188" s="29">
        <v>0</v>
      </c>
      <c r="AU188" s="29">
        <v>0</v>
      </c>
      <c r="AV188" s="29">
        <v>0</v>
      </c>
      <c r="AW188" s="29">
        <v>0</v>
      </c>
      <c r="AX188" s="29">
        <v>0</v>
      </c>
      <c r="AY188" s="29">
        <v>0</v>
      </c>
      <c r="AZ188" s="29">
        <v>0</v>
      </c>
      <c r="BA188" s="29">
        <v>0</v>
      </c>
      <c r="BB188" s="29">
        <v>0</v>
      </c>
      <c r="BC188" s="29">
        <v>0</v>
      </c>
      <c r="BD188" s="29">
        <v>0</v>
      </c>
      <c r="BE188" s="29">
        <v>0</v>
      </c>
      <c r="BF188" s="10">
        <f>SUM(Y188:BE188)</f>
        <v>10</v>
      </c>
    </row>
    <row r="189" spans="2:58" ht="22" customHeight="1">
      <c r="B189" s="101"/>
      <c r="C189" s="101"/>
      <c r="D189" s="101"/>
      <c r="E189" s="101"/>
      <c r="F189" s="101"/>
      <c r="G189" s="101"/>
      <c r="H189" s="101"/>
      <c r="I189" s="101"/>
      <c r="J189" s="101"/>
      <c r="K189" s="101"/>
      <c r="L189" s="101"/>
      <c r="M189" s="101"/>
      <c r="N189" s="101"/>
      <c r="O189" s="101"/>
      <c r="P189" s="101"/>
      <c r="Q189" s="101"/>
      <c r="R189" s="101"/>
      <c r="S189" s="101"/>
      <c r="T189" s="9"/>
      <c r="U189" s="9"/>
      <c r="V189" s="9"/>
      <c r="W189" s="9"/>
      <c r="X189" s="7" t="s">
        <v>10</v>
      </c>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0">
        <f>SUM(Y189:BE189)</f>
        <v>0</v>
      </c>
    </row>
    <row r="190" spans="2:58" ht="22" customHeight="1">
      <c r="B190" s="102"/>
      <c r="C190" s="102"/>
      <c r="D190" s="102"/>
      <c r="E190" s="102"/>
      <c r="F190" s="102"/>
      <c r="G190" s="102"/>
      <c r="H190" s="102"/>
      <c r="I190" s="102"/>
      <c r="J190" s="102"/>
      <c r="K190" s="102"/>
      <c r="L190" s="102"/>
      <c r="M190" s="102"/>
      <c r="N190" s="102"/>
      <c r="O190" s="102"/>
      <c r="P190" s="102"/>
      <c r="Q190" s="102"/>
      <c r="R190" s="102"/>
      <c r="S190" s="102"/>
      <c r="T190" s="9"/>
      <c r="U190" s="9"/>
      <c r="V190" s="9"/>
      <c r="W190" s="9"/>
      <c r="X190" s="7" t="s">
        <v>11</v>
      </c>
      <c r="Y190" s="3">
        <f t="shared" ref="Y190:BF190" si="69">Y189-Y188</f>
        <v>-1</v>
      </c>
      <c r="Z190" s="3">
        <f t="shared" si="69"/>
        <v>-3</v>
      </c>
      <c r="AA190" s="3">
        <f t="shared" si="69"/>
        <v>-1</v>
      </c>
      <c r="AB190" s="3">
        <f t="shared" si="69"/>
        <v>-1</v>
      </c>
      <c r="AC190" s="3">
        <f t="shared" si="69"/>
        <v>-1</v>
      </c>
      <c r="AD190" s="3">
        <f t="shared" si="69"/>
        <v>-1</v>
      </c>
      <c r="AE190" s="3">
        <f t="shared" si="69"/>
        <v>0</v>
      </c>
      <c r="AF190" s="3">
        <f t="shared" si="69"/>
        <v>0</v>
      </c>
      <c r="AG190" s="3">
        <f t="shared" si="69"/>
        <v>-2</v>
      </c>
      <c r="AH190" s="3">
        <f t="shared" si="69"/>
        <v>0</v>
      </c>
      <c r="AI190" s="3">
        <f t="shared" si="69"/>
        <v>0</v>
      </c>
      <c r="AJ190" s="3">
        <f t="shared" si="69"/>
        <v>0</v>
      </c>
      <c r="AK190" s="3">
        <f t="shared" si="69"/>
        <v>0</v>
      </c>
      <c r="AL190" s="3">
        <f t="shared" si="69"/>
        <v>0</v>
      </c>
      <c r="AM190" s="3">
        <f t="shared" si="69"/>
        <v>0</v>
      </c>
      <c r="AN190" s="3">
        <f t="shared" si="69"/>
        <v>0</v>
      </c>
      <c r="AO190" s="3">
        <f t="shared" si="69"/>
        <v>0</v>
      </c>
      <c r="AP190" s="3">
        <f t="shared" si="69"/>
        <v>0</v>
      </c>
      <c r="AQ190" s="3">
        <f t="shared" si="69"/>
        <v>0</v>
      </c>
      <c r="AR190" s="3">
        <f t="shared" si="69"/>
        <v>0</v>
      </c>
      <c r="AS190" s="3">
        <f t="shared" si="69"/>
        <v>0</v>
      </c>
      <c r="AT190" s="3">
        <f t="shared" si="69"/>
        <v>0</v>
      </c>
      <c r="AU190" s="3">
        <f t="shared" si="69"/>
        <v>0</v>
      </c>
      <c r="AV190" s="3">
        <f t="shared" si="69"/>
        <v>0</v>
      </c>
      <c r="AW190" s="3">
        <f t="shared" si="69"/>
        <v>0</v>
      </c>
      <c r="AX190" s="3">
        <f t="shared" si="69"/>
        <v>0</v>
      </c>
      <c r="AY190" s="3">
        <f t="shared" si="69"/>
        <v>0</v>
      </c>
      <c r="AZ190" s="3">
        <f t="shared" si="69"/>
        <v>0</v>
      </c>
      <c r="BA190" s="3">
        <f t="shared" si="69"/>
        <v>0</v>
      </c>
      <c r="BB190" s="3">
        <f t="shared" si="69"/>
        <v>0</v>
      </c>
      <c r="BC190" s="3">
        <f t="shared" si="69"/>
        <v>0</v>
      </c>
      <c r="BD190" s="3">
        <f t="shared" si="69"/>
        <v>0</v>
      </c>
      <c r="BE190" s="3">
        <f t="shared" si="69"/>
        <v>0</v>
      </c>
      <c r="BF190" s="10">
        <f t="shared" si="69"/>
        <v>-10</v>
      </c>
    </row>
    <row r="191" spans="2:58" ht="22" customHeight="1">
      <c r="B191" s="107">
        <v>50</v>
      </c>
      <c r="C191" s="117" t="s">
        <v>136</v>
      </c>
      <c r="D191" s="108" t="s">
        <v>137</v>
      </c>
      <c r="E191" s="103"/>
      <c r="F191" s="109"/>
      <c r="G191" s="106">
        <f>SUM(Y191:AZ191)</f>
        <v>11</v>
      </c>
      <c r="H191" s="106">
        <f>SUM(Y192:AZ192)</f>
        <v>0</v>
      </c>
      <c r="I191" s="111"/>
      <c r="J191" s="112">
        <f>IFERROR(H191/G191,0)</f>
        <v>0</v>
      </c>
      <c r="K191" s="110">
        <v>0.5</v>
      </c>
      <c r="L191" s="110">
        <v>0.5</v>
      </c>
      <c r="M191" s="111"/>
      <c r="N191" s="111"/>
      <c r="O191" s="111"/>
      <c r="P191" s="111"/>
      <c r="Q191" s="111"/>
      <c r="R191" s="111"/>
      <c r="S191" s="103" t="s">
        <v>37</v>
      </c>
      <c r="T191" s="39"/>
      <c r="U191" s="39"/>
      <c r="V191" s="39"/>
      <c r="W191" s="39"/>
      <c r="X191" s="33" t="s">
        <v>31</v>
      </c>
      <c r="Y191" s="40">
        <v>1</v>
      </c>
      <c r="Z191" s="40">
        <v>1</v>
      </c>
      <c r="AA191" s="40">
        <v>1</v>
      </c>
      <c r="AB191" s="40">
        <v>1</v>
      </c>
      <c r="AC191" s="40">
        <v>1</v>
      </c>
      <c r="AD191" s="40">
        <v>1</v>
      </c>
      <c r="AE191" s="40">
        <v>1</v>
      </c>
      <c r="AF191" s="40">
        <v>1</v>
      </c>
      <c r="AG191" s="40">
        <v>1</v>
      </c>
      <c r="AH191" s="40">
        <v>1</v>
      </c>
      <c r="AI191" s="40">
        <v>1</v>
      </c>
      <c r="AJ191" s="40">
        <v>0</v>
      </c>
      <c r="AK191" s="40">
        <v>0</v>
      </c>
      <c r="AL191" s="40">
        <v>0</v>
      </c>
      <c r="AM191" s="40">
        <v>0</v>
      </c>
      <c r="AN191" s="40">
        <v>0</v>
      </c>
      <c r="AO191" s="40">
        <v>0</v>
      </c>
      <c r="AP191" s="40">
        <v>0</v>
      </c>
      <c r="AQ191" s="40">
        <v>0</v>
      </c>
      <c r="AR191" s="40">
        <v>0</v>
      </c>
      <c r="AS191" s="40">
        <v>0</v>
      </c>
      <c r="AT191" s="40">
        <v>0</v>
      </c>
      <c r="AU191" s="40">
        <v>0</v>
      </c>
      <c r="AV191" s="40">
        <v>0</v>
      </c>
      <c r="AW191" s="40">
        <v>0</v>
      </c>
      <c r="AX191" s="40">
        <v>0</v>
      </c>
      <c r="AY191" s="40">
        <v>0</v>
      </c>
      <c r="AZ191" s="40">
        <v>0</v>
      </c>
      <c r="BA191" s="40">
        <v>0</v>
      </c>
      <c r="BB191" s="40">
        <v>0</v>
      </c>
      <c r="BC191" s="40">
        <v>0</v>
      </c>
      <c r="BD191" s="40">
        <v>0</v>
      </c>
      <c r="BE191" s="40">
        <v>0</v>
      </c>
      <c r="BF191" s="10">
        <f>SUM(Y191:BE191)</f>
        <v>11</v>
      </c>
    </row>
    <row r="192" spans="2:58" ht="22" customHeight="1">
      <c r="B192" s="101"/>
      <c r="C192" s="101"/>
      <c r="D192" s="101"/>
      <c r="E192" s="101"/>
      <c r="F192" s="101"/>
      <c r="G192" s="101"/>
      <c r="H192" s="101"/>
      <c r="I192" s="101"/>
      <c r="J192" s="101"/>
      <c r="K192" s="101"/>
      <c r="L192" s="101"/>
      <c r="M192" s="101"/>
      <c r="N192" s="101"/>
      <c r="O192" s="101"/>
      <c r="P192" s="101"/>
      <c r="Q192" s="101"/>
      <c r="R192" s="101"/>
      <c r="S192" s="101"/>
      <c r="T192" s="39"/>
      <c r="U192" s="39"/>
      <c r="V192" s="39"/>
      <c r="W192" s="39"/>
      <c r="X192" s="33" t="s">
        <v>10</v>
      </c>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41"/>
      <c r="BB192" s="41"/>
      <c r="BC192" s="41"/>
      <c r="BD192" s="41"/>
      <c r="BE192" s="41"/>
      <c r="BF192" s="10">
        <f>SUM(Y192:BE192)</f>
        <v>0</v>
      </c>
    </row>
    <row r="193" spans="2:58" ht="22" customHeight="1">
      <c r="B193" s="101"/>
      <c r="C193" s="101"/>
      <c r="D193" s="101"/>
      <c r="E193" s="101"/>
      <c r="F193" s="101"/>
      <c r="G193" s="101"/>
      <c r="H193" s="101"/>
      <c r="I193" s="101"/>
      <c r="J193" s="101"/>
      <c r="K193" s="101"/>
      <c r="L193" s="101"/>
      <c r="M193" s="101"/>
      <c r="N193" s="101"/>
      <c r="O193" s="101"/>
      <c r="P193" s="101"/>
      <c r="Q193" s="101"/>
      <c r="R193" s="101"/>
      <c r="S193" s="101"/>
      <c r="T193" s="39"/>
      <c r="U193" s="39"/>
      <c r="V193" s="39"/>
      <c r="W193" s="39"/>
      <c r="X193" s="42" t="s">
        <v>38</v>
      </c>
      <c r="Y193" s="43">
        <v>8000</v>
      </c>
      <c r="Z193" s="43">
        <v>8000</v>
      </c>
      <c r="AA193" s="43">
        <v>8000</v>
      </c>
      <c r="AB193" s="43">
        <v>8000</v>
      </c>
      <c r="AC193" s="43">
        <v>8000</v>
      </c>
      <c r="AD193" s="43">
        <v>8000</v>
      </c>
      <c r="AE193" s="43">
        <v>8000</v>
      </c>
      <c r="AF193" s="43">
        <v>8000</v>
      </c>
      <c r="AG193" s="43">
        <v>8000</v>
      </c>
      <c r="AH193" s="43">
        <v>8000</v>
      </c>
      <c r="AI193" s="43">
        <v>8000</v>
      </c>
      <c r="AJ193" s="43">
        <v>8000</v>
      </c>
      <c r="AK193" s="43">
        <v>8000</v>
      </c>
      <c r="AL193" s="43">
        <v>8000</v>
      </c>
      <c r="AM193" s="43">
        <v>8000</v>
      </c>
      <c r="AN193" s="43">
        <v>8000</v>
      </c>
      <c r="AO193" s="43">
        <v>8000</v>
      </c>
      <c r="AP193" s="43">
        <v>8000</v>
      </c>
      <c r="AQ193" s="43">
        <v>8000</v>
      </c>
      <c r="AR193" s="43">
        <v>8000</v>
      </c>
      <c r="AS193" s="43">
        <v>8000</v>
      </c>
      <c r="AT193" s="43">
        <v>8000</v>
      </c>
      <c r="AU193" s="43">
        <v>8000</v>
      </c>
      <c r="AV193" s="43">
        <v>8000</v>
      </c>
      <c r="AW193" s="43">
        <v>8000</v>
      </c>
      <c r="AX193" s="43">
        <v>8000</v>
      </c>
      <c r="AY193" s="43">
        <v>8000</v>
      </c>
      <c r="AZ193" s="43">
        <v>8000</v>
      </c>
      <c r="BA193" s="43">
        <v>8000</v>
      </c>
      <c r="BB193" s="43">
        <v>8000</v>
      </c>
      <c r="BC193" s="43">
        <v>8000</v>
      </c>
      <c r="BD193" s="43">
        <v>8000</v>
      </c>
      <c r="BE193" s="43">
        <v>8000</v>
      </c>
      <c r="BF193" s="12">
        <f>SUM(Y193:BE193)</f>
        <v>264000</v>
      </c>
    </row>
    <row r="194" spans="2:58" ht="22" customHeight="1">
      <c r="B194" s="102"/>
      <c r="C194" s="102"/>
      <c r="D194" s="102"/>
      <c r="E194" s="102"/>
      <c r="F194" s="102"/>
      <c r="G194" s="102"/>
      <c r="H194" s="102"/>
      <c r="I194" s="102"/>
      <c r="J194" s="102"/>
      <c r="K194" s="102"/>
      <c r="L194" s="102"/>
      <c r="M194" s="102"/>
      <c r="N194" s="102"/>
      <c r="O194" s="102"/>
      <c r="P194" s="102"/>
      <c r="Q194" s="102"/>
      <c r="R194" s="102"/>
      <c r="S194" s="102"/>
      <c r="T194" s="39"/>
      <c r="U194" s="39"/>
      <c r="V194" s="39"/>
      <c r="W194" s="39"/>
      <c r="X194" s="33" t="s">
        <v>11</v>
      </c>
      <c r="Y194" s="36">
        <f t="shared" ref="Y194:BF194" si="70">Y192-Y191</f>
        <v>-1</v>
      </c>
      <c r="Z194" s="36">
        <f t="shared" si="70"/>
        <v>-1</v>
      </c>
      <c r="AA194" s="36">
        <f t="shared" si="70"/>
        <v>-1</v>
      </c>
      <c r="AB194" s="36">
        <f t="shared" si="70"/>
        <v>-1</v>
      </c>
      <c r="AC194" s="36">
        <f t="shared" si="70"/>
        <v>-1</v>
      </c>
      <c r="AD194" s="36">
        <f t="shared" si="70"/>
        <v>-1</v>
      </c>
      <c r="AE194" s="36">
        <f t="shared" si="70"/>
        <v>-1</v>
      </c>
      <c r="AF194" s="36">
        <f t="shared" si="70"/>
        <v>-1</v>
      </c>
      <c r="AG194" s="36">
        <f t="shared" si="70"/>
        <v>-1</v>
      </c>
      <c r="AH194" s="36">
        <f t="shared" si="70"/>
        <v>-1</v>
      </c>
      <c r="AI194" s="36">
        <f t="shared" si="70"/>
        <v>-1</v>
      </c>
      <c r="AJ194" s="36">
        <f t="shared" si="70"/>
        <v>0</v>
      </c>
      <c r="AK194" s="36">
        <f t="shared" si="70"/>
        <v>0</v>
      </c>
      <c r="AL194" s="36">
        <f t="shared" si="70"/>
        <v>0</v>
      </c>
      <c r="AM194" s="36">
        <f t="shared" si="70"/>
        <v>0</v>
      </c>
      <c r="AN194" s="36">
        <f t="shared" si="70"/>
        <v>0</v>
      </c>
      <c r="AO194" s="36">
        <f t="shared" si="70"/>
        <v>0</v>
      </c>
      <c r="AP194" s="36">
        <f t="shared" si="70"/>
        <v>0</v>
      </c>
      <c r="AQ194" s="36">
        <f t="shared" si="70"/>
        <v>0</v>
      </c>
      <c r="AR194" s="36">
        <f t="shared" si="70"/>
        <v>0</v>
      </c>
      <c r="AS194" s="36">
        <f t="shared" si="70"/>
        <v>0</v>
      </c>
      <c r="AT194" s="36">
        <f t="shared" si="70"/>
        <v>0</v>
      </c>
      <c r="AU194" s="36">
        <f t="shared" si="70"/>
        <v>0</v>
      </c>
      <c r="AV194" s="36">
        <f t="shared" si="70"/>
        <v>0</v>
      </c>
      <c r="AW194" s="36">
        <f t="shared" si="70"/>
        <v>0</v>
      </c>
      <c r="AX194" s="36">
        <f t="shared" si="70"/>
        <v>0</v>
      </c>
      <c r="AY194" s="36">
        <f t="shared" si="70"/>
        <v>0</v>
      </c>
      <c r="AZ194" s="36">
        <f t="shared" si="70"/>
        <v>0</v>
      </c>
      <c r="BA194" s="36">
        <f t="shared" si="70"/>
        <v>0</v>
      </c>
      <c r="BB194" s="36">
        <f t="shared" si="70"/>
        <v>0</v>
      </c>
      <c r="BC194" s="36">
        <f t="shared" si="70"/>
        <v>0</v>
      </c>
      <c r="BD194" s="36">
        <f t="shared" si="70"/>
        <v>0</v>
      </c>
      <c r="BE194" s="36">
        <f t="shared" si="70"/>
        <v>0</v>
      </c>
      <c r="BF194" s="10">
        <f t="shared" si="70"/>
        <v>-11</v>
      </c>
    </row>
    <row r="195" spans="2:58" ht="22" customHeight="1">
      <c r="B195" s="104">
        <v>51</v>
      </c>
      <c r="C195" s="118" t="s">
        <v>138</v>
      </c>
      <c r="D195" s="105" t="s">
        <v>139</v>
      </c>
      <c r="E195" s="115"/>
      <c r="F195" s="119"/>
      <c r="G195" s="114">
        <f>SUM(Y195:AZ195)</f>
        <v>0</v>
      </c>
      <c r="H195" s="114">
        <f>SUM(Y196:AZ196)</f>
        <v>0</v>
      </c>
      <c r="I195" s="100"/>
      <c r="J195" s="116">
        <f>IFERROR(H195/G195,0)</f>
        <v>0</v>
      </c>
      <c r="K195" s="113">
        <v>0.5</v>
      </c>
      <c r="L195" s="113">
        <v>0.5</v>
      </c>
      <c r="M195" s="100"/>
      <c r="N195" s="100"/>
      <c r="O195" s="100"/>
      <c r="P195" s="100"/>
      <c r="Q195" s="100"/>
      <c r="R195" s="100"/>
      <c r="S195" s="115" t="s">
        <v>47</v>
      </c>
      <c r="T195" s="9"/>
      <c r="U195" s="9"/>
      <c r="V195" s="9"/>
      <c r="W195" s="9"/>
      <c r="X195" s="7" t="s">
        <v>31</v>
      </c>
      <c r="Y195" s="29">
        <v>0</v>
      </c>
      <c r="Z195" s="29">
        <v>0</v>
      </c>
      <c r="AA195" s="29">
        <v>0</v>
      </c>
      <c r="AB195" s="29">
        <v>0</v>
      </c>
      <c r="AC195" s="29">
        <v>0</v>
      </c>
      <c r="AD195" s="29">
        <v>0</v>
      </c>
      <c r="AE195" s="29">
        <v>0</v>
      </c>
      <c r="AF195" s="29">
        <v>0</v>
      </c>
      <c r="AG195" s="29">
        <v>0</v>
      </c>
      <c r="AH195" s="29">
        <v>0</v>
      </c>
      <c r="AI195" s="29">
        <v>0</v>
      </c>
      <c r="AJ195" s="29">
        <v>0</v>
      </c>
      <c r="AK195" s="29">
        <v>0</v>
      </c>
      <c r="AL195" s="29">
        <v>0</v>
      </c>
      <c r="AM195" s="29">
        <v>0</v>
      </c>
      <c r="AN195" s="29">
        <v>0</v>
      </c>
      <c r="AO195" s="29">
        <v>0</v>
      </c>
      <c r="AP195" s="29">
        <v>0</v>
      </c>
      <c r="AQ195" s="29">
        <v>0</v>
      </c>
      <c r="AR195" s="29">
        <v>0</v>
      </c>
      <c r="AS195" s="29">
        <v>0</v>
      </c>
      <c r="AT195" s="29">
        <v>0</v>
      </c>
      <c r="AU195" s="29">
        <v>0</v>
      </c>
      <c r="AV195" s="29">
        <v>0</v>
      </c>
      <c r="AW195" s="29">
        <v>0</v>
      </c>
      <c r="AX195" s="29">
        <v>0</v>
      </c>
      <c r="AY195" s="29">
        <v>0</v>
      </c>
      <c r="AZ195" s="29">
        <v>0</v>
      </c>
      <c r="BA195" s="29">
        <v>0</v>
      </c>
      <c r="BB195" s="29">
        <v>0</v>
      </c>
      <c r="BC195" s="29">
        <v>0</v>
      </c>
      <c r="BD195" s="29">
        <v>0</v>
      </c>
      <c r="BE195" s="29">
        <v>0</v>
      </c>
      <c r="BF195" s="10">
        <f>SUM(Y195:BE195)</f>
        <v>0</v>
      </c>
    </row>
    <row r="196" spans="2:58" ht="22" customHeight="1">
      <c r="B196" s="101"/>
      <c r="C196" s="101"/>
      <c r="D196" s="101"/>
      <c r="E196" s="101"/>
      <c r="F196" s="101"/>
      <c r="G196" s="101"/>
      <c r="H196" s="101"/>
      <c r="I196" s="101"/>
      <c r="J196" s="101"/>
      <c r="K196" s="101"/>
      <c r="L196" s="101"/>
      <c r="M196" s="101"/>
      <c r="N196" s="101"/>
      <c r="O196" s="101"/>
      <c r="P196" s="101"/>
      <c r="Q196" s="101"/>
      <c r="R196" s="101"/>
      <c r="S196" s="101"/>
      <c r="T196" s="9"/>
      <c r="U196" s="9"/>
      <c r="V196" s="9"/>
      <c r="W196" s="9"/>
      <c r="X196" s="7" t="s">
        <v>10</v>
      </c>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0">
        <f>SUM(Y196:BE196)</f>
        <v>0</v>
      </c>
    </row>
    <row r="197" spans="2:58" ht="22" customHeight="1">
      <c r="B197" s="102"/>
      <c r="C197" s="102"/>
      <c r="D197" s="102"/>
      <c r="E197" s="102"/>
      <c r="F197" s="102"/>
      <c r="G197" s="102"/>
      <c r="H197" s="102"/>
      <c r="I197" s="102"/>
      <c r="J197" s="102"/>
      <c r="K197" s="102"/>
      <c r="L197" s="102"/>
      <c r="M197" s="102"/>
      <c r="N197" s="102"/>
      <c r="O197" s="102"/>
      <c r="P197" s="102"/>
      <c r="Q197" s="102"/>
      <c r="R197" s="102"/>
      <c r="S197" s="102"/>
      <c r="T197" s="9"/>
      <c r="U197" s="9"/>
      <c r="V197" s="9"/>
      <c r="W197" s="9"/>
      <c r="X197" s="7" t="s">
        <v>11</v>
      </c>
      <c r="Y197" s="3">
        <f t="shared" ref="Y197:BF197" si="71">Y196-Y195</f>
        <v>0</v>
      </c>
      <c r="Z197" s="3">
        <f t="shared" si="71"/>
        <v>0</v>
      </c>
      <c r="AA197" s="3">
        <f t="shared" si="71"/>
        <v>0</v>
      </c>
      <c r="AB197" s="3">
        <f t="shared" si="71"/>
        <v>0</v>
      </c>
      <c r="AC197" s="3">
        <f t="shared" si="71"/>
        <v>0</v>
      </c>
      <c r="AD197" s="3">
        <f t="shared" si="71"/>
        <v>0</v>
      </c>
      <c r="AE197" s="3">
        <f t="shared" si="71"/>
        <v>0</v>
      </c>
      <c r="AF197" s="3">
        <f t="shared" si="71"/>
        <v>0</v>
      </c>
      <c r="AG197" s="3">
        <f t="shared" si="71"/>
        <v>0</v>
      </c>
      <c r="AH197" s="3">
        <f t="shared" si="71"/>
        <v>0</v>
      </c>
      <c r="AI197" s="3">
        <f t="shared" si="71"/>
        <v>0</v>
      </c>
      <c r="AJ197" s="3">
        <f t="shared" si="71"/>
        <v>0</v>
      </c>
      <c r="AK197" s="3">
        <f t="shared" si="71"/>
        <v>0</v>
      </c>
      <c r="AL197" s="3">
        <f t="shared" si="71"/>
        <v>0</v>
      </c>
      <c r="AM197" s="3">
        <f t="shared" si="71"/>
        <v>0</v>
      </c>
      <c r="AN197" s="3">
        <f t="shared" si="71"/>
        <v>0</v>
      </c>
      <c r="AO197" s="3">
        <f t="shared" si="71"/>
        <v>0</v>
      </c>
      <c r="AP197" s="3">
        <f t="shared" si="71"/>
        <v>0</v>
      </c>
      <c r="AQ197" s="3">
        <f t="shared" si="71"/>
        <v>0</v>
      </c>
      <c r="AR197" s="3">
        <f t="shared" si="71"/>
        <v>0</v>
      </c>
      <c r="AS197" s="3">
        <f t="shared" si="71"/>
        <v>0</v>
      </c>
      <c r="AT197" s="3">
        <f t="shared" si="71"/>
        <v>0</v>
      </c>
      <c r="AU197" s="3">
        <f t="shared" si="71"/>
        <v>0</v>
      </c>
      <c r="AV197" s="3">
        <f t="shared" si="71"/>
        <v>0</v>
      </c>
      <c r="AW197" s="3">
        <f t="shared" si="71"/>
        <v>0</v>
      </c>
      <c r="AX197" s="3">
        <f t="shared" si="71"/>
        <v>0</v>
      </c>
      <c r="AY197" s="3">
        <f t="shared" si="71"/>
        <v>0</v>
      </c>
      <c r="AZ197" s="3">
        <f t="shared" si="71"/>
        <v>0</v>
      </c>
      <c r="BA197" s="3">
        <f t="shared" si="71"/>
        <v>0</v>
      </c>
      <c r="BB197" s="3">
        <f t="shared" si="71"/>
        <v>0</v>
      </c>
      <c r="BC197" s="3">
        <f t="shared" si="71"/>
        <v>0</v>
      </c>
      <c r="BD197" s="3">
        <f t="shared" si="71"/>
        <v>0</v>
      </c>
      <c r="BE197" s="3">
        <f t="shared" si="71"/>
        <v>0</v>
      </c>
      <c r="BF197" s="10">
        <f t="shared" si="71"/>
        <v>0</v>
      </c>
    </row>
    <row r="198" spans="2:58" ht="22" customHeight="1">
      <c r="B198" s="107">
        <v>52</v>
      </c>
      <c r="C198" s="117" t="s">
        <v>140</v>
      </c>
      <c r="D198" s="108" t="s">
        <v>141</v>
      </c>
      <c r="E198" s="103"/>
      <c r="F198" s="109"/>
      <c r="G198" s="106">
        <f>SUM(Y198:AZ198)</f>
        <v>0</v>
      </c>
      <c r="H198" s="106">
        <f>SUM(Y199:AZ199)</f>
        <v>0</v>
      </c>
      <c r="I198" s="111"/>
      <c r="J198" s="112">
        <f>IFERROR(H198/G198,0)</f>
        <v>0</v>
      </c>
      <c r="K198" s="110">
        <v>0.5</v>
      </c>
      <c r="L198" s="110">
        <v>0.5</v>
      </c>
      <c r="M198" s="111"/>
      <c r="N198" s="111"/>
      <c r="O198" s="111"/>
      <c r="P198" s="111"/>
      <c r="Q198" s="111"/>
      <c r="R198" s="111"/>
      <c r="S198" s="103" t="s">
        <v>47</v>
      </c>
      <c r="T198" s="39"/>
      <c r="U198" s="39"/>
      <c r="V198" s="39"/>
      <c r="W198" s="39"/>
      <c r="X198" s="33" t="s">
        <v>31</v>
      </c>
      <c r="Y198" s="40">
        <v>0</v>
      </c>
      <c r="Z198" s="40">
        <v>0</v>
      </c>
      <c r="AA198" s="40">
        <v>0</v>
      </c>
      <c r="AB198" s="40">
        <v>0</v>
      </c>
      <c r="AC198" s="40">
        <v>0</v>
      </c>
      <c r="AD198" s="40">
        <v>0</v>
      </c>
      <c r="AE198" s="40">
        <v>0</v>
      </c>
      <c r="AF198" s="40">
        <v>0</v>
      </c>
      <c r="AG198" s="40">
        <v>0</v>
      </c>
      <c r="AH198" s="40">
        <v>0</v>
      </c>
      <c r="AI198" s="40">
        <v>0</v>
      </c>
      <c r="AJ198" s="40">
        <v>0</v>
      </c>
      <c r="AK198" s="40">
        <v>0</v>
      </c>
      <c r="AL198" s="40">
        <v>0</v>
      </c>
      <c r="AM198" s="40">
        <v>0</v>
      </c>
      <c r="AN198" s="40">
        <v>0</v>
      </c>
      <c r="AO198" s="40">
        <v>0</v>
      </c>
      <c r="AP198" s="40">
        <v>0</v>
      </c>
      <c r="AQ198" s="40">
        <v>0</v>
      </c>
      <c r="AR198" s="40">
        <v>0</v>
      </c>
      <c r="AS198" s="40">
        <v>0</v>
      </c>
      <c r="AT198" s="40">
        <v>0</v>
      </c>
      <c r="AU198" s="40">
        <v>0</v>
      </c>
      <c r="AV198" s="40">
        <v>0</v>
      </c>
      <c r="AW198" s="40">
        <v>0</v>
      </c>
      <c r="AX198" s="40">
        <v>0</v>
      </c>
      <c r="AY198" s="40">
        <v>0</v>
      </c>
      <c r="AZ198" s="40">
        <v>0</v>
      </c>
      <c r="BA198" s="40">
        <v>0</v>
      </c>
      <c r="BB198" s="40">
        <v>0</v>
      </c>
      <c r="BC198" s="40">
        <v>0</v>
      </c>
      <c r="BD198" s="40">
        <v>0</v>
      </c>
      <c r="BE198" s="40">
        <v>0</v>
      </c>
      <c r="BF198" s="10">
        <f>SUM(Y198:BE198)</f>
        <v>0</v>
      </c>
    </row>
    <row r="199" spans="2:58" ht="22" customHeight="1">
      <c r="B199" s="101"/>
      <c r="C199" s="101"/>
      <c r="D199" s="101"/>
      <c r="E199" s="101"/>
      <c r="F199" s="101"/>
      <c r="G199" s="101"/>
      <c r="H199" s="101"/>
      <c r="I199" s="101"/>
      <c r="J199" s="101"/>
      <c r="K199" s="101"/>
      <c r="L199" s="101"/>
      <c r="M199" s="101"/>
      <c r="N199" s="101"/>
      <c r="O199" s="101"/>
      <c r="P199" s="101"/>
      <c r="Q199" s="101"/>
      <c r="R199" s="101"/>
      <c r="S199" s="101"/>
      <c r="T199" s="39"/>
      <c r="U199" s="39"/>
      <c r="V199" s="39"/>
      <c r="W199" s="39"/>
      <c r="X199" s="33" t="s">
        <v>10</v>
      </c>
      <c r="Y199" s="41"/>
      <c r="Z199" s="41"/>
      <c r="AA199" s="41"/>
      <c r="AB199" s="41"/>
      <c r="AC199" s="41"/>
      <c r="AD199" s="41"/>
      <c r="AE199" s="41"/>
      <c r="AF199" s="41"/>
      <c r="AG199" s="41"/>
      <c r="AH199" s="41"/>
      <c r="AI199" s="41"/>
      <c r="AJ199" s="41"/>
      <c r="AK199" s="41"/>
      <c r="AL199" s="41"/>
      <c r="AM199" s="41"/>
      <c r="AN199" s="41"/>
      <c r="AO199" s="41"/>
      <c r="AP199" s="41"/>
      <c r="AQ199" s="41"/>
      <c r="AR199" s="41"/>
      <c r="AS199" s="41"/>
      <c r="AT199" s="41"/>
      <c r="AU199" s="41"/>
      <c r="AV199" s="41"/>
      <c r="AW199" s="41"/>
      <c r="AX199" s="41"/>
      <c r="AY199" s="41"/>
      <c r="AZ199" s="41"/>
      <c r="BA199" s="41"/>
      <c r="BB199" s="41"/>
      <c r="BC199" s="41"/>
      <c r="BD199" s="41"/>
      <c r="BE199" s="41"/>
      <c r="BF199" s="10">
        <f>SUM(Y199:BE199)</f>
        <v>0</v>
      </c>
    </row>
    <row r="200" spans="2:58" ht="22" customHeight="1">
      <c r="B200" s="102"/>
      <c r="C200" s="102"/>
      <c r="D200" s="102"/>
      <c r="E200" s="102"/>
      <c r="F200" s="102"/>
      <c r="G200" s="102"/>
      <c r="H200" s="102"/>
      <c r="I200" s="102"/>
      <c r="J200" s="102"/>
      <c r="K200" s="102"/>
      <c r="L200" s="102"/>
      <c r="M200" s="102"/>
      <c r="N200" s="102"/>
      <c r="O200" s="102"/>
      <c r="P200" s="102"/>
      <c r="Q200" s="102"/>
      <c r="R200" s="102"/>
      <c r="S200" s="102"/>
      <c r="T200" s="39"/>
      <c r="U200" s="39"/>
      <c r="V200" s="39"/>
      <c r="W200" s="39"/>
      <c r="X200" s="33" t="s">
        <v>11</v>
      </c>
      <c r="Y200" s="36">
        <f t="shared" ref="Y200:BF200" si="72">Y199-Y198</f>
        <v>0</v>
      </c>
      <c r="Z200" s="36">
        <f t="shared" si="72"/>
        <v>0</v>
      </c>
      <c r="AA200" s="36">
        <f t="shared" si="72"/>
        <v>0</v>
      </c>
      <c r="AB200" s="36">
        <f t="shared" si="72"/>
        <v>0</v>
      </c>
      <c r="AC200" s="36">
        <f t="shared" si="72"/>
        <v>0</v>
      </c>
      <c r="AD200" s="36">
        <f t="shared" si="72"/>
        <v>0</v>
      </c>
      <c r="AE200" s="36">
        <f t="shared" si="72"/>
        <v>0</v>
      </c>
      <c r="AF200" s="36">
        <f t="shared" si="72"/>
        <v>0</v>
      </c>
      <c r="AG200" s="36">
        <f t="shared" si="72"/>
        <v>0</v>
      </c>
      <c r="AH200" s="36">
        <f t="shared" si="72"/>
        <v>0</v>
      </c>
      <c r="AI200" s="36">
        <f t="shared" si="72"/>
        <v>0</v>
      </c>
      <c r="AJ200" s="36">
        <f t="shared" si="72"/>
        <v>0</v>
      </c>
      <c r="AK200" s="36">
        <f t="shared" si="72"/>
        <v>0</v>
      </c>
      <c r="AL200" s="36">
        <f t="shared" si="72"/>
        <v>0</v>
      </c>
      <c r="AM200" s="36">
        <f t="shared" si="72"/>
        <v>0</v>
      </c>
      <c r="AN200" s="36">
        <f t="shared" si="72"/>
        <v>0</v>
      </c>
      <c r="AO200" s="36">
        <f t="shared" si="72"/>
        <v>0</v>
      </c>
      <c r="AP200" s="36">
        <f t="shared" si="72"/>
        <v>0</v>
      </c>
      <c r="AQ200" s="36">
        <f t="shared" si="72"/>
        <v>0</v>
      </c>
      <c r="AR200" s="36">
        <f t="shared" si="72"/>
        <v>0</v>
      </c>
      <c r="AS200" s="36">
        <f t="shared" si="72"/>
        <v>0</v>
      </c>
      <c r="AT200" s="36">
        <f t="shared" si="72"/>
        <v>0</v>
      </c>
      <c r="AU200" s="36">
        <f t="shared" si="72"/>
        <v>0</v>
      </c>
      <c r="AV200" s="36">
        <f t="shared" si="72"/>
        <v>0</v>
      </c>
      <c r="AW200" s="36">
        <f t="shared" si="72"/>
        <v>0</v>
      </c>
      <c r="AX200" s="36">
        <f t="shared" si="72"/>
        <v>0</v>
      </c>
      <c r="AY200" s="36">
        <f t="shared" si="72"/>
        <v>0</v>
      </c>
      <c r="AZ200" s="36">
        <f t="shared" si="72"/>
        <v>0</v>
      </c>
      <c r="BA200" s="36">
        <f t="shared" si="72"/>
        <v>0</v>
      </c>
      <c r="BB200" s="36">
        <f t="shared" si="72"/>
        <v>0</v>
      </c>
      <c r="BC200" s="36">
        <f t="shared" si="72"/>
        <v>0</v>
      </c>
      <c r="BD200" s="36">
        <f t="shared" si="72"/>
        <v>0</v>
      </c>
      <c r="BE200" s="36">
        <f t="shared" si="72"/>
        <v>0</v>
      </c>
      <c r="BF200" s="10">
        <f t="shared" si="72"/>
        <v>0</v>
      </c>
    </row>
    <row r="201" spans="2:58" ht="22" customHeight="1">
      <c r="B201" s="104">
        <v>53</v>
      </c>
      <c r="C201" s="118" t="s">
        <v>142</v>
      </c>
      <c r="D201" s="105" t="s">
        <v>143</v>
      </c>
      <c r="E201" s="115"/>
      <c r="F201" s="119"/>
      <c r="G201" s="114">
        <f>SUM(Y201:AZ201)</f>
        <v>11</v>
      </c>
      <c r="H201" s="114">
        <f>SUM(Y202:AZ202)</f>
        <v>0</v>
      </c>
      <c r="I201" s="100"/>
      <c r="J201" s="116">
        <f>IFERROR(H201/G201,0)</f>
        <v>0</v>
      </c>
      <c r="K201" s="113">
        <v>0</v>
      </c>
      <c r="L201" s="113">
        <v>0</v>
      </c>
      <c r="M201" s="100"/>
      <c r="N201" s="100"/>
      <c r="O201" s="100"/>
      <c r="P201" s="100"/>
      <c r="Q201" s="100"/>
      <c r="R201" s="100"/>
      <c r="S201" s="115" t="s">
        <v>47</v>
      </c>
      <c r="T201" s="9"/>
      <c r="U201" s="9"/>
      <c r="V201" s="9"/>
      <c r="W201" s="9"/>
      <c r="X201" s="7" t="s">
        <v>31</v>
      </c>
      <c r="Y201" s="29">
        <v>1</v>
      </c>
      <c r="Z201" s="29">
        <v>1</v>
      </c>
      <c r="AA201" s="29">
        <v>1</v>
      </c>
      <c r="AB201" s="29">
        <v>1</v>
      </c>
      <c r="AC201" s="29">
        <v>1</v>
      </c>
      <c r="AD201" s="29">
        <v>1</v>
      </c>
      <c r="AE201" s="29">
        <v>1</v>
      </c>
      <c r="AF201" s="29">
        <v>1</v>
      </c>
      <c r="AG201" s="29">
        <v>1</v>
      </c>
      <c r="AH201" s="29">
        <v>1</v>
      </c>
      <c r="AI201" s="29">
        <v>1</v>
      </c>
      <c r="AJ201" s="29">
        <v>0</v>
      </c>
      <c r="AK201" s="29">
        <v>0</v>
      </c>
      <c r="AL201" s="29">
        <v>0</v>
      </c>
      <c r="AM201" s="29">
        <v>0</v>
      </c>
      <c r="AN201" s="29">
        <v>0</v>
      </c>
      <c r="AO201" s="29">
        <v>0</v>
      </c>
      <c r="AP201" s="29">
        <v>0</v>
      </c>
      <c r="AQ201" s="29">
        <v>0</v>
      </c>
      <c r="AR201" s="29">
        <v>0</v>
      </c>
      <c r="AS201" s="29">
        <v>0</v>
      </c>
      <c r="AT201" s="29">
        <v>0</v>
      </c>
      <c r="AU201" s="29">
        <v>0</v>
      </c>
      <c r="AV201" s="29">
        <v>0</v>
      </c>
      <c r="AW201" s="29">
        <v>0</v>
      </c>
      <c r="AX201" s="29">
        <v>0</v>
      </c>
      <c r="AY201" s="29">
        <v>0</v>
      </c>
      <c r="AZ201" s="29">
        <v>0</v>
      </c>
      <c r="BA201" s="29">
        <v>0</v>
      </c>
      <c r="BB201" s="29">
        <v>0</v>
      </c>
      <c r="BC201" s="29">
        <v>0</v>
      </c>
      <c r="BD201" s="29">
        <v>0</v>
      </c>
      <c r="BE201" s="29">
        <v>0</v>
      </c>
      <c r="BF201" s="10">
        <f>SUM(Y201:BE201)</f>
        <v>11</v>
      </c>
    </row>
    <row r="202" spans="2:58" ht="22" customHeight="1">
      <c r="B202" s="101"/>
      <c r="C202" s="101"/>
      <c r="D202" s="101"/>
      <c r="E202" s="101"/>
      <c r="F202" s="101"/>
      <c r="G202" s="101"/>
      <c r="H202" s="101"/>
      <c r="I202" s="101"/>
      <c r="J202" s="101"/>
      <c r="K202" s="101"/>
      <c r="L202" s="101"/>
      <c r="M202" s="101"/>
      <c r="N202" s="101"/>
      <c r="O202" s="101"/>
      <c r="P202" s="101"/>
      <c r="Q202" s="101"/>
      <c r="R202" s="101"/>
      <c r="S202" s="101"/>
      <c r="T202" s="9"/>
      <c r="U202" s="9"/>
      <c r="V202" s="9"/>
      <c r="W202" s="9"/>
      <c r="X202" s="7" t="s">
        <v>10</v>
      </c>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0">
        <f>SUM(Y202:BE202)</f>
        <v>0</v>
      </c>
    </row>
    <row r="203" spans="2:58" ht="22" customHeight="1">
      <c r="B203" s="102"/>
      <c r="C203" s="102"/>
      <c r="D203" s="102"/>
      <c r="E203" s="102"/>
      <c r="F203" s="102"/>
      <c r="G203" s="102"/>
      <c r="H203" s="102"/>
      <c r="I203" s="102"/>
      <c r="J203" s="102"/>
      <c r="K203" s="102"/>
      <c r="L203" s="102"/>
      <c r="M203" s="102"/>
      <c r="N203" s="102"/>
      <c r="O203" s="102"/>
      <c r="P203" s="102"/>
      <c r="Q203" s="102"/>
      <c r="R203" s="102"/>
      <c r="S203" s="102"/>
      <c r="T203" s="9"/>
      <c r="U203" s="9"/>
      <c r="V203" s="9"/>
      <c r="W203" s="9"/>
      <c r="X203" s="7" t="s">
        <v>11</v>
      </c>
      <c r="Y203" s="3">
        <f t="shared" ref="Y203:BF203" si="73">Y202-Y201</f>
        <v>-1</v>
      </c>
      <c r="Z203" s="3">
        <f t="shared" si="73"/>
        <v>-1</v>
      </c>
      <c r="AA203" s="3">
        <f t="shared" si="73"/>
        <v>-1</v>
      </c>
      <c r="AB203" s="3">
        <f t="shared" si="73"/>
        <v>-1</v>
      </c>
      <c r="AC203" s="3">
        <f t="shared" si="73"/>
        <v>-1</v>
      </c>
      <c r="AD203" s="3">
        <f t="shared" si="73"/>
        <v>-1</v>
      </c>
      <c r="AE203" s="3">
        <f t="shared" si="73"/>
        <v>-1</v>
      </c>
      <c r="AF203" s="3">
        <f t="shared" si="73"/>
        <v>-1</v>
      </c>
      <c r="AG203" s="3">
        <f t="shared" si="73"/>
        <v>-1</v>
      </c>
      <c r="AH203" s="3">
        <f t="shared" si="73"/>
        <v>-1</v>
      </c>
      <c r="AI203" s="3">
        <f t="shared" si="73"/>
        <v>-1</v>
      </c>
      <c r="AJ203" s="3">
        <f t="shared" si="73"/>
        <v>0</v>
      </c>
      <c r="AK203" s="3">
        <f t="shared" si="73"/>
        <v>0</v>
      </c>
      <c r="AL203" s="3">
        <f t="shared" si="73"/>
        <v>0</v>
      </c>
      <c r="AM203" s="3">
        <f t="shared" si="73"/>
        <v>0</v>
      </c>
      <c r="AN203" s="3">
        <f t="shared" si="73"/>
        <v>0</v>
      </c>
      <c r="AO203" s="3">
        <f t="shared" si="73"/>
        <v>0</v>
      </c>
      <c r="AP203" s="3">
        <f t="shared" si="73"/>
        <v>0</v>
      </c>
      <c r="AQ203" s="3">
        <f t="shared" si="73"/>
        <v>0</v>
      </c>
      <c r="AR203" s="3">
        <f t="shared" si="73"/>
        <v>0</v>
      </c>
      <c r="AS203" s="3">
        <f t="shared" si="73"/>
        <v>0</v>
      </c>
      <c r="AT203" s="3">
        <f t="shared" si="73"/>
        <v>0</v>
      </c>
      <c r="AU203" s="3">
        <f t="shared" si="73"/>
        <v>0</v>
      </c>
      <c r="AV203" s="3">
        <f t="shared" si="73"/>
        <v>0</v>
      </c>
      <c r="AW203" s="3">
        <f t="shared" si="73"/>
        <v>0</v>
      </c>
      <c r="AX203" s="3">
        <f t="shared" si="73"/>
        <v>0</v>
      </c>
      <c r="AY203" s="3">
        <f t="shared" si="73"/>
        <v>0</v>
      </c>
      <c r="AZ203" s="3">
        <f t="shared" si="73"/>
        <v>0</v>
      </c>
      <c r="BA203" s="3">
        <f t="shared" si="73"/>
        <v>0</v>
      </c>
      <c r="BB203" s="3">
        <f t="shared" si="73"/>
        <v>0</v>
      </c>
      <c r="BC203" s="3">
        <f t="shared" si="73"/>
        <v>0</v>
      </c>
      <c r="BD203" s="3">
        <f t="shared" si="73"/>
        <v>0</v>
      </c>
      <c r="BE203" s="3">
        <f t="shared" si="73"/>
        <v>0</v>
      </c>
      <c r="BF203" s="10">
        <f t="shared" si="73"/>
        <v>-11</v>
      </c>
    </row>
    <row r="204" spans="2:58" ht="22" customHeight="1">
      <c r="B204" s="107">
        <v>54</v>
      </c>
      <c r="C204" s="117" t="s">
        <v>144</v>
      </c>
      <c r="D204" s="108" t="s">
        <v>145</v>
      </c>
      <c r="E204" s="103"/>
      <c r="F204" s="109"/>
      <c r="G204" s="106">
        <f>SUM(Y204:AZ204)</f>
        <v>50</v>
      </c>
      <c r="H204" s="106">
        <f>SUM(Y205:AZ205)</f>
        <v>0</v>
      </c>
      <c r="I204" s="111"/>
      <c r="J204" s="112">
        <f>IFERROR(H204/G204,0)</f>
        <v>0</v>
      </c>
      <c r="K204" s="110">
        <v>0.21875</v>
      </c>
      <c r="L204" s="110">
        <v>0.21875</v>
      </c>
      <c r="M204" s="111"/>
      <c r="N204" s="111"/>
      <c r="O204" s="111"/>
      <c r="P204" s="111"/>
      <c r="Q204" s="111"/>
      <c r="R204" s="111"/>
      <c r="S204" s="103" t="s">
        <v>47</v>
      </c>
      <c r="T204" s="39"/>
      <c r="U204" s="39"/>
      <c r="V204" s="39"/>
      <c r="W204" s="39"/>
      <c r="X204" s="33" t="s">
        <v>31</v>
      </c>
      <c r="Y204" s="40">
        <v>5</v>
      </c>
      <c r="Z204" s="40">
        <v>5</v>
      </c>
      <c r="AA204" s="40">
        <v>5</v>
      </c>
      <c r="AB204" s="40">
        <v>4</v>
      </c>
      <c r="AC204" s="40">
        <v>4</v>
      </c>
      <c r="AD204" s="40">
        <v>4</v>
      </c>
      <c r="AE204" s="40">
        <v>4</v>
      </c>
      <c r="AF204" s="40">
        <v>4</v>
      </c>
      <c r="AG204" s="40">
        <v>5</v>
      </c>
      <c r="AH204" s="40">
        <v>5</v>
      </c>
      <c r="AI204" s="40">
        <v>5</v>
      </c>
      <c r="AJ204" s="40">
        <v>0</v>
      </c>
      <c r="AK204" s="40">
        <v>0</v>
      </c>
      <c r="AL204" s="40">
        <v>0</v>
      </c>
      <c r="AM204" s="40">
        <v>0</v>
      </c>
      <c r="AN204" s="40">
        <v>0</v>
      </c>
      <c r="AO204" s="40">
        <v>0</v>
      </c>
      <c r="AP204" s="40">
        <v>0</v>
      </c>
      <c r="AQ204" s="40">
        <v>0</v>
      </c>
      <c r="AR204" s="40">
        <v>0</v>
      </c>
      <c r="AS204" s="40">
        <v>0</v>
      </c>
      <c r="AT204" s="40">
        <v>0</v>
      </c>
      <c r="AU204" s="40">
        <v>0</v>
      </c>
      <c r="AV204" s="40">
        <v>0</v>
      </c>
      <c r="AW204" s="40">
        <v>0</v>
      </c>
      <c r="AX204" s="40">
        <v>0</v>
      </c>
      <c r="AY204" s="40">
        <v>0</v>
      </c>
      <c r="AZ204" s="40">
        <v>0</v>
      </c>
      <c r="BA204" s="40">
        <v>0</v>
      </c>
      <c r="BB204" s="40">
        <v>0</v>
      </c>
      <c r="BC204" s="40">
        <v>0</v>
      </c>
      <c r="BD204" s="40">
        <v>0</v>
      </c>
      <c r="BE204" s="40">
        <v>0</v>
      </c>
      <c r="BF204" s="10">
        <f>SUM(Y204:BE204)</f>
        <v>50</v>
      </c>
    </row>
    <row r="205" spans="2:58" ht="22" customHeight="1">
      <c r="B205" s="101"/>
      <c r="C205" s="101"/>
      <c r="D205" s="101"/>
      <c r="E205" s="101"/>
      <c r="F205" s="101"/>
      <c r="G205" s="101"/>
      <c r="H205" s="101"/>
      <c r="I205" s="101"/>
      <c r="J205" s="101"/>
      <c r="K205" s="101"/>
      <c r="L205" s="101"/>
      <c r="M205" s="101"/>
      <c r="N205" s="101"/>
      <c r="O205" s="101"/>
      <c r="P205" s="101"/>
      <c r="Q205" s="101"/>
      <c r="R205" s="101"/>
      <c r="S205" s="101"/>
      <c r="T205" s="39"/>
      <c r="U205" s="39"/>
      <c r="V205" s="39"/>
      <c r="W205" s="39"/>
      <c r="X205" s="33" t="s">
        <v>10</v>
      </c>
      <c r="Y205" s="41"/>
      <c r="Z205" s="41"/>
      <c r="AA205" s="41"/>
      <c r="AB205" s="41"/>
      <c r="AC205" s="41"/>
      <c r="AD205" s="41"/>
      <c r="AE205" s="41"/>
      <c r="AF205" s="41"/>
      <c r="AG205" s="41"/>
      <c r="AH205" s="41"/>
      <c r="AI205" s="41"/>
      <c r="AJ205" s="41"/>
      <c r="AK205" s="41"/>
      <c r="AL205" s="41"/>
      <c r="AM205" s="41"/>
      <c r="AN205" s="41"/>
      <c r="AO205" s="41"/>
      <c r="AP205" s="41"/>
      <c r="AQ205" s="41"/>
      <c r="AR205" s="41"/>
      <c r="AS205" s="41"/>
      <c r="AT205" s="41"/>
      <c r="AU205" s="41"/>
      <c r="AV205" s="41"/>
      <c r="AW205" s="41"/>
      <c r="AX205" s="41"/>
      <c r="AY205" s="41"/>
      <c r="AZ205" s="41"/>
      <c r="BA205" s="41"/>
      <c r="BB205" s="41"/>
      <c r="BC205" s="41"/>
      <c r="BD205" s="41"/>
      <c r="BE205" s="41"/>
      <c r="BF205" s="10">
        <f>SUM(Y205:BE205)</f>
        <v>0</v>
      </c>
    </row>
    <row r="206" spans="2:58" ht="22" customHeight="1">
      <c r="B206" s="102"/>
      <c r="C206" s="102"/>
      <c r="D206" s="102"/>
      <c r="E206" s="102"/>
      <c r="F206" s="102"/>
      <c r="G206" s="102"/>
      <c r="H206" s="102"/>
      <c r="I206" s="102"/>
      <c r="J206" s="102"/>
      <c r="K206" s="102"/>
      <c r="L206" s="102"/>
      <c r="M206" s="102"/>
      <c r="N206" s="102"/>
      <c r="O206" s="102"/>
      <c r="P206" s="102"/>
      <c r="Q206" s="102"/>
      <c r="R206" s="102"/>
      <c r="S206" s="102"/>
      <c r="T206" s="39"/>
      <c r="U206" s="39"/>
      <c r="V206" s="39"/>
      <c r="W206" s="39"/>
      <c r="X206" s="33" t="s">
        <v>11</v>
      </c>
      <c r="Y206" s="36">
        <f t="shared" ref="Y206:BF206" si="74">Y205-Y204</f>
        <v>-5</v>
      </c>
      <c r="Z206" s="36">
        <f t="shared" si="74"/>
        <v>-5</v>
      </c>
      <c r="AA206" s="36">
        <f t="shared" si="74"/>
        <v>-5</v>
      </c>
      <c r="AB206" s="36">
        <f t="shared" si="74"/>
        <v>-4</v>
      </c>
      <c r="AC206" s="36">
        <f t="shared" si="74"/>
        <v>-4</v>
      </c>
      <c r="AD206" s="36">
        <f t="shared" si="74"/>
        <v>-4</v>
      </c>
      <c r="AE206" s="36">
        <f t="shared" si="74"/>
        <v>-4</v>
      </c>
      <c r="AF206" s="36">
        <f t="shared" si="74"/>
        <v>-4</v>
      </c>
      <c r="AG206" s="36">
        <f t="shared" si="74"/>
        <v>-5</v>
      </c>
      <c r="AH206" s="36">
        <f t="shared" si="74"/>
        <v>-5</v>
      </c>
      <c r="AI206" s="36">
        <f t="shared" si="74"/>
        <v>-5</v>
      </c>
      <c r="AJ206" s="36">
        <f t="shared" si="74"/>
        <v>0</v>
      </c>
      <c r="AK206" s="36">
        <f t="shared" si="74"/>
        <v>0</v>
      </c>
      <c r="AL206" s="36">
        <f t="shared" si="74"/>
        <v>0</v>
      </c>
      <c r="AM206" s="36">
        <f t="shared" si="74"/>
        <v>0</v>
      </c>
      <c r="AN206" s="36">
        <f t="shared" si="74"/>
        <v>0</v>
      </c>
      <c r="AO206" s="36">
        <f t="shared" si="74"/>
        <v>0</v>
      </c>
      <c r="AP206" s="36">
        <f t="shared" si="74"/>
        <v>0</v>
      </c>
      <c r="AQ206" s="36">
        <f t="shared" si="74"/>
        <v>0</v>
      </c>
      <c r="AR206" s="36">
        <f t="shared" si="74"/>
        <v>0</v>
      </c>
      <c r="AS206" s="36">
        <f t="shared" si="74"/>
        <v>0</v>
      </c>
      <c r="AT206" s="36">
        <f t="shared" si="74"/>
        <v>0</v>
      </c>
      <c r="AU206" s="36">
        <f t="shared" si="74"/>
        <v>0</v>
      </c>
      <c r="AV206" s="36">
        <f t="shared" si="74"/>
        <v>0</v>
      </c>
      <c r="AW206" s="36">
        <f t="shared" si="74"/>
        <v>0</v>
      </c>
      <c r="AX206" s="36">
        <f t="shared" si="74"/>
        <v>0</v>
      </c>
      <c r="AY206" s="36">
        <f t="shared" si="74"/>
        <v>0</v>
      </c>
      <c r="AZ206" s="36">
        <f t="shared" si="74"/>
        <v>0</v>
      </c>
      <c r="BA206" s="36">
        <f t="shared" si="74"/>
        <v>0</v>
      </c>
      <c r="BB206" s="36">
        <f t="shared" si="74"/>
        <v>0</v>
      </c>
      <c r="BC206" s="36">
        <f t="shared" si="74"/>
        <v>0</v>
      </c>
      <c r="BD206" s="36">
        <f t="shared" si="74"/>
        <v>0</v>
      </c>
      <c r="BE206" s="36">
        <f t="shared" si="74"/>
        <v>0</v>
      </c>
      <c r="BF206" s="10">
        <f t="shared" si="74"/>
        <v>-50</v>
      </c>
    </row>
    <row r="207" spans="2:58" ht="22" customHeight="1">
      <c r="B207" s="104">
        <v>55</v>
      </c>
      <c r="C207" s="118" t="s">
        <v>146</v>
      </c>
      <c r="D207" s="105" t="s">
        <v>147</v>
      </c>
      <c r="E207" s="115"/>
      <c r="F207" s="119"/>
      <c r="G207" s="114">
        <f>SUM(Y207:AZ207)</f>
        <v>11</v>
      </c>
      <c r="H207" s="114">
        <f>SUM(Y208:AZ208)</f>
        <v>0</v>
      </c>
      <c r="I207" s="100"/>
      <c r="J207" s="116">
        <f>IFERROR(H207/G207,0)</f>
        <v>0</v>
      </c>
      <c r="K207" s="113">
        <v>0.36842105263157893</v>
      </c>
      <c r="L207" s="113">
        <v>0.36842105263157893</v>
      </c>
      <c r="M207" s="100"/>
      <c r="N207" s="100"/>
      <c r="O207" s="100"/>
      <c r="P207" s="100"/>
      <c r="Q207" s="100"/>
      <c r="R207" s="100"/>
      <c r="S207" s="115" t="s">
        <v>47</v>
      </c>
      <c r="T207" s="9"/>
      <c r="U207" s="9"/>
      <c r="V207" s="9"/>
      <c r="W207" s="9"/>
      <c r="X207" s="7" t="s">
        <v>31</v>
      </c>
      <c r="Y207" s="29">
        <v>1</v>
      </c>
      <c r="Z207" s="29">
        <v>1</v>
      </c>
      <c r="AA207" s="29">
        <v>1</v>
      </c>
      <c r="AB207" s="29">
        <v>1</v>
      </c>
      <c r="AC207" s="29">
        <v>1</v>
      </c>
      <c r="AD207" s="29">
        <v>1</v>
      </c>
      <c r="AE207" s="29">
        <v>1</v>
      </c>
      <c r="AF207" s="29">
        <v>1</v>
      </c>
      <c r="AG207" s="29">
        <v>1</v>
      </c>
      <c r="AH207" s="29">
        <v>1</v>
      </c>
      <c r="AI207" s="29">
        <v>1</v>
      </c>
      <c r="AJ207" s="29">
        <v>0</v>
      </c>
      <c r="AK207" s="29">
        <v>0</v>
      </c>
      <c r="AL207" s="29">
        <v>0</v>
      </c>
      <c r="AM207" s="29">
        <v>0</v>
      </c>
      <c r="AN207" s="29">
        <v>0</v>
      </c>
      <c r="AO207" s="29">
        <v>0</v>
      </c>
      <c r="AP207" s="29">
        <v>0</v>
      </c>
      <c r="AQ207" s="29">
        <v>0</v>
      </c>
      <c r="AR207" s="29">
        <v>0</v>
      </c>
      <c r="AS207" s="29">
        <v>0</v>
      </c>
      <c r="AT207" s="29">
        <v>0</v>
      </c>
      <c r="AU207" s="29">
        <v>0</v>
      </c>
      <c r="AV207" s="29">
        <v>0</v>
      </c>
      <c r="AW207" s="29">
        <v>0</v>
      </c>
      <c r="AX207" s="29">
        <v>0</v>
      </c>
      <c r="AY207" s="29">
        <v>0</v>
      </c>
      <c r="AZ207" s="29">
        <v>0</v>
      </c>
      <c r="BA207" s="29">
        <v>0</v>
      </c>
      <c r="BB207" s="29">
        <v>0</v>
      </c>
      <c r="BC207" s="29">
        <v>0</v>
      </c>
      <c r="BD207" s="29">
        <v>0</v>
      </c>
      <c r="BE207" s="29">
        <v>0</v>
      </c>
      <c r="BF207" s="10">
        <f>SUM(Y207:BE207)</f>
        <v>11</v>
      </c>
    </row>
    <row r="208" spans="2:58" ht="22" customHeight="1">
      <c r="B208" s="101"/>
      <c r="C208" s="101"/>
      <c r="D208" s="101"/>
      <c r="E208" s="101"/>
      <c r="F208" s="101"/>
      <c r="G208" s="101"/>
      <c r="H208" s="101"/>
      <c r="I208" s="101"/>
      <c r="J208" s="101"/>
      <c r="K208" s="101"/>
      <c r="L208" s="101"/>
      <c r="M208" s="101"/>
      <c r="N208" s="101"/>
      <c r="O208" s="101"/>
      <c r="P208" s="101"/>
      <c r="Q208" s="101"/>
      <c r="R208" s="101"/>
      <c r="S208" s="101"/>
      <c r="T208" s="9"/>
      <c r="U208" s="9"/>
      <c r="V208" s="9"/>
      <c r="W208" s="9"/>
      <c r="X208" s="7" t="s">
        <v>10</v>
      </c>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0">
        <f>SUM(Y208:BE208)</f>
        <v>0</v>
      </c>
    </row>
    <row r="209" spans="2:58" ht="22" customHeight="1">
      <c r="B209" s="102"/>
      <c r="C209" s="102"/>
      <c r="D209" s="102"/>
      <c r="E209" s="102"/>
      <c r="F209" s="102"/>
      <c r="G209" s="102"/>
      <c r="H209" s="102"/>
      <c r="I209" s="102"/>
      <c r="J209" s="102"/>
      <c r="K209" s="102"/>
      <c r="L209" s="102"/>
      <c r="M209" s="102"/>
      <c r="N209" s="102"/>
      <c r="O209" s="102"/>
      <c r="P209" s="102"/>
      <c r="Q209" s="102"/>
      <c r="R209" s="102"/>
      <c r="S209" s="102"/>
      <c r="T209" s="9"/>
      <c r="U209" s="9"/>
      <c r="V209" s="9"/>
      <c r="W209" s="9"/>
      <c r="X209" s="7" t="s">
        <v>11</v>
      </c>
      <c r="Y209" s="3">
        <f t="shared" ref="Y209:BF209" si="75">Y208-Y207</f>
        <v>-1</v>
      </c>
      <c r="Z209" s="3">
        <f t="shared" si="75"/>
        <v>-1</v>
      </c>
      <c r="AA209" s="3">
        <f t="shared" si="75"/>
        <v>-1</v>
      </c>
      <c r="AB209" s="3">
        <f t="shared" si="75"/>
        <v>-1</v>
      </c>
      <c r="AC209" s="3">
        <f t="shared" si="75"/>
        <v>-1</v>
      </c>
      <c r="AD209" s="3">
        <f t="shared" si="75"/>
        <v>-1</v>
      </c>
      <c r="AE209" s="3">
        <f t="shared" si="75"/>
        <v>-1</v>
      </c>
      <c r="AF209" s="3">
        <f t="shared" si="75"/>
        <v>-1</v>
      </c>
      <c r="AG209" s="3">
        <f t="shared" si="75"/>
        <v>-1</v>
      </c>
      <c r="AH209" s="3">
        <f t="shared" si="75"/>
        <v>-1</v>
      </c>
      <c r="AI209" s="3">
        <f t="shared" si="75"/>
        <v>-1</v>
      </c>
      <c r="AJ209" s="3">
        <f t="shared" si="75"/>
        <v>0</v>
      </c>
      <c r="AK209" s="3">
        <f t="shared" si="75"/>
        <v>0</v>
      </c>
      <c r="AL209" s="3">
        <f t="shared" si="75"/>
        <v>0</v>
      </c>
      <c r="AM209" s="3">
        <f t="shared" si="75"/>
        <v>0</v>
      </c>
      <c r="AN209" s="3">
        <f t="shared" si="75"/>
        <v>0</v>
      </c>
      <c r="AO209" s="3">
        <f t="shared" si="75"/>
        <v>0</v>
      </c>
      <c r="AP209" s="3">
        <f t="shared" si="75"/>
        <v>0</v>
      </c>
      <c r="AQ209" s="3">
        <f t="shared" si="75"/>
        <v>0</v>
      </c>
      <c r="AR209" s="3">
        <f t="shared" si="75"/>
        <v>0</v>
      </c>
      <c r="AS209" s="3">
        <f t="shared" si="75"/>
        <v>0</v>
      </c>
      <c r="AT209" s="3">
        <f t="shared" si="75"/>
        <v>0</v>
      </c>
      <c r="AU209" s="3">
        <f t="shared" si="75"/>
        <v>0</v>
      </c>
      <c r="AV209" s="3">
        <f t="shared" si="75"/>
        <v>0</v>
      </c>
      <c r="AW209" s="3">
        <f t="shared" si="75"/>
        <v>0</v>
      </c>
      <c r="AX209" s="3">
        <f t="shared" si="75"/>
        <v>0</v>
      </c>
      <c r="AY209" s="3">
        <f t="shared" si="75"/>
        <v>0</v>
      </c>
      <c r="AZ209" s="3">
        <f t="shared" si="75"/>
        <v>0</v>
      </c>
      <c r="BA209" s="3">
        <f t="shared" si="75"/>
        <v>0</v>
      </c>
      <c r="BB209" s="3">
        <f t="shared" si="75"/>
        <v>0</v>
      </c>
      <c r="BC209" s="3">
        <f t="shared" si="75"/>
        <v>0</v>
      </c>
      <c r="BD209" s="3">
        <f t="shared" si="75"/>
        <v>0</v>
      </c>
      <c r="BE209" s="3">
        <f t="shared" si="75"/>
        <v>0</v>
      </c>
      <c r="BF209" s="10">
        <f t="shared" si="75"/>
        <v>-11</v>
      </c>
    </row>
    <row r="210" spans="2:58" ht="22" customHeight="1">
      <c r="B210" s="107">
        <v>56</v>
      </c>
      <c r="C210" s="117" t="s">
        <v>148</v>
      </c>
      <c r="D210" s="108" t="s">
        <v>149</v>
      </c>
      <c r="E210" s="103"/>
      <c r="F210" s="109"/>
      <c r="G210" s="106">
        <f>SUM(Y210:AZ210)</f>
        <v>123</v>
      </c>
      <c r="H210" s="106">
        <f>SUM(Y211:AZ211)</f>
        <v>0</v>
      </c>
      <c r="I210" s="111"/>
      <c r="J210" s="112">
        <f>IFERROR(H210/G210,0)</f>
        <v>0</v>
      </c>
      <c r="K210" s="110">
        <v>0.51111111111111107</v>
      </c>
      <c r="L210" s="110">
        <v>0.51111111111111107</v>
      </c>
      <c r="M210" s="111"/>
      <c r="N210" s="111"/>
      <c r="O210" s="111"/>
      <c r="P210" s="111"/>
      <c r="Q210" s="111"/>
      <c r="R210" s="111"/>
      <c r="S210" s="103" t="s">
        <v>37</v>
      </c>
      <c r="T210" s="39"/>
      <c r="U210" s="39"/>
      <c r="V210" s="39"/>
      <c r="W210" s="39"/>
      <c r="X210" s="33" t="s">
        <v>31</v>
      </c>
      <c r="Y210" s="40">
        <v>5</v>
      </c>
      <c r="Z210" s="40">
        <v>5</v>
      </c>
      <c r="AA210" s="40">
        <v>5</v>
      </c>
      <c r="AB210" s="40">
        <v>5</v>
      </c>
      <c r="AC210" s="40">
        <v>5</v>
      </c>
      <c r="AD210" s="40">
        <v>5</v>
      </c>
      <c r="AE210" s="40">
        <v>5</v>
      </c>
      <c r="AF210" s="40">
        <v>5</v>
      </c>
      <c r="AG210" s="40">
        <v>5</v>
      </c>
      <c r="AH210" s="40">
        <v>5</v>
      </c>
      <c r="AI210" s="40">
        <v>5</v>
      </c>
      <c r="AJ210" s="40">
        <v>4</v>
      </c>
      <c r="AK210" s="40">
        <v>4</v>
      </c>
      <c r="AL210" s="40">
        <v>4</v>
      </c>
      <c r="AM210" s="40">
        <v>4</v>
      </c>
      <c r="AN210" s="40">
        <v>4</v>
      </c>
      <c r="AO210" s="40">
        <v>4</v>
      </c>
      <c r="AP210" s="40">
        <v>4</v>
      </c>
      <c r="AQ210" s="40">
        <v>4</v>
      </c>
      <c r="AR210" s="40">
        <v>4</v>
      </c>
      <c r="AS210" s="40">
        <v>4</v>
      </c>
      <c r="AT210" s="40">
        <v>4</v>
      </c>
      <c r="AU210" s="40">
        <v>4</v>
      </c>
      <c r="AV210" s="40">
        <v>4</v>
      </c>
      <c r="AW210" s="40">
        <v>4</v>
      </c>
      <c r="AX210" s="40">
        <v>4</v>
      </c>
      <c r="AY210" s="40">
        <v>4</v>
      </c>
      <c r="AZ210" s="40">
        <v>4</v>
      </c>
      <c r="BA210" s="40">
        <v>4</v>
      </c>
      <c r="BB210" s="40">
        <v>4</v>
      </c>
      <c r="BC210" s="40">
        <v>4</v>
      </c>
      <c r="BD210" s="40">
        <v>4</v>
      </c>
      <c r="BE210" s="40">
        <v>4</v>
      </c>
      <c r="BF210" s="10">
        <f>SUM(Y210:BE210)</f>
        <v>143</v>
      </c>
    </row>
    <row r="211" spans="2:58" ht="22" customHeight="1">
      <c r="B211" s="101"/>
      <c r="C211" s="101"/>
      <c r="D211" s="101"/>
      <c r="E211" s="101"/>
      <c r="F211" s="101"/>
      <c r="G211" s="101"/>
      <c r="H211" s="101"/>
      <c r="I211" s="101"/>
      <c r="J211" s="101"/>
      <c r="K211" s="101"/>
      <c r="L211" s="101"/>
      <c r="M211" s="101"/>
      <c r="N211" s="101"/>
      <c r="O211" s="101"/>
      <c r="P211" s="101"/>
      <c r="Q211" s="101"/>
      <c r="R211" s="101"/>
      <c r="S211" s="101"/>
      <c r="T211" s="39"/>
      <c r="U211" s="39"/>
      <c r="V211" s="39"/>
      <c r="W211" s="39"/>
      <c r="X211" s="33" t="s">
        <v>10</v>
      </c>
      <c r="Y211" s="41"/>
      <c r="Z211" s="41"/>
      <c r="AA211" s="41"/>
      <c r="AB211" s="41"/>
      <c r="AC211" s="41"/>
      <c r="AD211" s="41"/>
      <c r="AE211" s="41"/>
      <c r="AF211" s="41"/>
      <c r="AG211" s="41"/>
      <c r="AH211" s="41"/>
      <c r="AI211" s="41"/>
      <c r="AJ211" s="41"/>
      <c r="AK211" s="41"/>
      <c r="AL211" s="41"/>
      <c r="AM211" s="41"/>
      <c r="AN211" s="41"/>
      <c r="AO211" s="41"/>
      <c r="AP211" s="41"/>
      <c r="AQ211" s="41"/>
      <c r="AR211" s="41"/>
      <c r="AS211" s="41"/>
      <c r="AT211" s="41"/>
      <c r="AU211" s="41"/>
      <c r="AV211" s="41"/>
      <c r="AW211" s="41"/>
      <c r="AX211" s="41"/>
      <c r="AY211" s="41"/>
      <c r="AZ211" s="41"/>
      <c r="BA211" s="41"/>
      <c r="BB211" s="41"/>
      <c r="BC211" s="41"/>
      <c r="BD211" s="41"/>
      <c r="BE211" s="41"/>
      <c r="BF211" s="10">
        <f>SUM(Y211:BE211)</f>
        <v>0</v>
      </c>
    </row>
    <row r="212" spans="2:58" ht="22" customHeight="1">
      <c r="B212" s="101"/>
      <c r="C212" s="101"/>
      <c r="D212" s="101"/>
      <c r="E212" s="101"/>
      <c r="F212" s="101"/>
      <c r="G212" s="101"/>
      <c r="H212" s="101"/>
      <c r="I212" s="101"/>
      <c r="J212" s="101"/>
      <c r="K212" s="101"/>
      <c r="L212" s="101"/>
      <c r="M212" s="101"/>
      <c r="N212" s="101"/>
      <c r="O212" s="101"/>
      <c r="P212" s="101"/>
      <c r="Q212" s="101"/>
      <c r="R212" s="101"/>
      <c r="S212" s="101"/>
      <c r="T212" s="39"/>
      <c r="U212" s="39"/>
      <c r="V212" s="39"/>
      <c r="W212" s="39"/>
      <c r="X212" s="42" t="s">
        <v>38</v>
      </c>
      <c r="Y212" s="43">
        <v>14000</v>
      </c>
      <c r="Z212" s="43">
        <v>14000</v>
      </c>
      <c r="AA212" s="43">
        <v>14000</v>
      </c>
      <c r="AB212" s="43">
        <v>14000</v>
      </c>
      <c r="AC212" s="43">
        <v>14000</v>
      </c>
      <c r="AD212" s="43">
        <v>14000</v>
      </c>
      <c r="AE212" s="43">
        <v>14000</v>
      </c>
      <c r="AF212" s="43">
        <v>14000</v>
      </c>
      <c r="AG212" s="43">
        <v>14000</v>
      </c>
      <c r="AH212" s="43">
        <v>14000</v>
      </c>
      <c r="AI212" s="43">
        <v>14000</v>
      </c>
      <c r="AJ212" s="43">
        <v>13000</v>
      </c>
      <c r="AK212" s="43">
        <v>13000</v>
      </c>
      <c r="AL212" s="43">
        <v>13000</v>
      </c>
      <c r="AM212" s="43">
        <v>13000</v>
      </c>
      <c r="AN212" s="43">
        <v>13000</v>
      </c>
      <c r="AO212" s="43">
        <v>13000</v>
      </c>
      <c r="AP212" s="43">
        <v>13000</v>
      </c>
      <c r="AQ212" s="43">
        <v>13000</v>
      </c>
      <c r="AR212" s="43">
        <v>13000</v>
      </c>
      <c r="AS212" s="43">
        <v>13000</v>
      </c>
      <c r="AT212" s="43">
        <v>13000</v>
      </c>
      <c r="AU212" s="43">
        <v>13000</v>
      </c>
      <c r="AV212" s="43">
        <v>13000</v>
      </c>
      <c r="AW212" s="43">
        <v>13000</v>
      </c>
      <c r="AX212" s="43">
        <v>13000</v>
      </c>
      <c r="AY212" s="43">
        <v>13000</v>
      </c>
      <c r="AZ212" s="43">
        <v>13000</v>
      </c>
      <c r="BA212" s="43">
        <v>13000</v>
      </c>
      <c r="BB212" s="43">
        <v>13000</v>
      </c>
      <c r="BC212" s="43">
        <v>13000</v>
      </c>
      <c r="BD212" s="43">
        <v>13000</v>
      </c>
      <c r="BE212" s="43">
        <v>13000</v>
      </c>
      <c r="BF212" s="12">
        <f>SUM(Y212:BE212)</f>
        <v>440000</v>
      </c>
    </row>
    <row r="213" spans="2:58" ht="22" customHeight="1">
      <c r="B213" s="102"/>
      <c r="C213" s="102"/>
      <c r="D213" s="102"/>
      <c r="E213" s="102"/>
      <c r="F213" s="102"/>
      <c r="G213" s="102"/>
      <c r="H213" s="102"/>
      <c r="I213" s="102"/>
      <c r="J213" s="102"/>
      <c r="K213" s="102"/>
      <c r="L213" s="102"/>
      <c r="M213" s="102"/>
      <c r="N213" s="102"/>
      <c r="O213" s="102"/>
      <c r="P213" s="102"/>
      <c r="Q213" s="102"/>
      <c r="R213" s="102"/>
      <c r="S213" s="102"/>
      <c r="T213" s="39"/>
      <c r="U213" s="39"/>
      <c r="V213" s="39"/>
      <c r="W213" s="39"/>
      <c r="X213" s="33" t="s">
        <v>11</v>
      </c>
      <c r="Y213" s="36">
        <f t="shared" ref="Y213:BF213" si="76">Y211-Y210</f>
        <v>-5</v>
      </c>
      <c r="Z213" s="36">
        <f t="shared" si="76"/>
        <v>-5</v>
      </c>
      <c r="AA213" s="36">
        <f t="shared" si="76"/>
        <v>-5</v>
      </c>
      <c r="AB213" s="36">
        <f t="shared" si="76"/>
        <v>-5</v>
      </c>
      <c r="AC213" s="36">
        <f t="shared" si="76"/>
        <v>-5</v>
      </c>
      <c r="AD213" s="36">
        <f t="shared" si="76"/>
        <v>-5</v>
      </c>
      <c r="AE213" s="36">
        <f t="shared" si="76"/>
        <v>-5</v>
      </c>
      <c r="AF213" s="36">
        <f t="shared" si="76"/>
        <v>-5</v>
      </c>
      <c r="AG213" s="36">
        <f t="shared" si="76"/>
        <v>-5</v>
      </c>
      <c r="AH213" s="36">
        <f t="shared" si="76"/>
        <v>-5</v>
      </c>
      <c r="AI213" s="36">
        <f t="shared" si="76"/>
        <v>-5</v>
      </c>
      <c r="AJ213" s="36">
        <f t="shared" si="76"/>
        <v>-4</v>
      </c>
      <c r="AK213" s="36">
        <f t="shared" si="76"/>
        <v>-4</v>
      </c>
      <c r="AL213" s="36">
        <f t="shared" si="76"/>
        <v>-4</v>
      </c>
      <c r="AM213" s="36">
        <f t="shared" si="76"/>
        <v>-4</v>
      </c>
      <c r="AN213" s="36">
        <f t="shared" si="76"/>
        <v>-4</v>
      </c>
      <c r="AO213" s="36">
        <f t="shared" si="76"/>
        <v>-4</v>
      </c>
      <c r="AP213" s="36">
        <f t="shared" si="76"/>
        <v>-4</v>
      </c>
      <c r="AQ213" s="36">
        <f t="shared" si="76"/>
        <v>-4</v>
      </c>
      <c r="AR213" s="36">
        <f t="shared" si="76"/>
        <v>-4</v>
      </c>
      <c r="AS213" s="36">
        <f t="shared" si="76"/>
        <v>-4</v>
      </c>
      <c r="AT213" s="36">
        <f t="shared" si="76"/>
        <v>-4</v>
      </c>
      <c r="AU213" s="36">
        <f t="shared" si="76"/>
        <v>-4</v>
      </c>
      <c r="AV213" s="36">
        <f t="shared" si="76"/>
        <v>-4</v>
      </c>
      <c r="AW213" s="36">
        <f t="shared" si="76"/>
        <v>-4</v>
      </c>
      <c r="AX213" s="36">
        <f t="shared" si="76"/>
        <v>-4</v>
      </c>
      <c r="AY213" s="36">
        <f t="shared" si="76"/>
        <v>-4</v>
      </c>
      <c r="AZ213" s="36">
        <f t="shared" si="76"/>
        <v>-4</v>
      </c>
      <c r="BA213" s="36">
        <f t="shared" si="76"/>
        <v>-4</v>
      </c>
      <c r="BB213" s="36">
        <f t="shared" si="76"/>
        <v>-4</v>
      </c>
      <c r="BC213" s="36">
        <f t="shared" si="76"/>
        <v>-4</v>
      </c>
      <c r="BD213" s="36">
        <f t="shared" si="76"/>
        <v>-4</v>
      </c>
      <c r="BE213" s="36">
        <f t="shared" si="76"/>
        <v>-4</v>
      </c>
      <c r="BF213" s="10">
        <f t="shared" si="76"/>
        <v>-143</v>
      </c>
    </row>
    <row r="214" spans="2:58" ht="22" customHeight="1">
      <c r="B214" s="104">
        <v>57</v>
      </c>
      <c r="C214" s="118" t="s">
        <v>150</v>
      </c>
      <c r="D214" s="105" t="s">
        <v>151</v>
      </c>
      <c r="E214" s="115"/>
      <c r="F214" s="119"/>
      <c r="G214" s="114">
        <f>SUM(Y214:AZ214)</f>
        <v>84</v>
      </c>
      <c r="H214" s="114">
        <f>SUM(Y215:AZ215)</f>
        <v>0</v>
      </c>
      <c r="I214" s="100"/>
      <c r="J214" s="116">
        <f>IFERROR(H214/G214,0)</f>
        <v>0</v>
      </c>
      <c r="K214" s="113">
        <v>0.52127659574468088</v>
      </c>
      <c r="L214" s="113">
        <v>0.52127659574468088</v>
      </c>
      <c r="M214" s="100"/>
      <c r="N214" s="100"/>
      <c r="O214" s="100"/>
      <c r="P214" s="100"/>
      <c r="Q214" s="100"/>
      <c r="R214" s="100"/>
      <c r="S214" s="115" t="s">
        <v>37</v>
      </c>
      <c r="T214" s="9"/>
      <c r="U214" s="9"/>
      <c r="V214" s="9"/>
      <c r="W214" s="9"/>
      <c r="X214" s="7" t="s">
        <v>31</v>
      </c>
      <c r="Y214" s="29">
        <v>3</v>
      </c>
      <c r="Z214" s="29">
        <v>3</v>
      </c>
      <c r="AA214" s="29">
        <v>3</v>
      </c>
      <c r="AB214" s="29">
        <v>3</v>
      </c>
      <c r="AC214" s="29">
        <v>3</v>
      </c>
      <c r="AD214" s="29">
        <v>3</v>
      </c>
      <c r="AE214" s="29">
        <v>3</v>
      </c>
      <c r="AF214" s="29">
        <v>3</v>
      </c>
      <c r="AG214" s="29">
        <v>3</v>
      </c>
      <c r="AH214" s="29">
        <v>3</v>
      </c>
      <c r="AI214" s="29">
        <v>3</v>
      </c>
      <c r="AJ214" s="29">
        <v>3</v>
      </c>
      <c r="AK214" s="29">
        <v>3</v>
      </c>
      <c r="AL214" s="29">
        <v>3</v>
      </c>
      <c r="AM214" s="29">
        <v>3</v>
      </c>
      <c r="AN214" s="29">
        <v>3</v>
      </c>
      <c r="AO214" s="29">
        <v>3</v>
      </c>
      <c r="AP214" s="29">
        <v>3</v>
      </c>
      <c r="AQ214" s="29">
        <v>3</v>
      </c>
      <c r="AR214" s="29">
        <v>3</v>
      </c>
      <c r="AS214" s="29">
        <v>3</v>
      </c>
      <c r="AT214" s="29">
        <v>3</v>
      </c>
      <c r="AU214" s="29">
        <v>3</v>
      </c>
      <c r="AV214" s="29">
        <v>3</v>
      </c>
      <c r="AW214" s="29">
        <v>3</v>
      </c>
      <c r="AX214" s="29">
        <v>3</v>
      </c>
      <c r="AY214" s="29">
        <v>3</v>
      </c>
      <c r="AZ214" s="29">
        <v>3</v>
      </c>
      <c r="BA214" s="29">
        <v>3</v>
      </c>
      <c r="BB214" s="29">
        <v>3</v>
      </c>
      <c r="BC214" s="29">
        <v>3</v>
      </c>
      <c r="BD214" s="29">
        <v>2</v>
      </c>
      <c r="BE214" s="29">
        <v>2</v>
      </c>
      <c r="BF214" s="10">
        <f>SUM(Y214:BE214)</f>
        <v>97</v>
      </c>
    </row>
    <row r="215" spans="2:58" ht="22" customHeight="1">
      <c r="B215" s="101"/>
      <c r="C215" s="101"/>
      <c r="D215" s="101"/>
      <c r="E215" s="101"/>
      <c r="F215" s="101"/>
      <c r="G215" s="101"/>
      <c r="H215" s="101"/>
      <c r="I215" s="101"/>
      <c r="J215" s="101"/>
      <c r="K215" s="101"/>
      <c r="L215" s="101"/>
      <c r="M215" s="101"/>
      <c r="N215" s="101"/>
      <c r="O215" s="101"/>
      <c r="P215" s="101"/>
      <c r="Q215" s="101"/>
      <c r="R215" s="101"/>
      <c r="S215" s="101"/>
      <c r="T215" s="9"/>
      <c r="U215" s="9"/>
      <c r="V215" s="9"/>
      <c r="W215" s="9"/>
      <c r="X215" s="7" t="s">
        <v>10</v>
      </c>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0">
        <f>SUM(Y215:BE215)</f>
        <v>0</v>
      </c>
    </row>
    <row r="216" spans="2:58" ht="22" customHeight="1">
      <c r="B216" s="101"/>
      <c r="C216" s="101"/>
      <c r="D216" s="101"/>
      <c r="E216" s="101"/>
      <c r="F216" s="101"/>
      <c r="G216" s="101"/>
      <c r="H216" s="101"/>
      <c r="I216" s="101"/>
      <c r="J216" s="101"/>
      <c r="K216" s="101"/>
      <c r="L216" s="101"/>
      <c r="M216" s="101"/>
      <c r="N216" s="101"/>
      <c r="O216" s="101"/>
      <c r="P216" s="101"/>
      <c r="Q216" s="101"/>
      <c r="R216" s="101"/>
      <c r="S216" s="101"/>
      <c r="T216" s="9"/>
      <c r="U216" s="9"/>
      <c r="V216" s="9"/>
      <c r="W216" s="9"/>
      <c r="X216" s="30" t="s">
        <v>38</v>
      </c>
      <c r="Y216" s="31">
        <v>14000</v>
      </c>
      <c r="Z216" s="31">
        <v>14000</v>
      </c>
      <c r="AA216" s="31">
        <v>14000</v>
      </c>
      <c r="AB216" s="31">
        <v>14000</v>
      </c>
      <c r="AC216" s="31">
        <v>14000</v>
      </c>
      <c r="AD216" s="31">
        <v>14000</v>
      </c>
      <c r="AE216" s="31">
        <v>14000</v>
      </c>
      <c r="AF216" s="31">
        <v>14000</v>
      </c>
      <c r="AG216" s="31">
        <v>14000</v>
      </c>
      <c r="AH216" s="31">
        <v>14000</v>
      </c>
      <c r="AI216" s="31">
        <v>14000</v>
      </c>
      <c r="AJ216" s="31">
        <v>13000</v>
      </c>
      <c r="AK216" s="31">
        <v>13000</v>
      </c>
      <c r="AL216" s="31">
        <v>13000</v>
      </c>
      <c r="AM216" s="31">
        <v>13000</v>
      </c>
      <c r="AN216" s="31">
        <v>13000</v>
      </c>
      <c r="AO216" s="31">
        <v>13000</v>
      </c>
      <c r="AP216" s="31">
        <v>13000</v>
      </c>
      <c r="AQ216" s="31">
        <v>13000</v>
      </c>
      <c r="AR216" s="31">
        <v>13000</v>
      </c>
      <c r="AS216" s="31">
        <v>13000</v>
      </c>
      <c r="AT216" s="31">
        <v>13000</v>
      </c>
      <c r="AU216" s="31">
        <v>13000</v>
      </c>
      <c r="AV216" s="31">
        <v>13000</v>
      </c>
      <c r="AW216" s="31">
        <v>13000</v>
      </c>
      <c r="AX216" s="31">
        <v>13000</v>
      </c>
      <c r="AY216" s="31">
        <v>13000</v>
      </c>
      <c r="AZ216" s="31">
        <v>13000</v>
      </c>
      <c r="BA216" s="31">
        <v>13000</v>
      </c>
      <c r="BB216" s="31">
        <v>13000</v>
      </c>
      <c r="BC216" s="31">
        <v>13000</v>
      </c>
      <c r="BD216" s="31">
        <v>13000</v>
      </c>
      <c r="BE216" s="31">
        <v>13000</v>
      </c>
      <c r="BF216" s="12">
        <f>SUM(Y216:BE216)</f>
        <v>440000</v>
      </c>
    </row>
    <row r="217" spans="2:58" ht="22" customHeight="1">
      <c r="B217" s="102"/>
      <c r="C217" s="102"/>
      <c r="D217" s="102"/>
      <c r="E217" s="102"/>
      <c r="F217" s="102"/>
      <c r="G217" s="102"/>
      <c r="H217" s="102"/>
      <c r="I217" s="102"/>
      <c r="J217" s="102"/>
      <c r="K217" s="102"/>
      <c r="L217" s="102"/>
      <c r="M217" s="102"/>
      <c r="N217" s="102"/>
      <c r="O217" s="102"/>
      <c r="P217" s="102"/>
      <c r="Q217" s="102"/>
      <c r="R217" s="102"/>
      <c r="S217" s="102"/>
      <c r="T217" s="9"/>
      <c r="U217" s="9"/>
      <c r="V217" s="9"/>
      <c r="W217" s="9"/>
      <c r="X217" s="7" t="s">
        <v>11</v>
      </c>
      <c r="Y217" s="3">
        <f t="shared" ref="Y217:BF217" si="77">Y215-Y214</f>
        <v>-3</v>
      </c>
      <c r="Z217" s="3">
        <f t="shared" si="77"/>
        <v>-3</v>
      </c>
      <c r="AA217" s="3">
        <f t="shared" si="77"/>
        <v>-3</v>
      </c>
      <c r="AB217" s="3">
        <f t="shared" si="77"/>
        <v>-3</v>
      </c>
      <c r="AC217" s="3">
        <f t="shared" si="77"/>
        <v>-3</v>
      </c>
      <c r="AD217" s="3">
        <f t="shared" si="77"/>
        <v>-3</v>
      </c>
      <c r="AE217" s="3">
        <f t="shared" si="77"/>
        <v>-3</v>
      </c>
      <c r="AF217" s="3">
        <f t="shared" si="77"/>
        <v>-3</v>
      </c>
      <c r="AG217" s="3">
        <f t="shared" si="77"/>
        <v>-3</v>
      </c>
      <c r="AH217" s="3">
        <f t="shared" si="77"/>
        <v>-3</v>
      </c>
      <c r="AI217" s="3">
        <f t="shared" si="77"/>
        <v>-3</v>
      </c>
      <c r="AJ217" s="3">
        <f t="shared" si="77"/>
        <v>-3</v>
      </c>
      <c r="AK217" s="3">
        <f t="shared" si="77"/>
        <v>-3</v>
      </c>
      <c r="AL217" s="3">
        <f t="shared" si="77"/>
        <v>-3</v>
      </c>
      <c r="AM217" s="3">
        <f t="shared" si="77"/>
        <v>-3</v>
      </c>
      <c r="AN217" s="3">
        <f t="shared" si="77"/>
        <v>-3</v>
      </c>
      <c r="AO217" s="3">
        <f t="shared" si="77"/>
        <v>-3</v>
      </c>
      <c r="AP217" s="3">
        <f t="shared" si="77"/>
        <v>-3</v>
      </c>
      <c r="AQ217" s="3">
        <f t="shared" si="77"/>
        <v>-3</v>
      </c>
      <c r="AR217" s="3">
        <f t="shared" si="77"/>
        <v>-3</v>
      </c>
      <c r="AS217" s="3">
        <f t="shared" si="77"/>
        <v>-3</v>
      </c>
      <c r="AT217" s="3">
        <f t="shared" si="77"/>
        <v>-3</v>
      </c>
      <c r="AU217" s="3">
        <f t="shared" si="77"/>
        <v>-3</v>
      </c>
      <c r="AV217" s="3">
        <f t="shared" si="77"/>
        <v>-3</v>
      </c>
      <c r="AW217" s="3">
        <f t="shared" si="77"/>
        <v>-3</v>
      </c>
      <c r="AX217" s="3">
        <f t="shared" si="77"/>
        <v>-3</v>
      </c>
      <c r="AY217" s="3">
        <f t="shared" si="77"/>
        <v>-3</v>
      </c>
      <c r="AZ217" s="3">
        <f t="shared" si="77"/>
        <v>-3</v>
      </c>
      <c r="BA217" s="3">
        <f t="shared" si="77"/>
        <v>-3</v>
      </c>
      <c r="BB217" s="3">
        <f t="shared" si="77"/>
        <v>-3</v>
      </c>
      <c r="BC217" s="3">
        <f t="shared" si="77"/>
        <v>-3</v>
      </c>
      <c r="BD217" s="3">
        <f t="shared" si="77"/>
        <v>-2</v>
      </c>
      <c r="BE217" s="3">
        <f t="shared" si="77"/>
        <v>-2</v>
      </c>
      <c r="BF217" s="10">
        <f t="shared" si="77"/>
        <v>-97</v>
      </c>
    </row>
    <row r="218" spans="2:58" ht="22" customHeight="1">
      <c r="B218" s="107">
        <v>58</v>
      </c>
      <c r="C218" s="117" t="s">
        <v>152</v>
      </c>
      <c r="D218" s="108" t="s">
        <v>153</v>
      </c>
      <c r="E218" s="103"/>
      <c r="F218" s="109"/>
      <c r="G218" s="106">
        <f>SUM(Y218:AZ218)</f>
        <v>47</v>
      </c>
      <c r="H218" s="106">
        <f>SUM(Y219:AZ219)</f>
        <v>0</v>
      </c>
      <c r="I218" s="111"/>
      <c r="J218" s="112">
        <f>IFERROR(H218/G218,0)</f>
        <v>0</v>
      </c>
      <c r="K218" s="110">
        <v>0.79487179487179482</v>
      </c>
      <c r="L218" s="110">
        <v>0.79487179487179482</v>
      </c>
      <c r="M218" s="111"/>
      <c r="N218" s="111"/>
      <c r="O218" s="111"/>
      <c r="P218" s="111"/>
      <c r="Q218" s="111"/>
      <c r="R218" s="111"/>
      <c r="S218" s="103" t="s">
        <v>47</v>
      </c>
      <c r="T218" s="39"/>
      <c r="U218" s="39"/>
      <c r="V218" s="39"/>
      <c r="W218" s="39"/>
      <c r="X218" s="33" t="s">
        <v>31</v>
      </c>
      <c r="Y218" s="40">
        <v>2</v>
      </c>
      <c r="Z218" s="40">
        <v>2</v>
      </c>
      <c r="AA218" s="40">
        <v>2</v>
      </c>
      <c r="AB218" s="40">
        <v>2</v>
      </c>
      <c r="AC218" s="40">
        <v>2</v>
      </c>
      <c r="AD218" s="40">
        <v>2</v>
      </c>
      <c r="AE218" s="40">
        <v>2</v>
      </c>
      <c r="AF218" s="40">
        <v>2</v>
      </c>
      <c r="AG218" s="40">
        <v>2</v>
      </c>
      <c r="AH218" s="40">
        <v>2</v>
      </c>
      <c r="AI218" s="40">
        <v>2</v>
      </c>
      <c r="AJ218" s="40">
        <v>2</v>
      </c>
      <c r="AK218" s="40">
        <v>2</v>
      </c>
      <c r="AL218" s="40">
        <v>2</v>
      </c>
      <c r="AM218" s="40">
        <v>2</v>
      </c>
      <c r="AN218" s="40">
        <v>2</v>
      </c>
      <c r="AO218" s="40">
        <v>2</v>
      </c>
      <c r="AP218" s="40">
        <v>2</v>
      </c>
      <c r="AQ218" s="40">
        <v>2</v>
      </c>
      <c r="AR218" s="40">
        <v>1</v>
      </c>
      <c r="AS218" s="40">
        <v>1</v>
      </c>
      <c r="AT218" s="40">
        <v>1</v>
      </c>
      <c r="AU218" s="40">
        <v>1</v>
      </c>
      <c r="AV218" s="40">
        <v>1</v>
      </c>
      <c r="AW218" s="40">
        <v>1</v>
      </c>
      <c r="AX218" s="40">
        <v>1</v>
      </c>
      <c r="AY218" s="40">
        <v>1</v>
      </c>
      <c r="AZ218" s="40">
        <v>1</v>
      </c>
      <c r="BA218" s="40">
        <v>1</v>
      </c>
      <c r="BB218" s="40">
        <v>1</v>
      </c>
      <c r="BC218" s="40">
        <v>1</v>
      </c>
      <c r="BD218" s="40">
        <v>1</v>
      </c>
      <c r="BE218" s="40">
        <v>1</v>
      </c>
      <c r="BF218" s="10">
        <f>SUM(Y218:BE218)</f>
        <v>52</v>
      </c>
    </row>
    <row r="219" spans="2:58" ht="22" customHeight="1">
      <c r="B219" s="101"/>
      <c r="C219" s="101"/>
      <c r="D219" s="101"/>
      <c r="E219" s="101"/>
      <c r="F219" s="101"/>
      <c r="G219" s="101"/>
      <c r="H219" s="101"/>
      <c r="I219" s="101"/>
      <c r="J219" s="101"/>
      <c r="K219" s="101"/>
      <c r="L219" s="101"/>
      <c r="M219" s="101"/>
      <c r="N219" s="101"/>
      <c r="O219" s="101"/>
      <c r="P219" s="101"/>
      <c r="Q219" s="101"/>
      <c r="R219" s="101"/>
      <c r="S219" s="101"/>
      <c r="T219" s="39"/>
      <c r="U219" s="39"/>
      <c r="V219" s="39"/>
      <c r="W219" s="39"/>
      <c r="X219" s="33" t="s">
        <v>10</v>
      </c>
      <c r="Y219" s="41"/>
      <c r="Z219" s="41"/>
      <c r="AA219" s="41"/>
      <c r="AB219" s="41"/>
      <c r="AC219" s="41"/>
      <c r="AD219" s="41"/>
      <c r="AE219" s="41"/>
      <c r="AF219" s="41"/>
      <c r="AG219" s="41"/>
      <c r="AH219" s="41"/>
      <c r="AI219" s="41"/>
      <c r="AJ219" s="41"/>
      <c r="AK219" s="41"/>
      <c r="AL219" s="41"/>
      <c r="AM219" s="41"/>
      <c r="AN219" s="41"/>
      <c r="AO219" s="41"/>
      <c r="AP219" s="41"/>
      <c r="AQ219" s="41"/>
      <c r="AR219" s="41"/>
      <c r="AS219" s="41"/>
      <c r="AT219" s="41"/>
      <c r="AU219" s="41"/>
      <c r="AV219" s="41"/>
      <c r="AW219" s="41"/>
      <c r="AX219" s="41"/>
      <c r="AY219" s="41"/>
      <c r="AZ219" s="41"/>
      <c r="BA219" s="41"/>
      <c r="BB219" s="41"/>
      <c r="BC219" s="41"/>
      <c r="BD219" s="41"/>
      <c r="BE219" s="41"/>
      <c r="BF219" s="10">
        <f>SUM(Y219:BE219)</f>
        <v>0</v>
      </c>
    </row>
    <row r="220" spans="2:58" ht="22" customHeight="1">
      <c r="B220" s="102"/>
      <c r="C220" s="102"/>
      <c r="D220" s="102"/>
      <c r="E220" s="102"/>
      <c r="F220" s="102"/>
      <c r="G220" s="102"/>
      <c r="H220" s="102"/>
      <c r="I220" s="102"/>
      <c r="J220" s="102"/>
      <c r="K220" s="102"/>
      <c r="L220" s="102"/>
      <c r="M220" s="102"/>
      <c r="N220" s="102"/>
      <c r="O220" s="102"/>
      <c r="P220" s="102"/>
      <c r="Q220" s="102"/>
      <c r="R220" s="102"/>
      <c r="S220" s="102"/>
      <c r="T220" s="39"/>
      <c r="U220" s="39"/>
      <c r="V220" s="39"/>
      <c r="W220" s="39"/>
      <c r="X220" s="33" t="s">
        <v>11</v>
      </c>
      <c r="Y220" s="36">
        <f t="shared" ref="Y220:BF220" si="78">Y219-Y218</f>
        <v>-2</v>
      </c>
      <c r="Z220" s="36">
        <f t="shared" si="78"/>
        <v>-2</v>
      </c>
      <c r="AA220" s="36">
        <f t="shared" si="78"/>
        <v>-2</v>
      </c>
      <c r="AB220" s="36">
        <f t="shared" si="78"/>
        <v>-2</v>
      </c>
      <c r="AC220" s="36">
        <f t="shared" si="78"/>
        <v>-2</v>
      </c>
      <c r="AD220" s="36">
        <f t="shared" si="78"/>
        <v>-2</v>
      </c>
      <c r="AE220" s="36">
        <f t="shared" si="78"/>
        <v>-2</v>
      </c>
      <c r="AF220" s="36">
        <f t="shared" si="78"/>
        <v>-2</v>
      </c>
      <c r="AG220" s="36">
        <f t="shared" si="78"/>
        <v>-2</v>
      </c>
      <c r="AH220" s="36">
        <f t="shared" si="78"/>
        <v>-2</v>
      </c>
      <c r="AI220" s="36">
        <f t="shared" si="78"/>
        <v>-2</v>
      </c>
      <c r="AJ220" s="36">
        <f t="shared" si="78"/>
        <v>-2</v>
      </c>
      <c r="AK220" s="36">
        <f t="shared" si="78"/>
        <v>-2</v>
      </c>
      <c r="AL220" s="36">
        <f t="shared" si="78"/>
        <v>-2</v>
      </c>
      <c r="AM220" s="36">
        <f t="shared" si="78"/>
        <v>-2</v>
      </c>
      <c r="AN220" s="36">
        <f t="shared" si="78"/>
        <v>-2</v>
      </c>
      <c r="AO220" s="36">
        <f t="shared" si="78"/>
        <v>-2</v>
      </c>
      <c r="AP220" s="36">
        <f t="shared" si="78"/>
        <v>-2</v>
      </c>
      <c r="AQ220" s="36">
        <f t="shared" si="78"/>
        <v>-2</v>
      </c>
      <c r="AR220" s="36">
        <f t="shared" si="78"/>
        <v>-1</v>
      </c>
      <c r="AS220" s="36">
        <f t="shared" si="78"/>
        <v>-1</v>
      </c>
      <c r="AT220" s="36">
        <f t="shared" si="78"/>
        <v>-1</v>
      </c>
      <c r="AU220" s="36">
        <f t="shared" si="78"/>
        <v>-1</v>
      </c>
      <c r="AV220" s="36">
        <f t="shared" si="78"/>
        <v>-1</v>
      </c>
      <c r="AW220" s="36">
        <f t="shared" si="78"/>
        <v>-1</v>
      </c>
      <c r="AX220" s="36">
        <f t="shared" si="78"/>
        <v>-1</v>
      </c>
      <c r="AY220" s="36">
        <f t="shared" si="78"/>
        <v>-1</v>
      </c>
      <c r="AZ220" s="36">
        <f t="shared" si="78"/>
        <v>-1</v>
      </c>
      <c r="BA220" s="36">
        <f t="shared" si="78"/>
        <v>-1</v>
      </c>
      <c r="BB220" s="36">
        <f t="shared" si="78"/>
        <v>-1</v>
      </c>
      <c r="BC220" s="36">
        <f t="shared" si="78"/>
        <v>-1</v>
      </c>
      <c r="BD220" s="36">
        <f t="shared" si="78"/>
        <v>-1</v>
      </c>
      <c r="BE220" s="36">
        <f t="shared" si="78"/>
        <v>-1</v>
      </c>
      <c r="BF220" s="10">
        <f t="shared" si="78"/>
        <v>-52</v>
      </c>
    </row>
    <row r="221" spans="2:58" ht="22" customHeight="1">
      <c r="B221" s="104">
        <v>59</v>
      </c>
      <c r="C221" s="118" t="s">
        <v>154</v>
      </c>
      <c r="D221" s="105" t="s">
        <v>155</v>
      </c>
      <c r="E221" s="115"/>
      <c r="F221" s="119"/>
      <c r="G221" s="114">
        <f>SUM(Y221:AZ221)</f>
        <v>1539</v>
      </c>
      <c r="H221" s="114">
        <f>SUM(Y222:AZ222)</f>
        <v>0</v>
      </c>
      <c r="I221" s="100"/>
      <c r="J221" s="116">
        <f>IFERROR(H221/G221,0)</f>
        <v>0</v>
      </c>
      <c r="K221" s="113">
        <v>0.18097876269621421</v>
      </c>
      <c r="L221" s="113">
        <v>0.18097876269621421</v>
      </c>
      <c r="M221" s="100"/>
      <c r="N221" s="100"/>
      <c r="O221" s="100"/>
      <c r="P221" s="100"/>
      <c r="Q221" s="100"/>
      <c r="R221" s="100"/>
      <c r="S221" s="115" t="s">
        <v>47</v>
      </c>
      <c r="T221" s="9"/>
      <c r="U221" s="9"/>
      <c r="V221" s="9"/>
      <c r="W221" s="9"/>
      <c r="X221" s="7" t="s">
        <v>31</v>
      </c>
      <c r="Y221" s="29">
        <v>69</v>
      </c>
      <c r="Z221" s="29">
        <v>79</v>
      </c>
      <c r="AA221" s="29">
        <v>93</v>
      </c>
      <c r="AB221" s="29">
        <v>79</v>
      </c>
      <c r="AC221" s="29">
        <v>100</v>
      </c>
      <c r="AD221" s="29">
        <v>83</v>
      </c>
      <c r="AE221" s="29">
        <v>86</v>
      </c>
      <c r="AF221" s="29">
        <v>87</v>
      </c>
      <c r="AG221" s="29">
        <v>79</v>
      </c>
      <c r="AH221" s="29">
        <v>74</v>
      </c>
      <c r="AI221" s="29">
        <v>71</v>
      </c>
      <c r="AJ221" s="29">
        <v>38</v>
      </c>
      <c r="AK221" s="29">
        <v>38</v>
      </c>
      <c r="AL221" s="29">
        <v>38</v>
      </c>
      <c r="AM221" s="29">
        <v>38</v>
      </c>
      <c r="AN221" s="29">
        <v>38</v>
      </c>
      <c r="AO221" s="29">
        <v>38</v>
      </c>
      <c r="AP221" s="29">
        <v>38</v>
      </c>
      <c r="AQ221" s="29">
        <v>38</v>
      </c>
      <c r="AR221" s="29">
        <v>38</v>
      </c>
      <c r="AS221" s="29">
        <v>38</v>
      </c>
      <c r="AT221" s="29">
        <v>37</v>
      </c>
      <c r="AU221" s="29">
        <v>37</v>
      </c>
      <c r="AV221" s="29">
        <v>37</v>
      </c>
      <c r="AW221" s="29">
        <v>37</v>
      </c>
      <c r="AX221" s="29">
        <v>37</v>
      </c>
      <c r="AY221" s="29">
        <v>37</v>
      </c>
      <c r="AZ221" s="29">
        <v>37</v>
      </c>
      <c r="BA221" s="29">
        <v>37</v>
      </c>
      <c r="BB221" s="29">
        <v>37</v>
      </c>
      <c r="BC221" s="29">
        <v>37</v>
      </c>
      <c r="BD221" s="29">
        <v>37</v>
      </c>
      <c r="BE221" s="29">
        <v>37</v>
      </c>
      <c r="BF221" s="10">
        <f>SUM(Y221:BE221)</f>
        <v>1724</v>
      </c>
    </row>
    <row r="222" spans="2:58" ht="22" customHeight="1">
      <c r="B222" s="101"/>
      <c r="C222" s="101"/>
      <c r="D222" s="101"/>
      <c r="E222" s="101"/>
      <c r="F222" s="101"/>
      <c r="G222" s="101"/>
      <c r="H222" s="101"/>
      <c r="I222" s="101"/>
      <c r="J222" s="101"/>
      <c r="K222" s="101"/>
      <c r="L222" s="101"/>
      <c r="M222" s="101"/>
      <c r="N222" s="101"/>
      <c r="O222" s="101"/>
      <c r="P222" s="101"/>
      <c r="Q222" s="101"/>
      <c r="R222" s="101"/>
      <c r="S222" s="101"/>
      <c r="T222" s="9"/>
      <c r="U222" s="9"/>
      <c r="V222" s="9"/>
      <c r="W222" s="9"/>
      <c r="X222" s="7" t="s">
        <v>10</v>
      </c>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0">
        <f>SUM(Y222:BE222)</f>
        <v>0</v>
      </c>
    </row>
    <row r="223" spans="2:58" ht="22" customHeight="1">
      <c r="B223" s="102"/>
      <c r="C223" s="102"/>
      <c r="D223" s="102"/>
      <c r="E223" s="102"/>
      <c r="F223" s="102"/>
      <c r="G223" s="102"/>
      <c r="H223" s="102"/>
      <c r="I223" s="102"/>
      <c r="J223" s="102"/>
      <c r="K223" s="102"/>
      <c r="L223" s="102"/>
      <c r="M223" s="102"/>
      <c r="N223" s="102"/>
      <c r="O223" s="102"/>
      <c r="P223" s="102"/>
      <c r="Q223" s="102"/>
      <c r="R223" s="102"/>
      <c r="S223" s="102"/>
      <c r="T223" s="9"/>
      <c r="U223" s="9"/>
      <c r="V223" s="9"/>
      <c r="W223" s="9"/>
      <c r="X223" s="7" t="s">
        <v>11</v>
      </c>
      <c r="Y223" s="3">
        <f t="shared" ref="Y223:BF223" si="79">Y222-Y221</f>
        <v>-69</v>
      </c>
      <c r="Z223" s="3">
        <f t="shared" si="79"/>
        <v>-79</v>
      </c>
      <c r="AA223" s="3">
        <f t="shared" si="79"/>
        <v>-93</v>
      </c>
      <c r="AB223" s="3">
        <f t="shared" si="79"/>
        <v>-79</v>
      </c>
      <c r="AC223" s="3">
        <f t="shared" si="79"/>
        <v>-100</v>
      </c>
      <c r="AD223" s="3">
        <f t="shared" si="79"/>
        <v>-83</v>
      </c>
      <c r="AE223" s="3">
        <f t="shared" si="79"/>
        <v>-86</v>
      </c>
      <c r="AF223" s="3">
        <f t="shared" si="79"/>
        <v>-87</v>
      </c>
      <c r="AG223" s="3">
        <f t="shared" si="79"/>
        <v>-79</v>
      </c>
      <c r="AH223" s="3">
        <f t="shared" si="79"/>
        <v>-74</v>
      </c>
      <c r="AI223" s="3">
        <f t="shared" si="79"/>
        <v>-71</v>
      </c>
      <c r="AJ223" s="3">
        <f t="shared" si="79"/>
        <v>-38</v>
      </c>
      <c r="AK223" s="3">
        <f t="shared" si="79"/>
        <v>-38</v>
      </c>
      <c r="AL223" s="3">
        <f t="shared" si="79"/>
        <v>-38</v>
      </c>
      <c r="AM223" s="3">
        <f t="shared" si="79"/>
        <v>-38</v>
      </c>
      <c r="AN223" s="3">
        <f t="shared" si="79"/>
        <v>-38</v>
      </c>
      <c r="AO223" s="3">
        <f t="shared" si="79"/>
        <v>-38</v>
      </c>
      <c r="AP223" s="3">
        <f t="shared" si="79"/>
        <v>-38</v>
      </c>
      <c r="AQ223" s="3">
        <f t="shared" si="79"/>
        <v>-38</v>
      </c>
      <c r="AR223" s="3">
        <f t="shared" si="79"/>
        <v>-38</v>
      </c>
      <c r="AS223" s="3">
        <f t="shared" si="79"/>
        <v>-38</v>
      </c>
      <c r="AT223" s="3">
        <f t="shared" si="79"/>
        <v>-37</v>
      </c>
      <c r="AU223" s="3">
        <f t="shared" si="79"/>
        <v>-37</v>
      </c>
      <c r="AV223" s="3">
        <f t="shared" si="79"/>
        <v>-37</v>
      </c>
      <c r="AW223" s="3">
        <f t="shared" si="79"/>
        <v>-37</v>
      </c>
      <c r="AX223" s="3">
        <f t="shared" si="79"/>
        <v>-37</v>
      </c>
      <c r="AY223" s="3">
        <f t="shared" si="79"/>
        <v>-37</v>
      </c>
      <c r="AZ223" s="3">
        <f t="shared" si="79"/>
        <v>-37</v>
      </c>
      <c r="BA223" s="3">
        <f t="shared" si="79"/>
        <v>-37</v>
      </c>
      <c r="BB223" s="3">
        <f t="shared" si="79"/>
        <v>-37</v>
      </c>
      <c r="BC223" s="3">
        <f t="shared" si="79"/>
        <v>-37</v>
      </c>
      <c r="BD223" s="3">
        <f t="shared" si="79"/>
        <v>-37</v>
      </c>
      <c r="BE223" s="3">
        <f t="shared" si="79"/>
        <v>-37</v>
      </c>
      <c r="BF223" s="10">
        <f t="shared" si="79"/>
        <v>-1724</v>
      </c>
    </row>
    <row r="224" spans="2:58" ht="22" customHeight="1">
      <c r="B224" s="107">
        <v>60</v>
      </c>
      <c r="C224" s="117" t="s">
        <v>156</v>
      </c>
      <c r="D224" s="108" t="s">
        <v>157</v>
      </c>
      <c r="E224" s="103"/>
      <c r="F224" s="109"/>
      <c r="G224" s="106">
        <f>SUM(Y224:AZ224)</f>
        <v>10</v>
      </c>
      <c r="H224" s="106">
        <f>SUM(Y225:AZ225)</f>
        <v>0</v>
      </c>
      <c r="I224" s="111"/>
      <c r="J224" s="112">
        <f>IFERROR(H224/G224,0)</f>
        <v>0</v>
      </c>
      <c r="K224" s="110">
        <v>0.66666666666666663</v>
      </c>
      <c r="L224" s="110">
        <v>0.66666666666666663</v>
      </c>
      <c r="M224" s="111"/>
      <c r="N224" s="111"/>
      <c r="O224" s="111"/>
      <c r="P224" s="111"/>
      <c r="Q224" s="111"/>
      <c r="R224" s="111"/>
      <c r="S224" s="103" t="s">
        <v>47</v>
      </c>
      <c r="T224" s="39"/>
      <c r="U224" s="39"/>
      <c r="V224" s="39"/>
      <c r="W224" s="39"/>
      <c r="X224" s="33" t="s">
        <v>31</v>
      </c>
      <c r="Y224" s="40">
        <v>1</v>
      </c>
      <c r="Z224" s="40">
        <v>1</v>
      </c>
      <c r="AA224" s="40">
        <v>1</v>
      </c>
      <c r="AB224" s="40">
        <v>1</v>
      </c>
      <c r="AC224" s="40">
        <v>1</v>
      </c>
      <c r="AD224" s="40">
        <v>1</v>
      </c>
      <c r="AE224" s="40">
        <v>1</v>
      </c>
      <c r="AF224" s="40">
        <v>1</v>
      </c>
      <c r="AG224" s="40">
        <v>1</v>
      </c>
      <c r="AH224" s="40">
        <v>1</v>
      </c>
      <c r="AI224" s="40">
        <v>0</v>
      </c>
      <c r="AJ224" s="40">
        <v>0</v>
      </c>
      <c r="AK224" s="40">
        <v>0</v>
      </c>
      <c r="AL224" s="40">
        <v>0</v>
      </c>
      <c r="AM224" s="40">
        <v>0</v>
      </c>
      <c r="AN224" s="40">
        <v>0</v>
      </c>
      <c r="AO224" s="40">
        <v>0</v>
      </c>
      <c r="AP224" s="40">
        <v>0</v>
      </c>
      <c r="AQ224" s="40">
        <v>0</v>
      </c>
      <c r="AR224" s="40">
        <v>0</v>
      </c>
      <c r="AS224" s="40">
        <v>0</v>
      </c>
      <c r="AT224" s="40">
        <v>0</v>
      </c>
      <c r="AU224" s="40">
        <v>0</v>
      </c>
      <c r="AV224" s="40">
        <v>0</v>
      </c>
      <c r="AW224" s="40">
        <v>0</v>
      </c>
      <c r="AX224" s="40">
        <v>0</v>
      </c>
      <c r="AY224" s="40">
        <v>0</v>
      </c>
      <c r="AZ224" s="40">
        <v>0</v>
      </c>
      <c r="BA224" s="40">
        <v>0</v>
      </c>
      <c r="BB224" s="40">
        <v>0</v>
      </c>
      <c r="BC224" s="40">
        <v>0</v>
      </c>
      <c r="BD224" s="40">
        <v>0</v>
      </c>
      <c r="BE224" s="40">
        <v>0</v>
      </c>
      <c r="BF224" s="10">
        <f>SUM(Y224:BE224)</f>
        <v>10</v>
      </c>
    </row>
    <row r="225" spans="2:58" ht="22" customHeight="1">
      <c r="B225" s="101"/>
      <c r="C225" s="101"/>
      <c r="D225" s="101"/>
      <c r="E225" s="101"/>
      <c r="F225" s="101"/>
      <c r="G225" s="101"/>
      <c r="H225" s="101"/>
      <c r="I225" s="101"/>
      <c r="J225" s="101"/>
      <c r="K225" s="101"/>
      <c r="L225" s="101"/>
      <c r="M225" s="101"/>
      <c r="N225" s="101"/>
      <c r="O225" s="101"/>
      <c r="P225" s="101"/>
      <c r="Q225" s="101"/>
      <c r="R225" s="101"/>
      <c r="S225" s="101"/>
      <c r="T225" s="39"/>
      <c r="U225" s="39"/>
      <c r="V225" s="39"/>
      <c r="W225" s="39"/>
      <c r="X225" s="33" t="s">
        <v>10</v>
      </c>
      <c r="Y225" s="41"/>
      <c r="Z225" s="41"/>
      <c r="AA225" s="41"/>
      <c r="AB225" s="41"/>
      <c r="AC225" s="41"/>
      <c r="AD225" s="41"/>
      <c r="AE225" s="41"/>
      <c r="AF225" s="41"/>
      <c r="AG225" s="41"/>
      <c r="AH225" s="41"/>
      <c r="AI225" s="41"/>
      <c r="AJ225" s="41"/>
      <c r="AK225" s="41"/>
      <c r="AL225" s="41"/>
      <c r="AM225" s="41"/>
      <c r="AN225" s="41"/>
      <c r="AO225" s="41"/>
      <c r="AP225" s="41"/>
      <c r="AQ225" s="41"/>
      <c r="AR225" s="41"/>
      <c r="AS225" s="41"/>
      <c r="AT225" s="41"/>
      <c r="AU225" s="41"/>
      <c r="AV225" s="41"/>
      <c r="AW225" s="41"/>
      <c r="AX225" s="41"/>
      <c r="AY225" s="41"/>
      <c r="AZ225" s="41"/>
      <c r="BA225" s="41"/>
      <c r="BB225" s="41"/>
      <c r="BC225" s="41"/>
      <c r="BD225" s="41"/>
      <c r="BE225" s="41"/>
      <c r="BF225" s="10">
        <f>SUM(Y225:BE225)</f>
        <v>0</v>
      </c>
    </row>
    <row r="226" spans="2:58" ht="22" customHeight="1">
      <c r="B226" s="102"/>
      <c r="C226" s="102"/>
      <c r="D226" s="102"/>
      <c r="E226" s="102"/>
      <c r="F226" s="102"/>
      <c r="G226" s="102"/>
      <c r="H226" s="102"/>
      <c r="I226" s="102"/>
      <c r="J226" s="102"/>
      <c r="K226" s="102"/>
      <c r="L226" s="102"/>
      <c r="M226" s="102"/>
      <c r="N226" s="102"/>
      <c r="O226" s="102"/>
      <c r="P226" s="102"/>
      <c r="Q226" s="102"/>
      <c r="R226" s="102"/>
      <c r="S226" s="102"/>
      <c r="T226" s="39"/>
      <c r="U226" s="39"/>
      <c r="V226" s="39"/>
      <c r="W226" s="39"/>
      <c r="X226" s="33" t="s">
        <v>11</v>
      </c>
      <c r="Y226" s="36">
        <f t="shared" ref="Y226:BF226" si="80">Y225-Y224</f>
        <v>-1</v>
      </c>
      <c r="Z226" s="36">
        <f t="shared" si="80"/>
        <v>-1</v>
      </c>
      <c r="AA226" s="36">
        <f t="shared" si="80"/>
        <v>-1</v>
      </c>
      <c r="AB226" s="36">
        <f t="shared" si="80"/>
        <v>-1</v>
      </c>
      <c r="AC226" s="36">
        <f t="shared" si="80"/>
        <v>-1</v>
      </c>
      <c r="AD226" s="36">
        <f t="shared" si="80"/>
        <v>-1</v>
      </c>
      <c r="AE226" s="36">
        <f t="shared" si="80"/>
        <v>-1</v>
      </c>
      <c r="AF226" s="36">
        <f t="shared" si="80"/>
        <v>-1</v>
      </c>
      <c r="AG226" s="36">
        <f t="shared" si="80"/>
        <v>-1</v>
      </c>
      <c r="AH226" s="36">
        <f t="shared" si="80"/>
        <v>-1</v>
      </c>
      <c r="AI226" s="36">
        <f t="shared" si="80"/>
        <v>0</v>
      </c>
      <c r="AJ226" s="36">
        <f t="shared" si="80"/>
        <v>0</v>
      </c>
      <c r="AK226" s="36">
        <f t="shared" si="80"/>
        <v>0</v>
      </c>
      <c r="AL226" s="36">
        <f t="shared" si="80"/>
        <v>0</v>
      </c>
      <c r="AM226" s="36">
        <f t="shared" si="80"/>
        <v>0</v>
      </c>
      <c r="AN226" s="36">
        <f t="shared" si="80"/>
        <v>0</v>
      </c>
      <c r="AO226" s="36">
        <f t="shared" si="80"/>
        <v>0</v>
      </c>
      <c r="AP226" s="36">
        <f t="shared" si="80"/>
        <v>0</v>
      </c>
      <c r="AQ226" s="36">
        <f t="shared" si="80"/>
        <v>0</v>
      </c>
      <c r="AR226" s="36">
        <f t="shared" si="80"/>
        <v>0</v>
      </c>
      <c r="AS226" s="36">
        <f t="shared" si="80"/>
        <v>0</v>
      </c>
      <c r="AT226" s="36">
        <f t="shared" si="80"/>
        <v>0</v>
      </c>
      <c r="AU226" s="36">
        <f t="shared" si="80"/>
        <v>0</v>
      </c>
      <c r="AV226" s="36">
        <f t="shared" si="80"/>
        <v>0</v>
      </c>
      <c r="AW226" s="36">
        <f t="shared" si="80"/>
        <v>0</v>
      </c>
      <c r="AX226" s="36">
        <f t="shared" si="80"/>
        <v>0</v>
      </c>
      <c r="AY226" s="36">
        <f t="shared" si="80"/>
        <v>0</v>
      </c>
      <c r="AZ226" s="36">
        <f t="shared" si="80"/>
        <v>0</v>
      </c>
      <c r="BA226" s="36">
        <f t="shared" si="80"/>
        <v>0</v>
      </c>
      <c r="BB226" s="36">
        <f t="shared" si="80"/>
        <v>0</v>
      </c>
      <c r="BC226" s="36">
        <f t="shared" si="80"/>
        <v>0</v>
      </c>
      <c r="BD226" s="36">
        <f t="shared" si="80"/>
        <v>0</v>
      </c>
      <c r="BE226" s="36">
        <f t="shared" si="80"/>
        <v>0</v>
      </c>
      <c r="BF226" s="10">
        <f t="shared" si="80"/>
        <v>-10</v>
      </c>
    </row>
    <row r="227" spans="2:58" ht="22" customHeight="1">
      <c r="B227" s="104">
        <v>61</v>
      </c>
      <c r="C227" s="118" t="s">
        <v>158</v>
      </c>
      <c r="D227" s="105" t="s">
        <v>159</v>
      </c>
      <c r="E227" s="115"/>
      <c r="F227" s="119"/>
      <c r="G227" s="114">
        <f>SUM(Y227:AZ227)</f>
        <v>10</v>
      </c>
      <c r="H227" s="114">
        <f>SUM(Y228:AZ228)</f>
        <v>0</v>
      </c>
      <c r="I227" s="100"/>
      <c r="J227" s="116">
        <f>IFERROR(H227/G227,0)</f>
        <v>0</v>
      </c>
      <c r="K227" s="113">
        <v>0.42857142857142849</v>
      </c>
      <c r="L227" s="113">
        <v>0.42857142857142849</v>
      </c>
      <c r="M227" s="100"/>
      <c r="N227" s="100"/>
      <c r="O227" s="100"/>
      <c r="P227" s="100"/>
      <c r="Q227" s="100"/>
      <c r="R227" s="100"/>
      <c r="S227" s="115" t="s">
        <v>47</v>
      </c>
      <c r="T227" s="9"/>
      <c r="U227" s="9"/>
      <c r="V227" s="9"/>
      <c r="W227" s="9"/>
      <c r="X227" s="7" t="s">
        <v>31</v>
      </c>
      <c r="Y227" s="29">
        <v>1</v>
      </c>
      <c r="Z227" s="29">
        <v>1</v>
      </c>
      <c r="AA227" s="29">
        <v>1</v>
      </c>
      <c r="AB227" s="29">
        <v>1</v>
      </c>
      <c r="AC227" s="29">
        <v>1</v>
      </c>
      <c r="AD227" s="29">
        <v>1</v>
      </c>
      <c r="AE227" s="29">
        <v>1</v>
      </c>
      <c r="AF227" s="29">
        <v>1</v>
      </c>
      <c r="AG227" s="29">
        <v>1</v>
      </c>
      <c r="AH227" s="29">
        <v>1</v>
      </c>
      <c r="AI227" s="29">
        <v>0</v>
      </c>
      <c r="AJ227" s="29">
        <v>0</v>
      </c>
      <c r="AK227" s="29">
        <v>0</v>
      </c>
      <c r="AL227" s="29">
        <v>0</v>
      </c>
      <c r="AM227" s="29">
        <v>0</v>
      </c>
      <c r="AN227" s="29">
        <v>0</v>
      </c>
      <c r="AO227" s="29">
        <v>0</v>
      </c>
      <c r="AP227" s="29">
        <v>0</v>
      </c>
      <c r="AQ227" s="29">
        <v>0</v>
      </c>
      <c r="AR227" s="29">
        <v>0</v>
      </c>
      <c r="AS227" s="29">
        <v>0</v>
      </c>
      <c r="AT227" s="29">
        <v>0</v>
      </c>
      <c r="AU227" s="29">
        <v>0</v>
      </c>
      <c r="AV227" s="29">
        <v>0</v>
      </c>
      <c r="AW227" s="29">
        <v>0</v>
      </c>
      <c r="AX227" s="29">
        <v>0</v>
      </c>
      <c r="AY227" s="29">
        <v>0</v>
      </c>
      <c r="AZ227" s="29">
        <v>0</v>
      </c>
      <c r="BA227" s="29">
        <v>0</v>
      </c>
      <c r="BB227" s="29">
        <v>0</v>
      </c>
      <c r="BC227" s="29">
        <v>0</v>
      </c>
      <c r="BD227" s="29">
        <v>0</v>
      </c>
      <c r="BE227" s="29">
        <v>0</v>
      </c>
      <c r="BF227" s="10">
        <f>SUM(Y227:BE227)</f>
        <v>10</v>
      </c>
    </row>
    <row r="228" spans="2:58" ht="22" customHeight="1">
      <c r="B228" s="101"/>
      <c r="C228" s="101"/>
      <c r="D228" s="101"/>
      <c r="E228" s="101"/>
      <c r="F228" s="101"/>
      <c r="G228" s="101"/>
      <c r="H228" s="101"/>
      <c r="I228" s="101"/>
      <c r="J228" s="101"/>
      <c r="K228" s="101"/>
      <c r="L228" s="101"/>
      <c r="M228" s="101"/>
      <c r="N228" s="101"/>
      <c r="O228" s="101"/>
      <c r="P228" s="101"/>
      <c r="Q228" s="101"/>
      <c r="R228" s="101"/>
      <c r="S228" s="101"/>
      <c r="T228" s="9"/>
      <c r="U228" s="9"/>
      <c r="V228" s="9"/>
      <c r="W228" s="9"/>
      <c r="X228" s="7" t="s">
        <v>10</v>
      </c>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0">
        <f>SUM(Y228:BE228)</f>
        <v>0</v>
      </c>
    </row>
    <row r="229" spans="2:58" ht="22" customHeight="1">
      <c r="B229" s="102"/>
      <c r="C229" s="102"/>
      <c r="D229" s="102"/>
      <c r="E229" s="102"/>
      <c r="F229" s="102"/>
      <c r="G229" s="102"/>
      <c r="H229" s="102"/>
      <c r="I229" s="102"/>
      <c r="J229" s="102"/>
      <c r="K229" s="102"/>
      <c r="L229" s="102"/>
      <c r="M229" s="102"/>
      <c r="N229" s="102"/>
      <c r="O229" s="102"/>
      <c r="P229" s="102"/>
      <c r="Q229" s="102"/>
      <c r="R229" s="102"/>
      <c r="S229" s="102"/>
      <c r="T229" s="9"/>
      <c r="U229" s="9"/>
      <c r="V229" s="9"/>
      <c r="W229" s="9"/>
      <c r="X229" s="7" t="s">
        <v>11</v>
      </c>
      <c r="Y229" s="3">
        <f t="shared" ref="Y229:BF229" si="81">Y228-Y227</f>
        <v>-1</v>
      </c>
      <c r="Z229" s="3">
        <f t="shared" si="81"/>
        <v>-1</v>
      </c>
      <c r="AA229" s="3">
        <f t="shared" si="81"/>
        <v>-1</v>
      </c>
      <c r="AB229" s="3">
        <f t="shared" si="81"/>
        <v>-1</v>
      </c>
      <c r="AC229" s="3">
        <f t="shared" si="81"/>
        <v>-1</v>
      </c>
      <c r="AD229" s="3">
        <f t="shared" si="81"/>
        <v>-1</v>
      </c>
      <c r="AE229" s="3">
        <f t="shared" si="81"/>
        <v>-1</v>
      </c>
      <c r="AF229" s="3">
        <f t="shared" si="81"/>
        <v>-1</v>
      </c>
      <c r="AG229" s="3">
        <f t="shared" si="81"/>
        <v>-1</v>
      </c>
      <c r="AH229" s="3">
        <f t="shared" si="81"/>
        <v>-1</v>
      </c>
      <c r="AI229" s="3">
        <f t="shared" si="81"/>
        <v>0</v>
      </c>
      <c r="AJ229" s="3">
        <f t="shared" si="81"/>
        <v>0</v>
      </c>
      <c r="AK229" s="3">
        <f t="shared" si="81"/>
        <v>0</v>
      </c>
      <c r="AL229" s="3">
        <f t="shared" si="81"/>
        <v>0</v>
      </c>
      <c r="AM229" s="3">
        <f t="shared" si="81"/>
        <v>0</v>
      </c>
      <c r="AN229" s="3">
        <f t="shared" si="81"/>
        <v>0</v>
      </c>
      <c r="AO229" s="3">
        <f t="shared" si="81"/>
        <v>0</v>
      </c>
      <c r="AP229" s="3">
        <f t="shared" si="81"/>
        <v>0</v>
      </c>
      <c r="AQ229" s="3">
        <f t="shared" si="81"/>
        <v>0</v>
      </c>
      <c r="AR229" s="3">
        <f t="shared" si="81"/>
        <v>0</v>
      </c>
      <c r="AS229" s="3">
        <f t="shared" si="81"/>
        <v>0</v>
      </c>
      <c r="AT229" s="3">
        <f t="shared" si="81"/>
        <v>0</v>
      </c>
      <c r="AU229" s="3">
        <f t="shared" si="81"/>
        <v>0</v>
      </c>
      <c r="AV229" s="3">
        <f t="shared" si="81"/>
        <v>0</v>
      </c>
      <c r="AW229" s="3">
        <f t="shared" si="81"/>
        <v>0</v>
      </c>
      <c r="AX229" s="3">
        <f t="shared" si="81"/>
        <v>0</v>
      </c>
      <c r="AY229" s="3">
        <f t="shared" si="81"/>
        <v>0</v>
      </c>
      <c r="AZ229" s="3">
        <f t="shared" si="81"/>
        <v>0</v>
      </c>
      <c r="BA229" s="3">
        <f t="shared" si="81"/>
        <v>0</v>
      </c>
      <c r="BB229" s="3">
        <f t="shared" si="81"/>
        <v>0</v>
      </c>
      <c r="BC229" s="3">
        <f t="shared" si="81"/>
        <v>0</v>
      </c>
      <c r="BD229" s="3">
        <f t="shared" si="81"/>
        <v>0</v>
      </c>
      <c r="BE229" s="3">
        <f t="shared" si="81"/>
        <v>0</v>
      </c>
      <c r="BF229" s="10">
        <f t="shared" si="81"/>
        <v>-10</v>
      </c>
    </row>
    <row r="230" spans="2:58" ht="22" customHeight="1">
      <c r="B230" s="107">
        <v>62</v>
      </c>
      <c r="C230" s="117" t="s">
        <v>160</v>
      </c>
      <c r="D230" s="108" t="s">
        <v>161</v>
      </c>
      <c r="E230" s="103"/>
      <c r="F230" s="109"/>
      <c r="G230" s="106">
        <f>SUM(Y230:AZ230)</f>
        <v>10</v>
      </c>
      <c r="H230" s="106">
        <f>SUM(Y231:AZ231)</f>
        <v>0</v>
      </c>
      <c r="I230" s="111"/>
      <c r="J230" s="112">
        <f>IFERROR(H230/G230,0)</f>
        <v>0</v>
      </c>
      <c r="K230" s="110">
        <v>0.42857142857142849</v>
      </c>
      <c r="L230" s="110">
        <v>0.42857142857142849</v>
      </c>
      <c r="M230" s="111"/>
      <c r="N230" s="111"/>
      <c r="O230" s="111"/>
      <c r="P230" s="111"/>
      <c r="Q230" s="111"/>
      <c r="R230" s="111"/>
      <c r="S230" s="103" t="s">
        <v>47</v>
      </c>
      <c r="T230" s="39"/>
      <c r="U230" s="39"/>
      <c r="V230" s="39"/>
      <c r="W230" s="39"/>
      <c r="X230" s="33" t="s">
        <v>31</v>
      </c>
      <c r="Y230" s="40">
        <v>1</v>
      </c>
      <c r="Z230" s="40">
        <v>1</v>
      </c>
      <c r="AA230" s="40">
        <v>1</v>
      </c>
      <c r="AB230" s="40">
        <v>1</v>
      </c>
      <c r="AC230" s="40">
        <v>1</v>
      </c>
      <c r="AD230" s="40">
        <v>1</v>
      </c>
      <c r="AE230" s="40">
        <v>1</v>
      </c>
      <c r="AF230" s="40">
        <v>1</v>
      </c>
      <c r="AG230" s="40">
        <v>1</v>
      </c>
      <c r="AH230" s="40">
        <v>1</v>
      </c>
      <c r="AI230" s="40">
        <v>0</v>
      </c>
      <c r="AJ230" s="40">
        <v>0</v>
      </c>
      <c r="AK230" s="40">
        <v>0</v>
      </c>
      <c r="AL230" s="40">
        <v>0</v>
      </c>
      <c r="AM230" s="40">
        <v>0</v>
      </c>
      <c r="AN230" s="40">
        <v>0</v>
      </c>
      <c r="AO230" s="40">
        <v>0</v>
      </c>
      <c r="AP230" s="40">
        <v>0</v>
      </c>
      <c r="AQ230" s="40">
        <v>0</v>
      </c>
      <c r="AR230" s="40">
        <v>0</v>
      </c>
      <c r="AS230" s="40">
        <v>0</v>
      </c>
      <c r="AT230" s="40">
        <v>0</v>
      </c>
      <c r="AU230" s="40">
        <v>0</v>
      </c>
      <c r="AV230" s="40">
        <v>0</v>
      </c>
      <c r="AW230" s="40">
        <v>0</v>
      </c>
      <c r="AX230" s="40">
        <v>0</v>
      </c>
      <c r="AY230" s="40">
        <v>0</v>
      </c>
      <c r="AZ230" s="40">
        <v>0</v>
      </c>
      <c r="BA230" s="40">
        <v>0</v>
      </c>
      <c r="BB230" s="40">
        <v>0</v>
      </c>
      <c r="BC230" s="40">
        <v>0</v>
      </c>
      <c r="BD230" s="40">
        <v>0</v>
      </c>
      <c r="BE230" s="40">
        <v>0</v>
      </c>
      <c r="BF230" s="10">
        <f>SUM(Y230:BE230)</f>
        <v>10</v>
      </c>
    </row>
    <row r="231" spans="2:58" ht="22" customHeight="1">
      <c r="B231" s="101"/>
      <c r="C231" s="101"/>
      <c r="D231" s="101"/>
      <c r="E231" s="101"/>
      <c r="F231" s="101"/>
      <c r="G231" s="101"/>
      <c r="H231" s="101"/>
      <c r="I231" s="101"/>
      <c r="J231" s="101"/>
      <c r="K231" s="101"/>
      <c r="L231" s="101"/>
      <c r="M231" s="101"/>
      <c r="N231" s="101"/>
      <c r="O231" s="101"/>
      <c r="P231" s="101"/>
      <c r="Q231" s="101"/>
      <c r="R231" s="101"/>
      <c r="S231" s="101"/>
      <c r="T231" s="39"/>
      <c r="U231" s="39"/>
      <c r="V231" s="39"/>
      <c r="W231" s="39"/>
      <c r="X231" s="33" t="s">
        <v>10</v>
      </c>
      <c r="Y231" s="41"/>
      <c r="Z231" s="41"/>
      <c r="AA231" s="41"/>
      <c r="AB231" s="41"/>
      <c r="AC231" s="41"/>
      <c r="AD231" s="41"/>
      <c r="AE231" s="41"/>
      <c r="AF231" s="41"/>
      <c r="AG231" s="41"/>
      <c r="AH231" s="41"/>
      <c r="AI231" s="41"/>
      <c r="AJ231" s="41"/>
      <c r="AK231" s="41"/>
      <c r="AL231" s="41"/>
      <c r="AM231" s="41"/>
      <c r="AN231" s="41"/>
      <c r="AO231" s="41"/>
      <c r="AP231" s="41"/>
      <c r="AQ231" s="41"/>
      <c r="AR231" s="41"/>
      <c r="AS231" s="41"/>
      <c r="AT231" s="41"/>
      <c r="AU231" s="41"/>
      <c r="AV231" s="41"/>
      <c r="AW231" s="41"/>
      <c r="AX231" s="41"/>
      <c r="AY231" s="41"/>
      <c r="AZ231" s="41"/>
      <c r="BA231" s="41"/>
      <c r="BB231" s="41"/>
      <c r="BC231" s="41"/>
      <c r="BD231" s="41"/>
      <c r="BE231" s="41"/>
      <c r="BF231" s="10">
        <f>SUM(Y231:BE231)</f>
        <v>0</v>
      </c>
    </row>
    <row r="232" spans="2:58" ht="22" customHeight="1">
      <c r="B232" s="102"/>
      <c r="C232" s="102"/>
      <c r="D232" s="102"/>
      <c r="E232" s="102"/>
      <c r="F232" s="102"/>
      <c r="G232" s="102"/>
      <c r="H232" s="102"/>
      <c r="I232" s="102"/>
      <c r="J232" s="102"/>
      <c r="K232" s="102"/>
      <c r="L232" s="102"/>
      <c r="M232" s="102"/>
      <c r="N232" s="102"/>
      <c r="O232" s="102"/>
      <c r="P232" s="102"/>
      <c r="Q232" s="102"/>
      <c r="R232" s="102"/>
      <c r="S232" s="102"/>
      <c r="T232" s="39"/>
      <c r="U232" s="39"/>
      <c r="V232" s="39"/>
      <c r="W232" s="39"/>
      <c r="X232" s="33" t="s">
        <v>11</v>
      </c>
      <c r="Y232" s="36">
        <f t="shared" ref="Y232:BF232" si="82">Y231-Y230</f>
        <v>-1</v>
      </c>
      <c r="Z232" s="36">
        <f t="shared" si="82"/>
        <v>-1</v>
      </c>
      <c r="AA232" s="36">
        <f t="shared" si="82"/>
        <v>-1</v>
      </c>
      <c r="AB232" s="36">
        <f t="shared" si="82"/>
        <v>-1</v>
      </c>
      <c r="AC232" s="36">
        <f t="shared" si="82"/>
        <v>-1</v>
      </c>
      <c r="AD232" s="36">
        <f t="shared" si="82"/>
        <v>-1</v>
      </c>
      <c r="AE232" s="36">
        <f t="shared" si="82"/>
        <v>-1</v>
      </c>
      <c r="AF232" s="36">
        <f t="shared" si="82"/>
        <v>-1</v>
      </c>
      <c r="AG232" s="36">
        <f t="shared" si="82"/>
        <v>-1</v>
      </c>
      <c r="AH232" s="36">
        <f t="shared" si="82"/>
        <v>-1</v>
      </c>
      <c r="AI232" s="36">
        <f t="shared" si="82"/>
        <v>0</v>
      </c>
      <c r="AJ232" s="36">
        <f t="shared" si="82"/>
        <v>0</v>
      </c>
      <c r="AK232" s="36">
        <f t="shared" si="82"/>
        <v>0</v>
      </c>
      <c r="AL232" s="36">
        <f t="shared" si="82"/>
        <v>0</v>
      </c>
      <c r="AM232" s="36">
        <f t="shared" si="82"/>
        <v>0</v>
      </c>
      <c r="AN232" s="36">
        <f t="shared" si="82"/>
        <v>0</v>
      </c>
      <c r="AO232" s="36">
        <f t="shared" si="82"/>
        <v>0</v>
      </c>
      <c r="AP232" s="36">
        <f t="shared" si="82"/>
        <v>0</v>
      </c>
      <c r="AQ232" s="36">
        <f t="shared" si="82"/>
        <v>0</v>
      </c>
      <c r="AR232" s="36">
        <f t="shared" si="82"/>
        <v>0</v>
      </c>
      <c r="AS232" s="36">
        <f t="shared" si="82"/>
        <v>0</v>
      </c>
      <c r="AT232" s="36">
        <f t="shared" si="82"/>
        <v>0</v>
      </c>
      <c r="AU232" s="36">
        <f t="shared" si="82"/>
        <v>0</v>
      </c>
      <c r="AV232" s="36">
        <f t="shared" si="82"/>
        <v>0</v>
      </c>
      <c r="AW232" s="36">
        <f t="shared" si="82"/>
        <v>0</v>
      </c>
      <c r="AX232" s="36">
        <f t="shared" si="82"/>
        <v>0</v>
      </c>
      <c r="AY232" s="36">
        <f t="shared" si="82"/>
        <v>0</v>
      </c>
      <c r="AZ232" s="36">
        <f t="shared" si="82"/>
        <v>0</v>
      </c>
      <c r="BA232" s="36">
        <f t="shared" si="82"/>
        <v>0</v>
      </c>
      <c r="BB232" s="36">
        <f t="shared" si="82"/>
        <v>0</v>
      </c>
      <c r="BC232" s="36">
        <f t="shared" si="82"/>
        <v>0</v>
      </c>
      <c r="BD232" s="36">
        <f t="shared" si="82"/>
        <v>0</v>
      </c>
      <c r="BE232" s="36">
        <f t="shared" si="82"/>
        <v>0</v>
      </c>
      <c r="BF232" s="10">
        <f t="shared" si="82"/>
        <v>-10</v>
      </c>
    </row>
    <row r="233" spans="2:58" ht="22" customHeight="1">
      <c r="B233" s="104">
        <v>63</v>
      </c>
      <c r="C233" s="118" t="s">
        <v>162</v>
      </c>
      <c r="D233" s="105" t="s">
        <v>163</v>
      </c>
      <c r="E233" s="115"/>
      <c r="F233" s="119"/>
      <c r="G233" s="114">
        <f>SUM(Y233:AZ233)</f>
        <v>27</v>
      </c>
      <c r="H233" s="114">
        <f>SUM(Y234:AZ234)</f>
        <v>0</v>
      </c>
      <c r="I233" s="100"/>
      <c r="J233" s="116">
        <f>IFERROR(H233/G233,0)</f>
        <v>0</v>
      </c>
      <c r="K233" s="113">
        <v>0.3</v>
      </c>
      <c r="L233" s="113">
        <v>0.3</v>
      </c>
      <c r="M233" s="100"/>
      <c r="N233" s="100"/>
      <c r="O233" s="100"/>
      <c r="P233" s="100"/>
      <c r="Q233" s="100"/>
      <c r="R233" s="100"/>
      <c r="S233" s="115" t="s">
        <v>37</v>
      </c>
      <c r="T233" s="9"/>
      <c r="U233" s="9"/>
      <c r="V233" s="9"/>
      <c r="W233" s="9"/>
      <c r="X233" s="7" t="s">
        <v>31</v>
      </c>
      <c r="Y233" s="29">
        <v>1</v>
      </c>
      <c r="Z233" s="29">
        <v>1</v>
      </c>
      <c r="AA233" s="29">
        <v>1</v>
      </c>
      <c r="AB233" s="29">
        <v>1</v>
      </c>
      <c r="AC233" s="29">
        <v>1</v>
      </c>
      <c r="AD233" s="29">
        <v>1</v>
      </c>
      <c r="AE233" s="29">
        <v>1</v>
      </c>
      <c r="AF233" s="29">
        <v>1</v>
      </c>
      <c r="AG233" s="29">
        <v>1</v>
      </c>
      <c r="AH233" s="29">
        <v>1</v>
      </c>
      <c r="AI233" s="29">
        <v>1</v>
      </c>
      <c r="AJ233" s="29">
        <v>1</v>
      </c>
      <c r="AK233" s="29">
        <v>1</v>
      </c>
      <c r="AL233" s="29">
        <v>1</v>
      </c>
      <c r="AM233" s="29">
        <v>1</v>
      </c>
      <c r="AN233" s="29">
        <v>1</v>
      </c>
      <c r="AO233" s="29">
        <v>1</v>
      </c>
      <c r="AP233" s="29">
        <v>1</v>
      </c>
      <c r="AQ233" s="29">
        <v>1</v>
      </c>
      <c r="AR233" s="29">
        <v>1</v>
      </c>
      <c r="AS233" s="29">
        <v>1</v>
      </c>
      <c r="AT233" s="29">
        <v>1</v>
      </c>
      <c r="AU233" s="29">
        <v>1</v>
      </c>
      <c r="AV233" s="29">
        <v>1</v>
      </c>
      <c r="AW233" s="29">
        <v>1</v>
      </c>
      <c r="AX233" s="29">
        <v>1</v>
      </c>
      <c r="AY233" s="29">
        <v>1</v>
      </c>
      <c r="AZ233" s="29">
        <v>0</v>
      </c>
      <c r="BA233" s="29">
        <v>0</v>
      </c>
      <c r="BB233" s="29">
        <v>0</v>
      </c>
      <c r="BC233" s="29">
        <v>0</v>
      </c>
      <c r="BD233" s="29">
        <v>0</v>
      </c>
      <c r="BE233" s="29">
        <v>0</v>
      </c>
      <c r="BF233" s="10">
        <f>SUM(Y233:BE233)</f>
        <v>27</v>
      </c>
    </row>
    <row r="234" spans="2:58" ht="22" customHeight="1">
      <c r="B234" s="101"/>
      <c r="C234" s="101"/>
      <c r="D234" s="101"/>
      <c r="E234" s="101"/>
      <c r="F234" s="101"/>
      <c r="G234" s="101"/>
      <c r="H234" s="101"/>
      <c r="I234" s="101"/>
      <c r="J234" s="101"/>
      <c r="K234" s="101"/>
      <c r="L234" s="101"/>
      <c r="M234" s="101"/>
      <c r="N234" s="101"/>
      <c r="O234" s="101"/>
      <c r="P234" s="101"/>
      <c r="Q234" s="101"/>
      <c r="R234" s="101"/>
      <c r="S234" s="101"/>
      <c r="T234" s="9"/>
      <c r="U234" s="9"/>
      <c r="V234" s="9"/>
      <c r="W234" s="9"/>
      <c r="X234" s="7" t="s">
        <v>10</v>
      </c>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0">
        <f>SUM(Y234:BE234)</f>
        <v>0</v>
      </c>
    </row>
    <row r="235" spans="2:58" ht="22" customHeight="1">
      <c r="B235" s="101"/>
      <c r="C235" s="101"/>
      <c r="D235" s="101"/>
      <c r="E235" s="101"/>
      <c r="F235" s="101"/>
      <c r="G235" s="101"/>
      <c r="H235" s="101"/>
      <c r="I235" s="101"/>
      <c r="J235" s="101"/>
      <c r="K235" s="101"/>
      <c r="L235" s="101"/>
      <c r="M235" s="101"/>
      <c r="N235" s="101"/>
      <c r="O235" s="101"/>
      <c r="P235" s="101"/>
      <c r="Q235" s="101"/>
      <c r="R235" s="101"/>
      <c r="S235" s="101"/>
      <c r="T235" s="9"/>
      <c r="U235" s="9"/>
      <c r="V235" s="9"/>
      <c r="W235" s="9"/>
      <c r="X235" s="30" t="s">
        <v>38</v>
      </c>
      <c r="Y235" s="31">
        <v>18000</v>
      </c>
      <c r="Z235" s="31">
        <v>18000</v>
      </c>
      <c r="AA235" s="31">
        <v>18000</v>
      </c>
      <c r="AB235" s="31">
        <v>18000</v>
      </c>
      <c r="AC235" s="31">
        <v>18000</v>
      </c>
      <c r="AD235" s="31">
        <v>18000</v>
      </c>
      <c r="AE235" s="31">
        <v>18000</v>
      </c>
      <c r="AF235" s="31">
        <v>18000</v>
      </c>
      <c r="AG235" s="31">
        <v>18000</v>
      </c>
      <c r="AH235" s="31">
        <v>18000</v>
      </c>
      <c r="AI235" s="31">
        <v>18000</v>
      </c>
      <c r="AJ235" s="31">
        <v>18000</v>
      </c>
      <c r="AK235" s="31">
        <v>18000</v>
      </c>
      <c r="AL235" s="31">
        <v>18000</v>
      </c>
      <c r="AM235" s="31">
        <v>18000</v>
      </c>
      <c r="AN235" s="31">
        <v>18000</v>
      </c>
      <c r="AO235" s="31">
        <v>18000</v>
      </c>
      <c r="AP235" s="31">
        <v>18000</v>
      </c>
      <c r="AQ235" s="31">
        <v>18000</v>
      </c>
      <c r="AR235" s="31">
        <v>18000</v>
      </c>
      <c r="AS235" s="31">
        <v>18000</v>
      </c>
      <c r="AT235" s="31">
        <v>18000</v>
      </c>
      <c r="AU235" s="31">
        <v>18000</v>
      </c>
      <c r="AV235" s="31">
        <v>18000</v>
      </c>
      <c r="AW235" s="31">
        <v>18000</v>
      </c>
      <c r="AX235" s="31">
        <v>18000</v>
      </c>
      <c r="AY235" s="31">
        <v>18000</v>
      </c>
      <c r="AZ235" s="31">
        <v>18000</v>
      </c>
      <c r="BA235" s="31">
        <v>18000</v>
      </c>
      <c r="BB235" s="31">
        <v>18000</v>
      </c>
      <c r="BC235" s="31">
        <v>18000</v>
      </c>
      <c r="BD235" s="31">
        <v>18000</v>
      </c>
      <c r="BE235" s="31">
        <v>18000</v>
      </c>
      <c r="BF235" s="12">
        <f>SUM(Y235:BE235)</f>
        <v>594000</v>
      </c>
    </row>
    <row r="236" spans="2:58" ht="22" customHeight="1">
      <c r="B236" s="102"/>
      <c r="C236" s="102"/>
      <c r="D236" s="102"/>
      <c r="E236" s="102"/>
      <c r="F236" s="102"/>
      <c r="G236" s="102"/>
      <c r="H236" s="102"/>
      <c r="I236" s="102"/>
      <c r="J236" s="102"/>
      <c r="K236" s="102"/>
      <c r="L236" s="102"/>
      <c r="M236" s="102"/>
      <c r="N236" s="102"/>
      <c r="O236" s="102"/>
      <c r="P236" s="102"/>
      <c r="Q236" s="102"/>
      <c r="R236" s="102"/>
      <c r="S236" s="102"/>
      <c r="T236" s="9"/>
      <c r="U236" s="9"/>
      <c r="V236" s="9"/>
      <c r="W236" s="9"/>
      <c r="X236" s="7" t="s">
        <v>11</v>
      </c>
      <c r="Y236" s="3">
        <f t="shared" ref="Y236:BF236" si="83">Y234-Y233</f>
        <v>-1</v>
      </c>
      <c r="Z236" s="3">
        <f t="shared" si="83"/>
        <v>-1</v>
      </c>
      <c r="AA236" s="3">
        <f t="shared" si="83"/>
        <v>-1</v>
      </c>
      <c r="AB236" s="3">
        <f t="shared" si="83"/>
        <v>-1</v>
      </c>
      <c r="AC236" s="3">
        <f t="shared" si="83"/>
        <v>-1</v>
      </c>
      <c r="AD236" s="3">
        <f t="shared" si="83"/>
        <v>-1</v>
      </c>
      <c r="AE236" s="3">
        <f t="shared" si="83"/>
        <v>-1</v>
      </c>
      <c r="AF236" s="3">
        <f t="shared" si="83"/>
        <v>-1</v>
      </c>
      <c r="AG236" s="3">
        <f t="shared" si="83"/>
        <v>-1</v>
      </c>
      <c r="AH236" s="3">
        <f t="shared" si="83"/>
        <v>-1</v>
      </c>
      <c r="AI236" s="3">
        <f t="shared" si="83"/>
        <v>-1</v>
      </c>
      <c r="AJ236" s="3">
        <f t="shared" si="83"/>
        <v>-1</v>
      </c>
      <c r="AK236" s="3">
        <f t="shared" si="83"/>
        <v>-1</v>
      </c>
      <c r="AL236" s="3">
        <f t="shared" si="83"/>
        <v>-1</v>
      </c>
      <c r="AM236" s="3">
        <f t="shared" si="83"/>
        <v>-1</v>
      </c>
      <c r="AN236" s="3">
        <f t="shared" si="83"/>
        <v>-1</v>
      </c>
      <c r="AO236" s="3">
        <f t="shared" si="83"/>
        <v>-1</v>
      </c>
      <c r="AP236" s="3">
        <f t="shared" si="83"/>
        <v>-1</v>
      </c>
      <c r="AQ236" s="3">
        <f t="shared" si="83"/>
        <v>-1</v>
      </c>
      <c r="AR236" s="3">
        <f t="shared" si="83"/>
        <v>-1</v>
      </c>
      <c r="AS236" s="3">
        <f t="shared" si="83"/>
        <v>-1</v>
      </c>
      <c r="AT236" s="3">
        <f t="shared" si="83"/>
        <v>-1</v>
      </c>
      <c r="AU236" s="3">
        <f t="shared" si="83"/>
        <v>-1</v>
      </c>
      <c r="AV236" s="3">
        <f t="shared" si="83"/>
        <v>-1</v>
      </c>
      <c r="AW236" s="3">
        <f t="shared" si="83"/>
        <v>-1</v>
      </c>
      <c r="AX236" s="3">
        <f t="shared" si="83"/>
        <v>-1</v>
      </c>
      <c r="AY236" s="3">
        <f t="shared" si="83"/>
        <v>-1</v>
      </c>
      <c r="AZ236" s="3">
        <f t="shared" si="83"/>
        <v>0</v>
      </c>
      <c r="BA236" s="3">
        <f t="shared" si="83"/>
        <v>0</v>
      </c>
      <c r="BB236" s="3">
        <f t="shared" si="83"/>
        <v>0</v>
      </c>
      <c r="BC236" s="3">
        <f t="shared" si="83"/>
        <v>0</v>
      </c>
      <c r="BD236" s="3">
        <f t="shared" si="83"/>
        <v>0</v>
      </c>
      <c r="BE236" s="3">
        <f t="shared" si="83"/>
        <v>0</v>
      </c>
      <c r="BF236" s="10">
        <f t="shared" si="83"/>
        <v>-27</v>
      </c>
    </row>
    <row r="237" spans="2:58" ht="22" customHeight="1">
      <c r="B237" s="107">
        <v>64</v>
      </c>
      <c r="C237" s="117" t="s">
        <v>164</v>
      </c>
      <c r="D237" s="108" t="s">
        <v>165</v>
      </c>
      <c r="E237" s="103"/>
      <c r="F237" s="109"/>
      <c r="G237" s="106">
        <f>SUM(Y237:AZ237)</f>
        <v>20</v>
      </c>
      <c r="H237" s="106">
        <f>SUM(Y238:AZ238)</f>
        <v>0</v>
      </c>
      <c r="I237" s="111"/>
      <c r="J237" s="112">
        <f>IFERROR(H237/G237,0)</f>
        <v>0</v>
      </c>
      <c r="K237" s="110">
        <v>0.22222222222222221</v>
      </c>
      <c r="L237" s="110">
        <v>0.22222222222222221</v>
      </c>
      <c r="M237" s="111"/>
      <c r="N237" s="111"/>
      <c r="O237" s="111"/>
      <c r="P237" s="111"/>
      <c r="Q237" s="111"/>
      <c r="R237" s="111"/>
      <c r="S237" s="103" t="s">
        <v>37</v>
      </c>
      <c r="T237" s="39"/>
      <c r="U237" s="39"/>
      <c r="V237" s="39"/>
      <c r="W237" s="39"/>
      <c r="X237" s="33" t="s">
        <v>31</v>
      </c>
      <c r="Y237" s="40">
        <v>1</v>
      </c>
      <c r="Z237" s="40">
        <v>1</v>
      </c>
      <c r="AA237" s="40">
        <v>1</v>
      </c>
      <c r="AB237" s="40">
        <v>1</v>
      </c>
      <c r="AC237" s="40">
        <v>1</v>
      </c>
      <c r="AD237" s="40">
        <v>1</v>
      </c>
      <c r="AE237" s="40">
        <v>1</v>
      </c>
      <c r="AF237" s="40">
        <v>1</v>
      </c>
      <c r="AG237" s="40">
        <v>1</v>
      </c>
      <c r="AH237" s="40">
        <v>1</v>
      </c>
      <c r="AI237" s="40">
        <v>1</v>
      </c>
      <c r="AJ237" s="40">
        <v>1</v>
      </c>
      <c r="AK237" s="40">
        <v>1</v>
      </c>
      <c r="AL237" s="40">
        <v>1</v>
      </c>
      <c r="AM237" s="40">
        <v>1</v>
      </c>
      <c r="AN237" s="40">
        <v>1</v>
      </c>
      <c r="AO237" s="40">
        <v>1</v>
      </c>
      <c r="AP237" s="40">
        <v>1</v>
      </c>
      <c r="AQ237" s="40">
        <v>1</v>
      </c>
      <c r="AR237" s="40">
        <v>1</v>
      </c>
      <c r="AS237" s="40">
        <v>0</v>
      </c>
      <c r="AT237" s="40">
        <v>0</v>
      </c>
      <c r="AU237" s="40">
        <v>0</v>
      </c>
      <c r="AV237" s="40">
        <v>0</v>
      </c>
      <c r="AW237" s="40">
        <v>0</v>
      </c>
      <c r="AX237" s="40">
        <v>0</v>
      </c>
      <c r="AY237" s="40">
        <v>0</v>
      </c>
      <c r="AZ237" s="40">
        <v>0</v>
      </c>
      <c r="BA237" s="40">
        <v>0</v>
      </c>
      <c r="BB237" s="40">
        <v>0</v>
      </c>
      <c r="BC237" s="40">
        <v>0</v>
      </c>
      <c r="BD237" s="40">
        <v>0</v>
      </c>
      <c r="BE237" s="40">
        <v>0</v>
      </c>
      <c r="BF237" s="10">
        <f>SUM(Y237:BE237)</f>
        <v>20</v>
      </c>
    </row>
    <row r="238" spans="2:58" ht="22" customHeight="1">
      <c r="B238" s="101"/>
      <c r="C238" s="101"/>
      <c r="D238" s="101"/>
      <c r="E238" s="101"/>
      <c r="F238" s="101"/>
      <c r="G238" s="101"/>
      <c r="H238" s="101"/>
      <c r="I238" s="101"/>
      <c r="J238" s="101"/>
      <c r="K238" s="101"/>
      <c r="L238" s="101"/>
      <c r="M238" s="101"/>
      <c r="N238" s="101"/>
      <c r="O238" s="101"/>
      <c r="P238" s="101"/>
      <c r="Q238" s="101"/>
      <c r="R238" s="101"/>
      <c r="S238" s="101"/>
      <c r="T238" s="39"/>
      <c r="U238" s="39"/>
      <c r="V238" s="39"/>
      <c r="W238" s="39"/>
      <c r="X238" s="33" t="s">
        <v>10</v>
      </c>
      <c r="Y238" s="41"/>
      <c r="Z238" s="41"/>
      <c r="AA238" s="41"/>
      <c r="AB238" s="41"/>
      <c r="AC238" s="41"/>
      <c r="AD238" s="41"/>
      <c r="AE238" s="41"/>
      <c r="AF238" s="41"/>
      <c r="AG238" s="41"/>
      <c r="AH238" s="41"/>
      <c r="AI238" s="41"/>
      <c r="AJ238" s="41"/>
      <c r="AK238" s="41"/>
      <c r="AL238" s="41"/>
      <c r="AM238" s="41"/>
      <c r="AN238" s="41"/>
      <c r="AO238" s="41"/>
      <c r="AP238" s="41"/>
      <c r="AQ238" s="41"/>
      <c r="AR238" s="41"/>
      <c r="AS238" s="41"/>
      <c r="AT238" s="41"/>
      <c r="AU238" s="41"/>
      <c r="AV238" s="41"/>
      <c r="AW238" s="41"/>
      <c r="AX238" s="41"/>
      <c r="AY238" s="41"/>
      <c r="AZ238" s="41"/>
      <c r="BA238" s="41"/>
      <c r="BB238" s="41"/>
      <c r="BC238" s="41"/>
      <c r="BD238" s="41"/>
      <c r="BE238" s="41"/>
      <c r="BF238" s="10">
        <f>SUM(Y238:BE238)</f>
        <v>0</v>
      </c>
    </row>
    <row r="239" spans="2:58" ht="22" customHeight="1">
      <c r="B239" s="101"/>
      <c r="C239" s="101"/>
      <c r="D239" s="101"/>
      <c r="E239" s="101"/>
      <c r="F239" s="101"/>
      <c r="G239" s="101"/>
      <c r="H239" s="101"/>
      <c r="I239" s="101"/>
      <c r="J239" s="101"/>
      <c r="K239" s="101"/>
      <c r="L239" s="101"/>
      <c r="M239" s="101"/>
      <c r="N239" s="101"/>
      <c r="O239" s="101"/>
      <c r="P239" s="101"/>
      <c r="Q239" s="101"/>
      <c r="R239" s="101"/>
      <c r="S239" s="101"/>
      <c r="T239" s="39"/>
      <c r="U239" s="39"/>
      <c r="V239" s="39"/>
      <c r="W239" s="39"/>
      <c r="X239" s="42" t="s">
        <v>38</v>
      </c>
      <c r="Y239" s="43">
        <v>4500</v>
      </c>
      <c r="Z239" s="43">
        <v>4500</v>
      </c>
      <c r="AA239" s="43">
        <v>4500</v>
      </c>
      <c r="AB239" s="43">
        <v>4500</v>
      </c>
      <c r="AC239" s="43">
        <v>4500</v>
      </c>
      <c r="AD239" s="43">
        <v>4500</v>
      </c>
      <c r="AE239" s="43">
        <v>4500</v>
      </c>
      <c r="AF239" s="43">
        <v>4500</v>
      </c>
      <c r="AG239" s="43">
        <v>4500</v>
      </c>
      <c r="AH239" s="43">
        <v>4500</v>
      </c>
      <c r="AI239" s="43">
        <v>4500</v>
      </c>
      <c r="AJ239" s="43">
        <v>4500</v>
      </c>
      <c r="AK239" s="43">
        <v>4500</v>
      </c>
      <c r="AL239" s="43">
        <v>4500</v>
      </c>
      <c r="AM239" s="43">
        <v>4500</v>
      </c>
      <c r="AN239" s="43">
        <v>4500</v>
      </c>
      <c r="AO239" s="43">
        <v>4500</v>
      </c>
      <c r="AP239" s="43">
        <v>4500</v>
      </c>
      <c r="AQ239" s="43">
        <v>4500</v>
      </c>
      <c r="AR239" s="43">
        <v>4500</v>
      </c>
      <c r="AS239" s="43">
        <v>4500</v>
      </c>
      <c r="AT239" s="43">
        <v>4500</v>
      </c>
      <c r="AU239" s="43">
        <v>4500</v>
      </c>
      <c r="AV239" s="43">
        <v>4500</v>
      </c>
      <c r="AW239" s="43">
        <v>4500</v>
      </c>
      <c r="AX239" s="43">
        <v>4500</v>
      </c>
      <c r="AY239" s="43">
        <v>4500</v>
      </c>
      <c r="AZ239" s="43">
        <v>4500</v>
      </c>
      <c r="BA239" s="43">
        <v>4500</v>
      </c>
      <c r="BB239" s="43">
        <v>4500</v>
      </c>
      <c r="BC239" s="43">
        <v>4500</v>
      </c>
      <c r="BD239" s="43">
        <v>4500</v>
      </c>
      <c r="BE239" s="43">
        <v>4500</v>
      </c>
      <c r="BF239" s="12">
        <f>SUM(Y239:BE239)</f>
        <v>148500</v>
      </c>
    </row>
    <row r="240" spans="2:58" ht="22" customHeight="1">
      <c r="B240" s="102"/>
      <c r="C240" s="102"/>
      <c r="D240" s="102"/>
      <c r="E240" s="102"/>
      <c r="F240" s="102"/>
      <c r="G240" s="102"/>
      <c r="H240" s="102"/>
      <c r="I240" s="102"/>
      <c r="J240" s="102"/>
      <c r="K240" s="102"/>
      <c r="L240" s="102"/>
      <c r="M240" s="102"/>
      <c r="N240" s="102"/>
      <c r="O240" s="102"/>
      <c r="P240" s="102"/>
      <c r="Q240" s="102"/>
      <c r="R240" s="102"/>
      <c r="S240" s="102"/>
      <c r="T240" s="39"/>
      <c r="U240" s="39"/>
      <c r="V240" s="39"/>
      <c r="W240" s="39"/>
      <c r="X240" s="33" t="s">
        <v>11</v>
      </c>
      <c r="Y240" s="36">
        <f t="shared" ref="Y240:BF240" si="84">Y238-Y237</f>
        <v>-1</v>
      </c>
      <c r="Z240" s="36">
        <f t="shared" si="84"/>
        <v>-1</v>
      </c>
      <c r="AA240" s="36">
        <f t="shared" si="84"/>
        <v>-1</v>
      </c>
      <c r="AB240" s="36">
        <f t="shared" si="84"/>
        <v>-1</v>
      </c>
      <c r="AC240" s="36">
        <f t="shared" si="84"/>
        <v>-1</v>
      </c>
      <c r="AD240" s="36">
        <f t="shared" si="84"/>
        <v>-1</v>
      </c>
      <c r="AE240" s="36">
        <f t="shared" si="84"/>
        <v>-1</v>
      </c>
      <c r="AF240" s="36">
        <f t="shared" si="84"/>
        <v>-1</v>
      </c>
      <c r="AG240" s="36">
        <f t="shared" si="84"/>
        <v>-1</v>
      </c>
      <c r="AH240" s="36">
        <f t="shared" si="84"/>
        <v>-1</v>
      </c>
      <c r="AI240" s="36">
        <f t="shared" si="84"/>
        <v>-1</v>
      </c>
      <c r="AJ240" s="36">
        <f t="shared" si="84"/>
        <v>-1</v>
      </c>
      <c r="AK240" s="36">
        <f t="shared" si="84"/>
        <v>-1</v>
      </c>
      <c r="AL240" s="36">
        <f t="shared" si="84"/>
        <v>-1</v>
      </c>
      <c r="AM240" s="36">
        <f t="shared" si="84"/>
        <v>-1</v>
      </c>
      <c r="AN240" s="36">
        <f t="shared" si="84"/>
        <v>-1</v>
      </c>
      <c r="AO240" s="36">
        <f t="shared" si="84"/>
        <v>-1</v>
      </c>
      <c r="AP240" s="36">
        <f t="shared" si="84"/>
        <v>-1</v>
      </c>
      <c r="AQ240" s="36">
        <f t="shared" si="84"/>
        <v>-1</v>
      </c>
      <c r="AR240" s="36">
        <f t="shared" si="84"/>
        <v>-1</v>
      </c>
      <c r="AS240" s="36">
        <f t="shared" si="84"/>
        <v>0</v>
      </c>
      <c r="AT240" s="36">
        <f t="shared" si="84"/>
        <v>0</v>
      </c>
      <c r="AU240" s="36">
        <f t="shared" si="84"/>
        <v>0</v>
      </c>
      <c r="AV240" s="36">
        <f t="shared" si="84"/>
        <v>0</v>
      </c>
      <c r="AW240" s="36">
        <f t="shared" si="84"/>
        <v>0</v>
      </c>
      <c r="AX240" s="36">
        <f t="shared" si="84"/>
        <v>0</v>
      </c>
      <c r="AY240" s="36">
        <f t="shared" si="84"/>
        <v>0</v>
      </c>
      <c r="AZ240" s="36">
        <f t="shared" si="84"/>
        <v>0</v>
      </c>
      <c r="BA240" s="36">
        <f t="shared" si="84"/>
        <v>0</v>
      </c>
      <c r="BB240" s="36">
        <f t="shared" si="84"/>
        <v>0</v>
      </c>
      <c r="BC240" s="36">
        <f t="shared" si="84"/>
        <v>0</v>
      </c>
      <c r="BD240" s="36">
        <f t="shared" si="84"/>
        <v>0</v>
      </c>
      <c r="BE240" s="36">
        <f t="shared" si="84"/>
        <v>0</v>
      </c>
      <c r="BF240" s="10">
        <f t="shared" si="84"/>
        <v>-20</v>
      </c>
    </row>
    <row r="241" spans="2:58" ht="22" customHeight="1">
      <c r="B241" s="104">
        <v>65</v>
      </c>
      <c r="C241" s="118" t="s">
        <v>166</v>
      </c>
      <c r="D241" s="105" t="s">
        <v>167</v>
      </c>
      <c r="E241" s="115"/>
      <c r="F241" s="119"/>
      <c r="G241" s="114">
        <f>SUM(Y241:AZ241)</f>
        <v>28</v>
      </c>
      <c r="H241" s="114">
        <f>SUM(Y242:AZ242)</f>
        <v>0</v>
      </c>
      <c r="I241" s="100"/>
      <c r="J241" s="116">
        <f>IFERROR(H241/G241,0)</f>
        <v>0</v>
      </c>
      <c r="K241" s="113">
        <v>0.1</v>
      </c>
      <c r="L241" s="113">
        <v>0.1</v>
      </c>
      <c r="M241" s="100"/>
      <c r="N241" s="100"/>
      <c r="O241" s="100"/>
      <c r="P241" s="100"/>
      <c r="Q241" s="100"/>
      <c r="R241" s="100"/>
      <c r="S241" s="115" t="s">
        <v>47</v>
      </c>
      <c r="T241" s="9"/>
      <c r="U241" s="9"/>
      <c r="V241" s="9"/>
      <c r="W241" s="9"/>
      <c r="X241" s="7" t="s">
        <v>31</v>
      </c>
      <c r="Y241" s="29">
        <v>1</v>
      </c>
      <c r="Z241" s="29">
        <v>1</v>
      </c>
      <c r="AA241" s="29">
        <v>1</v>
      </c>
      <c r="AB241" s="29">
        <v>1</v>
      </c>
      <c r="AC241" s="29">
        <v>1</v>
      </c>
      <c r="AD241" s="29">
        <v>1</v>
      </c>
      <c r="AE241" s="29">
        <v>1</v>
      </c>
      <c r="AF241" s="29">
        <v>1</v>
      </c>
      <c r="AG241" s="29">
        <v>1</v>
      </c>
      <c r="AH241" s="29">
        <v>1</v>
      </c>
      <c r="AI241" s="29">
        <v>1</v>
      </c>
      <c r="AJ241" s="29">
        <v>1</v>
      </c>
      <c r="AK241" s="29">
        <v>1</v>
      </c>
      <c r="AL241" s="29">
        <v>1</v>
      </c>
      <c r="AM241" s="29">
        <v>1</v>
      </c>
      <c r="AN241" s="29">
        <v>1</v>
      </c>
      <c r="AO241" s="29">
        <v>1</v>
      </c>
      <c r="AP241" s="29">
        <v>1</v>
      </c>
      <c r="AQ241" s="29">
        <v>1</v>
      </c>
      <c r="AR241" s="29">
        <v>1</v>
      </c>
      <c r="AS241" s="29">
        <v>1</v>
      </c>
      <c r="AT241" s="29">
        <v>1</v>
      </c>
      <c r="AU241" s="29">
        <v>1</v>
      </c>
      <c r="AV241" s="29">
        <v>1</v>
      </c>
      <c r="AW241" s="29">
        <v>1</v>
      </c>
      <c r="AX241" s="29">
        <v>1</v>
      </c>
      <c r="AY241" s="29">
        <v>1</v>
      </c>
      <c r="AZ241" s="29">
        <v>1</v>
      </c>
      <c r="BA241" s="29">
        <v>1</v>
      </c>
      <c r="BB241" s="29">
        <v>1</v>
      </c>
      <c r="BC241" s="29">
        <v>1</v>
      </c>
      <c r="BD241" s="29">
        <v>1</v>
      </c>
      <c r="BE241" s="29">
        <v>1</v>
      </c>
      <c r="BF241" s="10">
        <f>SUM(Y241:BE241)</f>
        <v>33</v>
      </c>
    </row>
    <row r="242" spans="2:58" ht="22" customHeight="1">
      <c r="B242" s="101"/>
      <c r="C242" s="101"/>
      <c r="D242" s="101"/>
      <c r="E242" s="101"/>
      <c r="F242" s="101"/>
      <c r="G242" s="101"/>
      <c r="H242" s="101"/>
      <c r="I242" s="101"/>
      <c r="J242" s="101"/>
      <c r="K242" s="101"/>
      <c r="L242" s="101"/>
      <c r="M242" s="101"/>
      <c r="N242" s="101"/>
      <c r="O242" s="101"/>
      <c r="P242" s="101"/>
      <c r="Q242" s="101"/>
      <c r="R242" s="101"/>
      <c r="S242" s="101"/>
      <c r="T242" s="9"/>
      <c r="U242" s="9"/>
      <c r="V242" s="9"/>
      <c r="W242" s="9"/>
      <c r="X242" s="7" t="s">
        <v>10</v>
      </c>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0">
        <f>SUM(Y242:BE242)</f>
        <v>0</v>
      </c>
    </row>
    <row r="243" spans="2:58" ht="22" customHeight="1">
      <c r="B243" s="102"/>
      <c r="C243" s="102"/>
      <c r="D243" s="102"/>
      <c r="E243" s="102"/>
      <c r="F243" s="102"/>
      <c r="G243" s="102"/>
      <c r="H243" s="102"/>
      <c r="I243" s="102"/>
      <c r="J243" s="102"/>
      <c r="K243" s="102"/>
      <c r="L243" s="102"/>
      <c r="M243" s="102"/>
      <c r="N243" s="102"/>
      <c r="O243" s="102"/>
      <c r="P243" s="102"/>
      <c r="Q243" s="102"/>
      <c r="R243" s="102"/>
      <c r="S243" s="102"/>
      <c r="T243" s="9"/>
      <c r="U243" s="9"/>
      <c r="V243" s="9"/>
      <c r="W243" s="9"/>
      <c r="X243" s="7" t="s">
        <v>11</v>
      </c>
      <c r="Y243" s="3">
        <f t="shared" ref="Y243:BF243" si="85">Y242-Y241</f>
        <v>-1</v>
      </c>
      <c r="Z243" s="3">
        <f t="shared" si="85"/>
        <v>-1</v>
      </c>
      <c r="AA243" s="3">
        <f t="shared" si="85"/>
        <v>-1</v>
      </c>
      <c r="AB243" s="3">
        <f t="shared" si="85"/>
        <v>-1</v>
      </c>
      <c r="AC243" s="3">
        <f t="shared" si="85"/>
        <v>-1</v>
      </c>
      <c r="AD243" s="3">
        <f t="shared" si="85"/>
        <v>-1</v>
      </c>
      <c r="AE243" s="3">
        <f t="shared" si="85"/>
        <v>-1</v>
      </c>
      <c r="AF243" s="3">
        <f t="shared" si="85"/>
        <v>-1</v>
      </c>
      <c r="AG243" s="3">
        <f t="shared" si="85"/>
        <v>-1</v>
      </c>
      <c r="AH243" s="3">
        <f t="shared" si="85"/>
        <v>-1</v>
      </c>
      <c r="AI243" s="3">
        <f t="shared" si="85"/>
        <v>-1</v>
      </c>
      <c r="AJ243" s="3">
        <f t="shared" si="85"/>
        <v>-1</v>
      </c>
      <c r="AK243" s="3">
        <f t="shared" si="85"/>
        <v>-1</v>
      </c>
      <c r="AL243" s="3">
        <f t="shared" si="85"/>
        <v>-1</v>
      </c>
      <c r="AM243" s="3">
        <f t="shared" si="85"/>
        <v>-1</v>
      </c>
      <c r="AN243" s="3">
        <f t="shared" si="85"/>
        <v>-1</v>
      </c>
      <c r="AO243" s="3">
        <f t="shared" si="85"/>
        <v>-1</v>
      </c>
      <c r="AP243" s="3">
        <f t="shared" si="85"/>
        <v>-1</v>
      </c>
      <c r="AQ243" s="3">
        <f t="shared" si="85"/>
        <v>-1</v>
      </c>
      <c r="AR243" s="3">
        <f t="shared" si="85"/>
        <v>-1</v>
      </c>
      <c r="AS243" s="3">
        <f t="shared" si="85"/>
        <v>-1</v>
      </c>
      <c r="AT243" s="3">
        <f t="shared" si="85"/>
        <v>-1</v>
      </c>
      <c r="AU243" s="3">
        <f t="shared" si="85"/>
        <v>-1</v>
      </c>
      <c r="AV243" s="3">
        <f t="shared" si="85"/>
        <v>-1</v>
      </c>
      <c r="AW243" s="3">
        <f t="shared" si="85"/>
        <v>-1</v>
      </c>
      <c r="AX243" s="3">
        <f t="shared" si="85"/>
        <v>-1</v>
      </c>
      <c r="AY243" s="3">
        <f t="shared" si="85"/>
        <v>-1</v>
      </c>
      <c r="AZ243" s="3">
        <f t="shared" si="85"/>
        <v>-1</v>
      </c>
      <c r="BA243" s="3">
        <f t="shared" si="85"/>
        <v>-1</v>
      </c>
      <c r="BB243" s="3">
        <f t="shared" si="85"/>
        <v>-1</v>
      </c>
      <c r="BC243" s="3">
        <f t="shared" si="85"/>
        <v>-1</v>
      </c>
      <c r="BD243" s="3">
        <f t="shared" si="85"/>
        <v>-1</v>
      </c>
      <c r="BE243" s="3">
        <f t="shared" si="85"/>
        <v>-1</v>
      </c>
      <c r="BF243" s="10">
        <f t="shared" si="85"/>
        <v>-33</v>
      </c>
    </row>
    <row r="244" spans="2:58" ht="22" customHeight="1">
      <c r="B244" s="107">
        <v>66</v>
      </c>
      <c r="C244" s="117" t="s">
        <v>168</v>
      </c>
      <c r="D244" s="108" t="s">
        <v>169</v>
      </c>
      <c r="E244" s="103"/>
      <c r="F244" s="109"/>
      <c r="G244" s="106">
        <f>SUM(Y244:AZ244)</f>
        <v>145</v>
      </c>
      <c r="H244" s="106">
        <f>SUM(Y245:AZ245)</f>
        <v>0</v>
      </c>
      <c r="I244" s="111"/>
      <c r="J244" s="112">
        <f>IFERROR(H244/G244,0)</f>
        <v>0</v>
      </c>
      <c r="K244" s="110">
        <v>0.25641025641025639</v>
      </c>
      <c r="L244" s="110">
        <v>0.25641025641025639</v>
      </c>
      <c r="M244" s="111"/>
      <c r="N244" s="111"/>
      <c r="O244" s="111"/>
      <c r="P244" s="111"/>
      <c r="Q244" s="111"/>
      <c r="R244" s="111"/>
      <c r="S244" s="103" t="s">
        <v>47</v>
      </c>
      <c r="T244" s="39"/>
      <c r="U244" s="39"/>
      <c r="V244" s="39"/>
      <c r="W244" s="39"/>
      <c r="X244" s="33" t="s">
        <v>31</v>
      </c>
      <c r="Y244" s="40">
        <v>8</v>
      </c>
      <c r="Z244" s="40">
        <v>8</v>
      </c>
      <c r="AA244" s="40">
        <v>8</v>
      </c>
      <c r="AB244" s="40">
        <v>8</v>
      </c>
      <c r="AC244" s="40">
        <v>8</v>
      </c>
      <c r="AD244" s="40">
        <v>8</v>
      </c>
      <c r="AE244" s="40">
        <v>8</v>
      </c>
      <c r="AF244" s="40">
        <v>8</v>
      </c>
      <c r="AG244" s="40">
        <v>11</v>
      </c>
      <c r="AH244" s="40">
        <v>11</v>
      </c>
      <c r="AI244" s="40">
        <v>8</v>
      </c>
      <c r="AJ244" s="40">
        <v>3</v>
      </c>
      <c r="AK244" s="40">
        <v>3</v>
      </c>
      <c r="AL244" s="40">
        <v>3</v>
      </c>
      <c r="AM244" s="40">
        <v>3</v>
      </c>
      <c r="AN244" s="40">
        <v>3</v>
      </c>
      <c r="AO244" s="40">
        <v>3</v>
      </c>
      <c r="AP244" s="40">
        <v>3</v>
      </c>
      <c r="AQ244" s="40">
        <v>3</v>
      </c>
      <c r="AR244" s="40">
        <v>3</v>
      </c>
      <c r="AS244" s="40">
        <v>3</v>
      </c>
      <c r="AT244" s="40">
        <v>3</v>
      </c>
      <c r="AU244" s="40">
        <v>3</v>
      </c>
      <c r="AV244" s="40">
        <v>3</v>
      </c>
      <c r="AW244" s="40">
        <v>3</v>
      </c>
      <c r="AX244" s="40">
        <v>3</v>
      </c>
      <c r="AY244" s="40">
        <v>3</v>
      </c>
      <c r="AZ244" s="40">
        <v>3</v>
      </c>
      <c r="BA244" s="40">
        <v>3</v>
      </c>
      <c r="BB244" s="40">
        <v>3</v>
      </c>
      <c r="BC244" s="40">
        <v>3</v>
      </c>
      <c r="BD244" s="40">
        <v>2</v>
      </c>
      <c r="BE244" s="40">
        <v>2</v>
      </c>
      <c r="BF244" s="10">
        <f>SUM(Y244:BE244)</f>
        <v>158</v>
      </c>
    </row>
    <row r="245" spans="2:58" ht="22" customHeight="1">
      <c r="B245" s="101"/>
      <c r="C245" s="101"/>
      <c r="D245" s="101"/>
      <c r="E245" s="101"/>
      <c r="F245" s="101"/>
      <c r="G245" s="101"/>
      <c r="H245" s="101"/>
      <c r="I245" s="101"/>
      <c r="J245" s="101"/>
      <c r="K245" s="101"/>
      <c r="L245" s="101"/>
      <c r="M245" s="101"/>
      <c r="N245" s="101"/>
      <c r="O245" s="101"/>
      <c r="P245" s="101"/>
      <c r="Q245" s="101"/>
      <c r="R245" s="101"/>
      <c r="S245" s="101"/>
      <c r="T245" s="39"/>
      <c r="U245" s="39"/>
      <c r="V245" s="39"/>
      <c r="W245" s="39"/>
      <c r="X245" s="33" t="s">
        <v>10</v>
      </c>
      <c r="Y245" s="41"/>
      <c r="Z245" s="41"/>
      <c r="AA245" s="41"/>
      <c r="AB245" s="41"/>
      <c r="AC245" s="41"/>
      <c r="AD245" s="41"/>
      <c r="AE245" s="41"/>
      <c r="AF245" s="41"/>
      <c r="AG245" s="41"/>
      <c r="AH245" s="41"/>
      <c r="AI245" s="41"/>
      <c r="AJ245" s="41"/>
      <c r="AK245" s="41"/>
      <c r="AL245" s="41"/>
      <c r="AM245" s="41"/>
      <c r="AN245" s="41"/>
      <c r="AO245" s="41"/>
      <c r="AP245" s="41"/>
      <c r="AQ245" s="41"/>
      <c r="AR245" s="41"/>
      <c r="AS245" s="41"/>
      <c r="AT245" s="41"/>
      <c r="AU245" s="41"/>
      <c r="AV245" s="41"/>
      <c r="AW245" s="41"/>
      <c r="AX245" s="41"/>
      <c r="AY245" s="41"/>
      <c r="AZ245" s="41"/>
      <c r="BA245" s="41"/>
      <c r="BB245" s="41"/>
      <c r="BC245" s="41"/>
      <c r="BD245" s="41"/>
      <c r="BE245" s="41"/>
      <c r="BF245" s="10">
        <f>SUM(Y245:BE245)</f>
        <v>0</v>
      </c>
    </row>
    <row r="246" spans="2:58" ht="22" customHeight="1">
      <c r="B246" s="102"/>
      <c r="C246" s="102"/>
      <c r="D246" s="102"/>
      <c r="E246" s="102"/>
      <c r="F246" s="102"/>
      <c r="G246" s="102"/>
      <c r="H246" s="102"/>
      <c r="I246" s="102"/>
      <c r="J246" s="102"/>
      <c r="K246" s="102"/>
      <c r="L246" s="102"/>
      <c r="M246" s="102"/>
      <c r="N246" s="102"/>
      <c r="O246" s="102"/>
      <c r="P246" s="102"/>
      <c r="Q246" s="102"/>
      <c r="R246" s="102"/>
      <c r="S246" s="102"/>
      <c r="T246" s="39"/>
      <c r="U246" s="39"/>
      <c r="V246" s="39"/>
      <c r="W246" s="39"/>
      <c r="X246" s="33" t="s">
        <v>11</v>
      </c>
      <c r="Y246" s="36">
        <f t="shared" ref="Y246:BF246" si="86">Y245-Y244</f>
        <v>-8</v>
      </c>
      <c r="Z246" s="36">
        <f t="shared" si="86"/>
        <v>-8</v>
      </c>
      <c r="AA246" s="36">
        <f t="shared" si="86"/>
        <v>-8</v>
      </c>
      <c r="AB246" s="36">
        <f t="shared" si="86"/>
        <v>-8</v>
      </c>
      <c r="AC246" s="36">
        <f t="shared" si="86"/>
        <v>-8</v>
      </c>
      <c r="AD246" s="36">
        <f t="shared" si="86"/>
        <v>-8</v>
      </c>
      <c r="AE246" s="36">
        <f t="shared" si="86"/>
        <v>-8</v>
      </c>
      <c r="AF246" s="36">
        <f t="shared" si="86"/>
        <v>-8</v>
      </c>
      <c r="AG246" s="36">
        <f t="shared" si="86"/>
        <v>-11</v>
      </c>
      <c r="AH246" s="36">
        <f t="shared" si="86"/>
        <v>-11</v>
      </c>
      <c r="AI246" s="36">
        <f t="shared" si="86"/>
        <v>-8</v>
      </c>
      <c r="AJ246" s="36">
        <f t="shared" si="86"/>
        <v>-3</v>
      </c>
      <c r="AK246" s="36">
        <f t="shared" si="86"/>
        <v>-3</v>
      </c>
      <c r="AL246" s="36">
        <f t="shared" si="86"/>
        <v>-3</v>
      </c>
      <c r="AM246" s="36">
        <f t="shared" si="86"/>
        <v>-3</v>
      </c>
      <c r="AN246" s="36">
        <f t="shared" si="86"/>
        <v>-3</v>
      </c>
      <c r="AO246" s="36">
        <f t="shared" si="86"/>
        <v>-3</v>
      </c>
      <c r="AP246" s="36">
        <f t="shared" si="86"/>
        <v>-3</v>
      </c>
      <c r="AQ246" s="36">
        <f t="shared" si="86"/>
        <v>-3</v>
      </c>
      <c r="AR246" s="36">
        <f t="shared" si="86"/>
        <v>-3</v>
      </c>
      <c r="AS246" s="36">
        <f t="shared" si="86"/>
        <v>-3</v>
      </c>
      <c r="AT246" s="36">
        <f t="shared" si="86"/>
        <v>-3</v>
      </c>
      <c r="AU246" s="36">
        <f t="shared" si="86"/>
        <v>-3</v>
      </c>
      <c r="AV246" s="36">
        <f t="shared" si="86"/>
        <v>-3</v>
      </c>
      <c r="AW246" s="36">
        <f t="shared" si="86"/>
        <v>-3</v>
      </c>
      <c r="AX246" s="36">
        <f t="shared" si="86"/>
        <v>-3</v>
      </c>
      <c r="AY246" s="36">
        <f t="shared" si="86"/>
        <v>-3</v>
      </c>
      <c r="AZ246" s="36">
        <f t="shared" si="86"/>
        <v>-3</v>
      </c>
      <c r="BA246" s="36">
        <f t="shared" si="86"/>
        <v>-3</v>
      </c>
      <c r="BB246" s="36">
        <f t="shared" si="86"/>
        <v>-3</v>
      </c>
      <c r="BC246" s="36">
        <f t="shared" si="86"/>
        <v>-3</v>
      </c>
      <c r="BD246" s="36">
        <f t="shared" si="86"/>
        <v>-2</v>
      </c>
      <c r="BE246" s="36">
        <f t="shared" si="86"/>
        <v>-2</v>
      </c>
      <c r="BF246" s="10">
        <f t="shared" si="86"/>
        <v>-158</v>
      </c>
    </row>
    <row r="247" spans="2:58" ht="22" customHeight="1">
      <c r="B247" s="104">
        <v>67</v>
      </c>
      <c r="C247" s="118" t="s">
        <v>94</v>
      </c>
      <c r="D247" s="105" t="s">
        <v>170</v>
      </c>
      <c r="E247" s="115"/>
      <c r="F247" s="119"/>
      <c r="G247" s="114">
        <f>SUM(Y247:AZ247)</f>
        <v>6</v>
      </c>
      <c r="H247" s="114">
        <f>SUM(Y248:AZ248)</f>
        <v>0</v>
      </c>
      <c r="I247" s="100"/>
      <c r="J247" s="116">
        <f>IFERROR(H247/G247,0)</f>
        <v>0</v>
      </c>
      <c r="K247" s="113">
        <v>0.1</v>
      </c>
      <c r="L247" s="113">
        <v>0.1</v>
      </c>
      <c r="M247" s="100"/>
      <c r="N247" s="100"/>
      <c r="O247" s="100"/>
      <c r="P247" s="100"/>
      <c r="Q247" s="100"/>
      <c r="R247" s="100"/>
      <c r="S247" s="115" t="s">
        <v>37</v>
      </c>
      <c r="T247" s="9"/>
      <c r="U247" s="9"/>
      <c r="V247" s="9"/>
      <c r="W247" s="9"/>
      <c r="X247" s="7" t="s">
        <v>31</v>
      </c>
      <c r="Y247" s="29">
        <v>0</v>
      </c>
      <c r="Z247" s="29">
        <v>2</v>
      </c>
      <c r="AA247" s="29">
        <v>2</v>
      </c>
      <c r="AB247" s="29">
        <v>0</v>
      </c>
      <c r="AC247" s="29">
        <v>0</v>
      </c>
      <c r="AD247" s="29">
        <v>0</v>
      </c>
      <c r="AE247" s="29">
        <v>0</v>
      </c>
      <c r="AF247" s="29">
        <v>0</v>
      </c>
      <c r="AG247" s="29">
        <v>2</v>
      </c>
      <c r="AH247" s="29">
        <v>0</v>
      </c>
      <c r="AI247" s="29">
        <v>0</v>
      </c>
      <c r="AJ247" s="29">
        <v>0</v>
      </c>
      <c r="AK247" s="29">
        <v>0</v>
      </c>
      <c r="AL247" s="29">
        <v>0</v>
      </c>
      <c r="AM247" s="29">
        <v>0</v>
      </c>
      <c r="AN247" s="29">
        <v>0</v>
      </c>
      <c r="AO247" s="29">
        <v>0</v>
      </c>
      <c r="AP247" s="29">
        <v>0</v>
      </c>
      <c r="AQ247" s="29">
        <v>0</v>
      </c>
      <c r="AR247" s="29">
        <v>0</v>
      </c>
      <c r="AS247" s="29">
        <v>0</v>
      </c>
      <c r="AT247" s="29">
        <v>0</v>
      </c>
      <c r="AU247" s="29">
        <v>0</v>
      </c>
      <c r="AV247" s="29">
        <v>0</v>
      </c>
      <c r="AW247" s="29">
        <v>0</v>
      </c>
      <c r="AX247" s="29">
        <v>0</v>
      </c>
      <c r="AY247" s="29">
        <v>0</v>
      </c>
      <c r="AZ247" s="29">
        <v>0</v>
      </c>
      <c r="BA247" s="29">
        <v>0</v>
      </c>
      <c r="BB247" s="29">
        <v>0</v>
      </c>
      <c r="BC247" s="29">
        <v>0</v>
      </c>
      <c r="BD247" s="29">
        <v>0</v>
      </c>
      <c r="BE247" s="29">
        <v>0</v>
      </c>
      <c r="BF247" s="10">
        <f>SUM(Y247:BE247)</f>
        <v>6</v>
      </c>
    </row>
    <row r="248" spans="2:58" ht="22" customHeight="1">
      <c r="B248" s="101"/>
      <c r="C248" s="101"/>
      <c r="D248" s="101"/>
      <c r="E248" s="101"/>
      <c r="F248" s="101"/>
      <c r="G248" s="101"/>
      <c r="H248" s="101"/>
      <c r="I248" s="101"/>
      <c r="J248" s="101"/>
      <c r="K248" s="101"/>
      <c r="L248" s="101"/>
      <c r="M248" s="101"/>
      <c r="N248" s="101"/>
      <c r="O248" s="101"/>
      <c r="P248" s="101"/>
      <c r="Q248" s="101"/>
      <c r="R248" s="101"/>
      <c r="S248" s="101"/>
      <c r="T248" s="9"/>
      <c r="U248" s="9"/>
      <c r="V248" s="9"/>
      <c r="W248" s="9"/>
      <c r="X248" s="7" t="s">
        <v>10</v>
      </c>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0">
        <f>SUM(Y248:BE248)</f>
        <v>0</v>
      </c>
    </row>
    <row r="249" spans="2:58" ht="22" customHeight="1">
      <c r="B249" s="101"/>
      <c r="C249" s="101"/>
      <c r="D249" s="101"/>
      <c r="E249" s="101"/>
      <c r="F249" s="101"/>
      <c r="G249" s="101"/>
      <c r="H249" s="101"/>
      <c r="I249" s="101"/>
      <c r="J249" s="101"/>
      <c r="K249" s="101"/>
      <c r="L249" s="101"/>
      <c r="M249" s="101"/>
      <c r="N249" s="101"/>
      <c r="O249" s="101"/>
      <c r="P249" s="101"/>
      <c r="Q249" s="101"/>
      <c r="R249" s="101"/>
      <c r="S249" s="101"/>
      <c r="T249" s="9"/>
      <c r="U249" s="9"/>
      <c r="V249" s="9"/>
      <c r="W249" s="9"/>
      <c r="X249" s="30" t="s">
        <v>38</v>
      </c>
      <c r="Y249" s="31">
        <v>9000</v>
      </c>
      <c r="Z249" s="31">
        <v>9000</v>
      </c>
      <c r="AA249" s="31">
        <v>9000</v>
      </c>
      <c r="AB249" s="31">
        <v>9000</v>
      </c>
      <c r="AC249" s="31">
        <v>9000</v>
      </c>
      <c r="AD249" s="31">
        <v>9000</v>
      </c>
      <c r="AE249" s="31">
        <v>9000</v>
      </c>
      <c r="AF249" s="31">
        <v>9000</v>
      </c>
      <c r="AG249" s="31">
        <v>9000</v>
      </c>
      <c r="AH249" s="31">
        <v>9000</v>
      </c>
      <c r="AI249" s="31">
        <v>9000</v>
      </c>
      <c r="AJ249" s="31">
        <v>9000</v>
      </c>
      <c r="AK249" s="31">
        <v>9000</v>
      </c>
      <c r="AL249" s="31">
        <v>9000</v>
      </c>
      <c r="AM249" s="31">
        <v>9000</v>
      </c>
      <c r="AN249" s="31">
        <v>9000</v>
      </c>
      <c r="AO249" s="31">
        <v>9000</v>
      </c>
      <c r="AP249" s="31">
        <v>9000</v>
      </c>
      <c r="AQ249" s="31">
        <v>9000</v>
      </c>
      <c r="AR249" s="31">
        <v>9000</v>
      </c>
      <c r="AS249" s="31">
        <v>9000</v>
      </c>
      <c r="AT249" s="31">
        <v>9000</v>
      </c>
      <c r="AU249" s="31">
        <v>9000</v>
      </c>
      <c r="AV249" s="31">
        <v>9000</v>
      </c>
      <c r="AW249" s="31">
        <v>9000</v>
      </c>
      <c r="AX249" s="31">
        <v>9000</v>
      </c>
      <c r="AY249" s="31">
        <v>9000</v>
      </c>
      <c r="AZ249" s="31">
        <v>9000</v>
      </c>
      <c r="BA249" s="31">
        <v>9000</v>
      </c>
      <c r="BB249" s="31">
        <v>9000</v>
      </c>
      <c r="BC249" s="31">
        <v>9000</v>
      </c>
      <c r="BD249" s="31">
        <v>9000</v>
      </c>
      <c r="BE249" s="31">
        <v>9000</v>
      </c>
      <c r="BF249" s="12">
        <f>SUM(Y249:BE249)</f>
        <v>297000</v>
      </c>
    </row>
    <row r="250" spans="2:58" ht="22" customHeight="1">
      <c r="B250" s="102"/>
      <c r="C250" s="102"/>
      <c r="D250" s="102"/>
      <c r="E250" s="102"/>
      <c r="F250" s="102"/>
      <c r="G250" s="102"/>
      <c r="H250" s="102"/>
      <c r="I250" s="102"/>
      <c r="J250" s="102"/>
      <c r="K250" s="102"/>
      <c r="L250" s="102"/>
      <c r="M250" s="102"/>
      <c r="N250" s="102"/>
      <c r="O250" s="102"/>
      <c r="P250" s="102"/>
      <c r="Q250" s="102"/>
      <c r="R250" s="102"/>
      <c r="S250" s="102"/>
      <c r="T250" s="9"/>
      <c r="U250" s="9"/>
      <c r="V250" s="9"/>
      <c r="W250" s="9"/>
      <c r="X250" s="7" t="s">
        <v>11</v>
      </c>
      <c r="Y250" s="3">
        <f t="shared" ref="Y250:BF250" si="87">Y248-Y247</f>
        <v>0</v>
      </c>
      <c r="Z250" s="3">
        <f t="shared" si="87"/>
        <v>-2</v>
      </c>
      <c r="AA250" s="3">
        <f t="shared" si="87"/>
        <v>-2</v>
      </c>
      <c r="AB250" s="3">
        <f t="shared" si="87"/>
        <v>0</v>
      </c>
      <c r="AC250" s="3">
        <f t="shared" si="87"/>
        <v>0</v>
      </c>
      <c r="AD250" s="3">
        <f t="shared" si="87"/>
        <v>0</v>
      </c>
      <c r="AE250" s="3">
        <f t="shared" si="87"/>
        <v>0</v>
      </c>
      <c r="AF250" s="3">
        <f t="shared" si="87"/>
        <v>0</v>
      </c>
      <c r="AG250" s="3">
        <f t="shared" si="87"/>
        <v>-2</v>
      </c>
      <c r="AH250" s="3">
        <f t="shared" si="87"/>
        <v>0</v>
      </c>
      <c r="AI250" s="3">
        <f t="shared" si="87"/>
        <v>0</v>
      </c>
      <c r="AJ250" s="3">
        <f t="shared" si="87"/>
        <v>0</v>
      </c>
      <c r="AK250" s="3">
        <f t="shared" si="87"/>
        <v>0</v>
      </c>
      <c r="AL250" s="3">
        <f t="shared" si="87"/>
        <v>0</v>
      </c>
      <c r="AM250" s="3">
        <f t="shared" si="87"/>
        <v>0</v>
      </c>
      <c r="AN250" s="3">
        <f t="shared" si="87"/>
        <v>0</v>
      </c>
      <c r="AO250" s="3">
        <f t="shared" si="87"/>
        <v>0</v>
      </c>
      <c r="AP250" s="3">
        <f t="shared" si="87"/>
        <v>0</v>
      </c>
      <c r="AQ250" s="3">
        <f t="shared" si="87"/>
        <v>0</v>
      </c>
      <c r="AR250" s="3">
        <f t="shared" si="87"/>
        <v>0</v>
      </c>
      <c r="AS250" s="3">
        <f t="shared" si="87"/>
        <v>0</v>
      </c>
      <c r="AT250" s="3">
        <f t="shared" si="87"/>
        <v>0</v>
      </c>
      <c r="AU250" s="3">
        <f t="shared" si="87"/>
        <v>0</v>
      </c>
      <c r="AV250" s="3">
        <f t="shared" si="87"/>
        <v>0</v>
      </c>
      <c r="AW250" s="3">
        <f t="shared" si="87"/>
        <v>0</v>
      </c>
      <c r="AX250" s="3">
        <f t="shared" si="87"/>
        <v>0</v>
      </c>
      <c r="AY250" s="3">
        <f t="shared" si="87"/>
        <v>0</v>
      </c>
      <c r="AZ250" s="3">
        <f t="shared" si="87"/>
        <v>0</v>
      </c>
      <c r="BA250" s="3">
        <f t="shared" si="87"/>
        <v>0</v>
      </c>
      <c r="BB250" s="3">
        <f t="shared" si="87"/>
        <v>0</v>
      </c>
      <c r="BC250" s="3">
        <f t="shared" si="87"/>
        <v>0</v>
      </c>
      <c r="BD250" s="3">
        <f t="shared" si="87"/>
        <v>0</v>
      </c>
      <c r="BE250" s="3">
        <f t="shared" si="87"/>
        <v>0</v>
      </c>
      <c r="BF250" s="10">
        <f t="shared" si="87"/>
        <v>-6</v>
      </c>
    </row>
    <row r="251" spans="2:58" ht="22" customHeight="1">
      <c r="B251" s="107">
        <v>68</v>
      </c>
      <c r="C251" s="117" t="s">
        <v>84</v>
      </c>
      <c r="D251" s="108" t="s">
        <v>171</v>
      </c>
      <c r="E251" s="103"/>
      <c r="F251" s="109"/>
      <c r="G251" s="106">
        <f>SUM(Y251:AZ251)</f>
        <v>4</v>
      </c>
      <c r="H251" s="106">
        <f>SUM(Y252:AZ252)</f>
        <v>0</v>
      </c>
      <c r="I251" s="111"/>
      <c r="J251" s="112">
        <f>IFERROR(H251/G251,0)</f>
        <v>0</v>
      </c>
      <c r="K251" s="110">
        <v>0.1785714285714286</v>
      </c>
      <c r="L251" s="110">
        <v>0.1785714285714286</v>
      </c>
      <c r="M251" s="111"/>
      <c r="N251" s="111"/>
      <c r="O251" s="111"/>
      <c r="P251" s="111"/>
      <c r="Q251" s="111"/>
      <c r="R251" s="111"/>
      <c r="S251" s="103" t="s">
        <v>37</v>
      </c>
      <c r="T251" s="39"/>
      <c r="U251" s="39"/>
      <c r="V251" s="39"/>
      <c r="W251" s="39"/>
      <c r="X251" s="33" t="s">
        <v>31</v>
      </c>
      <c r="Y251" s="40">
        <v>0</v>
      </c>
      <c r="Z251" s="40">
        <v>2</v>
      </c>
      <c r="AA251" s="40">
        <v>0</v>
      </c>
      <c r="AB251" s="40">
        <v>0</v>
      </c>
      <c r="AC251" s="40">
        <v>0</v>
      </c>
      <c r="AD251" s="40">
        <v>0</v>
      </c>
      <c r="AE251" s="40">
        <v>0</v>
      </c>
      <c r="AF251" s="40">
        <v>0</v>
      </c>
      <c r="AG251" s="40">
        <v>2</v>
      </c>
      <c r="AH251" s="40">
        <v>0</v>
      </c>
      <c r="AI251" s="40">
        <v>0</v>
      </c>
      <c r="AJ251" s="40">
        <v>0</v>
      </c>
      <c r="AK251" s="40">
        <v>0</v>
      </c>
      <c r="AL251" s="40">
        <v>0</v>
      </c>
      <c r="AM251" s="40">
        <v>0</v>
      </c>
      <c r="AN251" s="40">
        <v>0</v>
      </c>
      <c r="AO251" s="40">
        <v>0</v>
      </c>
      <c r="AP251" s="40">
        <v>0</v>
      </c>
      <c r="AQ251" s="40">
        <v>0</v>
      </c>
      <c r="AR251" s="40">
        <v>0</v>
      </c>
      <c r="AS251" s="40">
        <v>0</v>
      </c>
      <c r="AT251" s="40">
        <v>0</v>
      </c>
      <c r="AU251" s="40">
        <v>0</v>
      </c>
      <c r="AV251" s="40">
        <v>0</v>
      </c>
      <c r="AW251" s="40">
        <v>0</v>
      </c>
      <c r="AX251" s="40">
        <v>0</v>
      </c>
      <c r="AY251" s="40">
        <v>0</v>
      </c>
      <c r="AZ251" s="40">
        <v>0</v>
      </c>
      <c r="BA251" s="40">
        <v>0</v>
      </c>
      <c r="BB251" s="40">
        <v>0</v>
      </c>
      <c r="BC251" s="40">
        <v>0</v>
      </c>
      <c r="BD251" s="40">
        <v>0</v>
      </c>
      <c r="BE251" s="40">
        <v>0</v>
      </c>
      <c r="BF251" s="10">
        <f>SUM(Y251:BE251)</f>
        <v>4</v>
      </c>
    </row>
    <row r="252" spans="2:58" ht="22" customHeight="1">
      <c r="B252" s="101"/>
      <c r="C252" s="101"/>
      <c r="D252" s="101"/>
      <c r="E252" s="101"/>
      <c r="F252" s="101"/>
      <c r="G252" s="101"/>
      <c r="H252" s="101"/>
      <c r="I252" s="101"/>
      <c r="J252" s="101"/>
      <c r="K252" s="101"/>
      <c r="L252" s="101"/>
      <c r="M252" s="101"/>
      <c r="N252" s="101"/>
      <c r="O252" s="101"/>
      <c r="P252" s="101"/>
      <c r="Q252" s="101"/>
      <c r="R252" s="101"/>
      <c r="S252" s="101"/>
      <c r="T252" s="39"/>
      <c r="U252" s="39"/>
      <c r="V252" s="39"/>
      <c r="W252" s="39"/>
      <c r="X252" s="33" t="s">
        <v>10</v>
      </c>
      <c r="Y252" s="41"/>
      <c r="Z252" s="41"/>
      <c r="AA252" s="41"/>
      <c r="AB252" s="41"/>
      <c r="AC252" s="41"/>
      <c r="AD252" s="41"/>
      <c r="AE252" s="41"/>
      <c r="AF252" s="41"/>
      <c r="AG252" s="41"/>
      <c r="AH252" s="41"/>
      <c r="AI252" s="41"/>
      <c r="AJ252" s="41"/>
      <c r="AK252" s="41"/>
      <c r="AL252" s="41"/>
      <c r="AM252" s="41"/>
      <c r="AN252" s="41"/>
      <c r="AO252" s="41"/>
      <c r="AP252" s="41"/>
      <c r="AQ252" s="41"/>
      <c r="AR252" s="41"/>
      <c r="AS252" s="41"/>
      <c r="AT252" s="41"/>
      <c r="AU252" s="41"/>
      <c r="AV252" s="41"/>
      <c r="AW252" s="41"/>
      <c r="AX252" s="41"/>
      <c r="AY252" s="41"/>
      <c r="AZ252" s="41"/>
      <c r="BA252" s="41"/>
      <c r="BB252" s="41"/>
      <c r="BC252" s="41"/>
      <c r="BD252" s="41"/>
      <c r="BE252" s="41"/>
      <c r="BF252" s="10">
        <f>SUM(Y252:BE252)</f>
        <v>0</v>
      </c>
    </row>
    <row r="253" spans="2:58" ht="22" customHeight="1">
      <c r="B253" s="101"/>
      <c r="C253" s="101"/>
      <c r="D253" s="101"/>
      <c r="E253" s="101"/>
      <c r="F253" s="101"/>
      <c r="G253" s="101"/>
      <c r="H253" s="101"/>
      <c r="I253" s="101"/>
      <c r="J253" s="101"/>
      <c r="K253" s="101"/>
      <c r="L253" s="101"/>
      <c r="M253" s="101"/>
      <c r="N253" s="101"/>
      <c r="O253" s="101"/>
      <c r="P253" s="101"/>
      <c r="Q253" s="101"/>
      <c r="R253" s="101"/>
      <c r="S253" s="101"/>
      <c r="T253" s="39"/>
      <c r="U253" s="39"/>
      <c r="V253" s="39"/>
      <c r="W253" s="39"/>
      <c r="X253" s="42" t="s">
        <v>38</v>
      </c>
      <c r="Y253" s="43">
        <v>9000</v>
      </c>
      <c r="Z253" s="43">
        <v>9000</v>
      </c>
      <c r="AA253" s="43">
        <v>9000</v>
      </c>
      <c r="AB253" s="43">
        <v>9000</v>
      </c>
      <c r="AC253" s="43">
        <v>9000</v>
      </c>
      <c r="AD253" s="43">
        <v>9000</v>
      </c>
      <c r="AE253" s="43">
        <v>9000</v>
      </c>
      <c r="AF253" s="43">
        <v>9000</v>
      </c>
      <c r="AG253" s="43">
        <v>9000</v>
      </c>
      <c r="AH253" s="43">
        <v>9000</v>
      </c>
      <c r="AI253" s="43">
        <v>9000</v>
      </c>
      <c r="AJ253" s="43">
        <v>9000</v>
      </c>
      <c r="AK253" s="43">
        <v>9000</v>
      </c>
      <c r="AL253" s="43">
        <v>9000</v>
      </c>
      <c r="AM253" s="43">
        <v>9000</v>
      </c>
      <c r="AN253" s="43">
        <v>9000</v>
      </c>
      <c r="AO253" s="43">
        <v>9000</v>
      </c>
      <c r="AP253" s="43">
        <v>9000</v>
      </c>
      <c r="AQ253" s="43">
        <v>9000</v>
      </c>
      <c r="AR253" s="43">
        <v>9000</v>
      </c>
      <c r="AS253" s="43">
        <v>9000</v>
      </c>
      <c r="AT253" s="43">
        <v>9000</v>
      </c>
      <c r="AU253" s="43">
        <v>9000</v>
      </c>
      <c r="AV253" s="43">
        <v>9000</v>
      </c>
      <c r="AW253" s="43">
        <v>9000</v>
      </c>
      <c r="AX253" s="43">
        <v>9000</v>
      </c>
      <c r="AY253" s="43">
        <v>9000</v>
      </c>
      <c r="AZ253" s="43">
        <v>9000</v>
      </c>
      <c r="BA253" s="43">
        <v>9000</v>
      </c>
      <c r="BB253" s="43">
        <v>9000</v>
      </c>
      <c r="BC253" s="43">
        <v>9000</v>
      </c>
      <c r="BD253" s="43">
        <v>9000</v>
      </c>
      <c r="BE253" s="43">
        <v>9000</v>
      </c>
      <c r="BF253" s="12">
        <f>SUM(Y253:BE253)</f>
        <v>297000</v>
      </c>
    </row>
    <row r="254" spans="2:58" ht="22" customHeight="1">
      <c r="B254" s="102"/>
      <c r="C254" s="102"/>
      <c r="D254" s="102"/>
      <c r="E254" s="102"/>
      <c r="F254" s="102"/>
      <c r="G254" s="102"/>
      <c r="H254" s="102"/>
      <c r="I254" s="102"/>
      <c r="J254" s="102"/>
      <c r="K254" s="102"/>
      <c r="L254" s="102"/>
      <c r="M254" s="102"/>
      <c r="N254" s="102"/>
      <c r="O254" s="102"/>
      <c r="P254" s="102"/>
      <c r="Q254" s="102"/>
      <c r="R254" s="102"/>
      <c r="S254" s="102"/>
      <c r="T254" s="39"/>
      <c r="U254" s="39"/>
      <c r="V254" s="39"/>
      <c r="W254" s="39"/>
      <c r="X254" s="33" t="s">
        <v>11</v>
      </c>
      <c r="Y254" s="36">
        <f t="shared" ref="Y254:BF254" si="88">Y252-Y251</f>
        <v>0</v>
      </c>
      <c r="Z254" s="36">
        <f t="shared" si="88"/>
        <v>-2</v>
      </c>
      <c r="AA254" s="36">
        <f t="shared" si="88"/>
        <v>0</v>
      </c>
      <c r="AB254" s="36">
        <f t="shared" si="88"/>
        <v>0</v>
      </c>
      <c r="AC254" s="36">
        <f t="shared" si="88"/>
        <v>0</v>
      </c>
      <c r="AD254" s="36">
        <f t="shared" si="88"/>
        <v>0</v>
      </c>
      <c r="AE254" s="36">
        <f t="shared" si="88"/>
        <v>0</v>
      </c>
      <c r="AF254" s="36">
        <f t="shared" si="88"/>
        <v>0</v>
      </c>
      <c r="AG254" s="36">
        <f t="shared" si="88"/>
        <v>-2</v>
      </c>
      <c r="AH254" s="36">
        <f t="shared" si="88"/>
        <v>0</v>
      </c>
      <c r="AI254" s="36">
        <f t="shared" si="88"/>
        <v>0</v>
      </c>
      <c r="AJ254" s="36">
        <f t="shared" si="88"/>
        <v>0</v>
      </c>
      <c r="AK254" s="36">
        <f t="shared" si="88"/>
        <v>0</v>
      </c>
      <c r="AL254" s="36">
        <f t="shared" si="88"/>
        <v>0</v>
      </c>
      <c r="AM254" s="36">
        <f t="shared" si="88"/>
        <v>0</v>
      </c>
      <c r="AN254" s="36">
        <f t="shared" si="88"/>
        <v>0</v>
      </c>
      <c r="AO254" s="36">
        <f t="shared" si="88"/>
        <v>0</v>
      </c>
      <c r="AP254" s="36">
        <f t="shared" si="88"/>
        <v>0</v>
      </c>
      <c r="AQ254" s="36">
        <f t="shared" si="88"/>
        <v>0</v>
      </c>
      <c r="AR254" s="36">
        <f t="shared" si="88"/>
        <v>0</v>
      </c>
      <c r="AS254" s="36">
        <f t="shared" si="88"/>
        <v>0</v>
      </c>
      <c r="AT254" s="36">
        <f t="shared" si="88"/>
        <v>0</v>
      </c>
      <c r="AU254" s="36">
        <f t="shared" si="88"/>
        <v>0</v>
      </c>
      <c r="AV254" s="36">
        <f t="shared" si="88"/>
        <v>0</v>
      </c>
      <c r="AW254" s="36">
        <f t="shared" si="88"/>
        <v>0</v>
      </c>
      <c r="AX254" s="36">
        <f t="shared" si="88"/>
        <v>0</v>
      </c>
      <c r="AY254" s="36">
        <f t="shared" si="88"/>
        <v>0</v>
      </c>
      <c r="AZ254" s="36">
        <f t="shared" si="88"/>
        <v>0</v>
      </c>
      <c r="BA254" s="36">
        <f t="shared" si="88"/>
        <v>0</v>
      </c>
      <c r="BB254" s="36">
        <f t="shared" si="88"/>
        <v>0</v>
      </c>
      <c r="BC254" s="36">
        <f t="shared" si="88"/>
        <v>0</v>
      </c>
      <c r="BD254" s="36">
        <f t="shared" si="88"/>
        <v>0</v>
      </c>
      <c r="BE254" s="36">
        <f t="shared" si="88"/>
        <v>0</v>
      </c>
      <c r="BF254" s="10">
        <f t="shared" si="88"/>
        <v>-4</v>
      </c>
    </row>
    <row r="255" spans="2:58" ht="22" customHeight="1">
      <c r="B255" s="104">
        <v>69</v>
      </c>
      <c r="C255" s="118" t="s">
        <v>96</v>
      </c>
      <c r="D255" s="105" t="s">
        <v>172</v>
      </c>
      <c r="E255" s="115"/>
      <c r="F255" s="119"/>
      <c r="G255" s="114">
        <f>SUM(Y255:AZ255)</f>
        <v>2</v>
      </c>
      <c r="H255" s="114">
        <f>SUM(Y256:AZ256)</f>
        <v>0</v>
      </c>
      <c r="I255" s="100"/>
      <c r="J255" s="116">
        <f>IFERROR(H255/G255,0)</f>
        <v>0</v>
      </c>
      <c r="K255" s="113">
        <v>3.3333333333333333E-2</v>
      </c>
      <c r="L255" s="113">
        <v>3.3333333333333333E-2</v>
      </c>
      <c r="M255" s="100"/>
      <c r="N255" s="100"/>
      <c r="O255" s="100"/>
      <c r="P255" s="100"/>
      <c r="Q255" s="100"/>
      <c r="R255" s="100"/>
      <c r="S255" s="115" t="s">
        <v>37</v>
      </c>
      <c r="T255" s="9"/>
      <c r="U255" s="9"/>
      <c r="V255" s="9"/>
      <c r="W255" s="9"/>
      <c r="X255" s="7" t="s">
        <v>31</v>
      </c>
      <c r="Y255" s="29">
        <v>0</v>
      </c>
      <c r="Z255" s="29">
        <v>0</v>
      </c>
      <c r="AA255" s="29">
        <v>2</v>
      </c>
      <c r="AB255" s="29">
        <v>0</v>
      </c>
      <c r="AC255" s="29">
        <v>0</v>
      </c>
      <c r="AD255" s="29">
        <v>0</v>
      </c>
      <c r="AE255" s="29">
        <v>0</v>
      </c>
      <c r="AF255" s="29">
        <v>0</v>
      </c>
      <c r="AG255" s="29">
        <v>0</v>
      </c>
      <c r="AH255" s="29">
        <v>0</v>
      </c>
      <c r="AI255" s="29">
        <v>0</v>
      </c>
      <c r="AJ255" s="29">
        <v>0</v>
      </c>
      <c r="AK255" s="29">
        <v>0</v>
      </c>
      <c r="AL255" s="29">
        <v>0</v>
      </c>
      <c r="AM255" s="29">
        <v>0</v>
      </c>
      <c r="AN255" s="29">
        <v>0</v>
      </c>
      <c r="AO255" s="29">
        <v>0</v>
      </c>
      <c r="AP255" s="29">
        <v>0</v>
      </c>
      <c r="AQ255" s="29">
        <v>0</v>
      </c>
      <c r="AR255" s="29">
        <v>0</v>
      </c>
      <c r="AS255" s="29">
        <v>0</v>
      </c>
      <c r="AT255" s="29">
        <v>0</v>
      </c>
      <c r="AU255" s="29">
        <v>0</v>
      </c>
      <c r="AV255" s="29">
        <v>0</v>
      </c>
      <c r="AW255" s="29">
        <v>0</v>
      </c>
      <c r="AX255" s="29">
        <v>0</v>
      </c>
      <c r="AY255" s="29">
        <v>0</v>
      </c>
      <c r="AZ255" s="29">
        <v>0</v>
      </c>
      <c r="BA255" s="29">
        <v>0</v>
      </c>
      <c r="BB255" s="29">
        <v>0</v>
      </c>
      <c r="BC255" s="29">
        <v>0</v>
      </c>
      <c r="BD255" s="29">
        <v>0</v>
      </c>
      <c r="BE255" s="29">
        <v>0</v>
      </c>
      <c r="BF255" s="10">
        <f>SUM(Y255:BE255)</f>
        <v>2</v>
      </c>
    </row>
    <row r="256" spans="2:58" ht="22" customHeight="1">
      <c r="B256" s="101"/>
      <c r="C256" s="101"/>
      <c r="D256" s="101"/>
      <c r="E256" s="101"/>
      <c r="F256" s="101"/>
      <c r="G256" s="101"/>
      <c r="H256" s="101"/>
      <c r="I256" s="101"/>
      <c r="J256" s="101"/>
      <c r="K256" s="101"/>
      <c r="L256" s="101"/>
      <c r="M256" s="101"/>
      <c r="N256" s="101"/>
      <c r="O256" s="101"/>
      <c r="P256" s="101"/>
      <c r="Q256" s="101"/>
      <c r="R256" s="101"/>
      <c r="S256" s="101"/>
      <c r="T256" s="9"/>
      <c r="U256" s="9"/>
      <c r="V256" s="9"/>
      <c r="W256" s="9"/>
      <c r="X256" s="7" t="s">
        <v>10</v>
      </c>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0">
        <f>SUM(Y256:BE256)</f>
        <v>0</v>
      </c>
    </row>
    <row r="257" spans="2:58" ht="22" customHeight="1">
      <c r="B257" s="101"/>
      <c r="C257" s="101"/>
      <c r="D257" s="101"/>
      <c r="E257" s="101"/>
      <c r="F257" s="101"/>
      <c r="G257" s="101"/>
      <c r="H257" s="101"/>
      <c r="I257" s="101"/>
      <c r="J257" s="101"/>
      <c r="K257" s="101"/>
      <c r="L257" s="101"/>
      <c r="M257" s="101"/>
      <c r="N257" s="101"/>
      <c r="O257" s="101"/>
      <c r="P257" s="101"/>
      <c r="Q257" s="101"/>
      <c r="R257" s="101"/>
      <c r="S257" s="101"/>
      <c r="T257" s="9"/>
      <c r="U257" s="9"/>
      <c r="V257" s="9"/>
      <c r="W257" s="9"/>
      <c r="X257" s="30" t="s">
        <v>38</v>
      </c>
      <c r="Y257" s="31">
        <v>9000</v>
      </c>
      <c r="Z257" s="31">
        <v>9000</v>
      </c>
      <c r="AA257" s="31">
        <v>9000</v>
      </c>
      <c r="AB257" s="31">
        <v>9000</v>
      </c>
      <c r="AC257" s="31">
        <v>9000</v>
      </c>
      <c r="AD257" s="31">
        <v>9000</v>
      </c>
      <c r="AE257" s="31">
        <v>9000</v>
      </c>
      <c r="AF257" s="31">
        <v>9000</v>
      </c>
      <c r="AG257" s="31">
        <v>9000</v>
      </c>
      <c r="AH257" s="31">
        <v>9000</v>
      </c>
      <c r="AI257" s="31">
        <v>9000</v>
      </c>
      <c r="AJ257" s="31">
        <v>9000</v>
      </c>
      <c r="AK257" s="31">
        <v>9000</v>
      </c>
      <c r="AL257" s="31">
        <v>9000</v>
      </c>
      <c r="AM257" s="31">
        <v>9000</v>
      </c>
      <c r="AN257" s="31">
        <v>9000</v>
      </c>
      <c r="AO257" s="31">
        <v>9000</v>
      </c>
      <c r="AP257" s="31">
        <v>9000</v>
      </c>
      <c r="AQ257" s="31">
        <v>9000</v>
      </c>
      <c r="AR257" s="31">
        <v>9000</v>
      </c>
      <c r="AS257" s="31">
        <v>9000</v>
      </c>
      <c r="AT257" s="31">
        <v>9000</v>
      </c>
      <c r="AU257" s="31">
        <v>9000</v>
      </c>
      <c r="AV257" s="31">
        <v>9000</v>
      </c>
      <c r="AW257" s="31">
        <v>9000</v>
      </c>
      <c r="AX257" s="31">
        <v>9000</v>
      </c>
      <c r="AY257" s="31">
        <v>9000</v>
      </c>
      <c r="AZ257" s="31">
        <v>9000</v>
      </c>
      <c r="BA257" s="31">
        <v>9000</v>
      </c>
      <c r="BB257" s="31">
        <v>9000</v>
      </c>
      <c r="BC257" s="31">
        <v>9000</v>
      </c>
      <c r="BD257" s="31">
        <v>9000</v>
      </c>
      <c r="BE257" s="31">
        <v>9000</v>
      </c>
      <c r="BF257" s="12">
        <f>SUM(Y257:BE257)</f>
        <v>297000</v>
      </c>
    </row>
    <row r="258" spans="2:58" ht="22" customHeight="1">
      <c r="B258" s="102"/>
      <c r="C258" s="102"/>
      <c r="D258" s="102"/>
      <c r="E258" s="102"/>
      <c r="F258" s="102"/>
      <c r="G258" s="102"/>
      <c r="H258" s="102"/>
      <c r="I258" s="102"/>
      <c r="J258" s="102"/>
      <c r="K258" s="102"/>
      <c r="L258" s="102"/>
      <c r="M258" s="102"/>
      <c r="N258" s="102"/>
      <c r="O258" s="102"/>
      <c r="P258" s="102"/>
      <c r="Q258" s="102"/>
      <c r="R258" s="102"/>
      <c r="S258" s="102"/>
      <c r="T258" s="9"/>
      <c r="U258" s="9"/>
      <c r="V258" s="9"/>
      <c r="W258" s="9"/>
      <c r="X258" s="7" t="s">
        <v>11</v>
      </c>
      <c r="Y258" s="3">
        <f t="shared" ref="Y258:BF258" si="89">Y256-Y255</f>
        <v>0</v>
      </c>
      <c r="Z258" s="3">
        <f t="shared" si="89"/>
        <v>0</v>
      </c>
      <c r="AA258" s="3">
        <f t="shared" si="89"/>
        <v>-2</v>
      </c>
      <c r="AB258" s="3">
        <f t="shared" si="89"/>
        <v>0</v>
      </c>
      <c r="AC258" s="3">
        <f t="shared" si="89"/>
        <v>0</v>
      </c>
      <c r="AD258" s="3">
        <f t="shared" si="89"/>
        <v>0</v>
      </c>
      <c r="AE258" s="3">
        <f t="shared" si="89"/>
        <v>0</v>
      </c>
      <c r="AF258" s="3">
        <f t="shared" si="89"/>
        <v>0</v>
      </c>
      <c r="AG258" s="3">
        <f t="shared" si="89"/>
        <v>0</v>
      </c>
      <c r="AH258" s="3">
        <f t="shared" si="89"/>
        <v>0</v>
      </c>
      <c r="AI258" s="3">
        <f t="shared" si="89"/>
        <v>0</v>
      </c>
      <c r="AJ258" s="3">
        <f t="shared" si="89"/>
        <v>0</v>
      </c>
      <c r="AK258" s="3">
        <f t="shared" si="89"/>
        <v>0</v>
      </c>
      <c r="AL258" s="3">
        <f t="shared" si="89"/>
        <v>0</v>
      </c>
      <c r="AM258" s="3">
        <f t="shared" si="89"/>
        <v>0</v>
      </c>
      <c r="AN258" s="3">
        <f t="shared" si="89"/>
        <v>0</v>
      </c>
      <c r="AO258" s="3">
        <f t="shared" si="89"/>
        <v>0</v>
      </c>
      <c r="AP258" s="3">
        <f t="shared" si="89"/>
        <v>0</v>
      </c>
      <c r="AQ258" s="3">
        <f t="shared" si="89"/>
        <v>0</v>
      </c>
      <c r="AR258" s="3">
        <f t="shared" si="89"/>
        <v>0</v>
      </c>
      <c r="AS258" s="3">
        <f t="shared" si="89"/>
        <v>0</v>
      </c>
      <c r="AT258" s="3">
        <f t="shared" si="89"/>
        <v>0</v>
      </c>
      <c r="AU258" s="3">
        <f t="shared" si="89"/>
        <v>0</v>
      </c>
      <c r="AV258" s="3">
        <f t="shared" si="89"/>
        <v>0</v>
      </c>
      <c r="AW258" s="3">
        <f t="shared" si="89"/>
        <v>0</v>
      </c>
      <c r="AX258" s="3">
        <f t="shared" si="89"/>
        <v>0</v>
      </c>
      <c r="AY258" s="3">
        <f t="shared" si="89"/>
        <v>0</v>
      </c>
      <c r="AZ258" s="3">
        <f t="shared" si="89"/>
        <v>0</v>
      </c>
      <c r="BA258" s="3">
        <f t="shared" si="89"/>
        <v>0</v>
      </c>
      <c r="BB258" s="3">
        <f t="shared" si="89"/>
        <v>0</v>
      </c>
      <c r="BC258" s="3">
        <f t="shared" si="89"/>
        <v>0</v>
      </c>
      <c r="BD258" s="3">
        <f t="shared" si="89"/>
        <v>0</v>
      </c>
      <c r="BE258" s="3">
        <f t="shared" si="89"/>
        <v>0</v>
      </c>
      <c r="BF258" s="10">
        <f t="shared" si="89"/>
        <v>-2</v>
      </c>
    </row>
    <row r="259" spans="2:58" ht="22" customHeight="1">
      <c r="B259" s="107">
        <v>70</v>
      </c>
      <c r="C259" s="117" t="s">
        <v>74</v>
      </c>
      <c r="D259" s="108" t="s">
        <v>173</v>
      </c>
      <c r="E259" s="103"/>
      <c r="F259" s="109"/>
      <c r="G259" s="106">
        <f>SUM(Y259:AZ259)</f>
        <v>0</v>
      </c>
      <c r="H259" s="106">
        <f>SUM(Y260:AZ260)</f>
        <v>0</v>
      </c>
      <c r="I259" s="111"/>
      <c r="J259" s="112">
        <f>IFERROR(H259/G259,0)</f>
        <v>0</v>
      </c>
      <c r="K259" s="110">
        <v>6.8965517241379309E-2</v>
      </c>
      <c r="L259" s="110">
        <v>6.8965517241379309E-2</v>
      </c>
      <c r="M259" s="111"/>
      <c r="N259" s="111"/>
      <c r="O259" s="111"/>
      <c r="P259" s="111"/>
      <c r="Q259" s="111"/>
      <c r="R259" s="111"/>
      <c r="S259" s="103" t="s">
        <v>47</v>
      </c>
      <c r="T259" s="39"/>
      <c r="U259" s="39"/>
      <c r="V259" s="39"/>
      <c r="W259" s="39"/>
      <c r="X259" s="33" t="s">
        <v>31</v>
      </c>
      <c r="Y259" s="40">
        <v>0</v>
      </c>
      <c r="Z259" s="40">
        <v>0</v>
      </c>
      <c r="AA259" s="40">
        <v>0</v>
      </c>
      <c r="AB259" s="40">
        <v>0</v>
      </c>
      <c r="AC259" s="40">
        <v>0</v>
      </c>
      <c r="AD259" s="40">
        <v>0</v>
      </c>
      <c r="AE259" s="40">
        <v>0</v>
      </c>
      <c r="AF259" s="40">
        <v>0</v>
      </c>
      <c r="AG259" s="40">
        <v>0</v>
      </c>
      <c r="AH259" s="40">
        <v>0</v>
      </c>
      <c r="AI259" s="40">
        <v>0</v>
      </c>
      <c r="AJ259" s="40">
        <v>0</v>
      </c>
      <c r="AK259" s="40">
        <v>0</v>
      </c>
      <c r="AL259" s="40">
        <v>0</v>
      </c>
      <c r="AM259" s="40">
        <v>0</v>
      </c>
      <c r="AN259" s="40">
        <v>0</v>
      </c>
      <c r="AO259" s="40">
        <v>0</v>
      </c>
      <c r="AP259" s="40">
        <v>0</v>
      </c>
      <c r="AQ259" s="40">
        <v>0</v>
      </c>
      <c r="AR259" s="40">
        <v>0</v>
      </c>
      <c r="AS259" s="40">
        <v>0</v>
      </c>
      <c r="AT259" s="40">
        <v>0</v>
      </c>
      <c r="AU259" s="40">
        <v>0</v>
      </c>
      <c r="AV259" s="40">
        <v>0</v>
      </c>
      <c r="AW259" s="40">
        <v>0</v>
      </c>
      <c r="AX259" s="40">
        <v>0</v>
      </c>
      <c r="AY259" s="40">
        <v>0</v>
      </c>
      <c r="AZ259" s="40">
        <v>0</v>
      </c>
      <c r="BA259" s="40">
        <v>0</v>
      </c>
      <c r="BB259" s="40">
        <v>1</v>
      </c>
      <c r="BC259" s="40">
        <v>1</v>
      </c>
      <c r="BD259" s="40">
        <v>0</v>
      </c>
      <c r="BE259" s="40">
        <v>0</v>
      </c>
      <c r="BF259" s="10">
        <f>SUM(Y259:BE259)</f>
        <v>2</v>
      </c>
    </row>
    <row r="260" spans="2:58" ht="22" customHeight="1">
      <c r="B260" s="101"/>
      <c r="C260" s="101"/>
      <c r="D260" s="101"/>
      <c r="E260" s="101"/>
      <c r="F260" s="101"/>
      <c r="G260" s="101"/>
      <c r="H260" s="101"/>
      <c r="I260" s="101"/>
      <c r="J260" s="101"/>
      <c r="K260" s="101"/>
      <c r="L260" s="101"/>
      <c r="M260" s="101"/>
      <c r="N260" s="101"/>
      <c r="O260" s="101"/>
      <c r="P260" s="101"/>
      <c r="Q260" s="101"/>
      <c r="R260" s="101"/>
      <c r="S260" s="101"/>
      <c r="T260" s="39"/>
      <c r="U260" s="39"/>
      <c r="V260" s="39"/>
      <c r="W260" s="39"/>
      <c r="X260" s="33" t="s">
        <v>10</v>
      </c>
      <c r="Y260" s="41"/>
      <c r="Z260" s="41"/>
      <c r="AA260" s="41"/>
      <c r="AB260" s="41"/>
      <c r="AC260" s="41"/>
      <c r="AD260" s="41"/>
      <c r="AE260" s="41"/>
      <c r="AF260" s="41"/>
      <c r="AG260" s="41"/>
      <c r="AH260" s="41"/>
      <c r="AI260" s="41"/>
      <c r="AJ260" s="41"/>
      <c r="AK260" s="41"/>
      <c r="AL260" s="41"/>
      <c r="AM260" s="41"/>
      <c r="AN260" s="41"/>
      <c r="AO260" s="41"/>
      <c r="AP260" s="41"/>
      <c r="AQ260" s="41"/>
      <c r="AR260" s="41"/>
      <c r="AS260" s="41"/>
      <c r="AT260" s="41"/>
      <c r="AU260" s="41"/>
      <c r="AV260" s="41"/>
      <c r="AW260" s="41"/>
      <c r="AX260" s="41"/>
      <c r="AY260" s="41"/>
      <c r="AZ260" s="41"/>
      <c r="BA260" s="41"/>
      <c r="BB260" s="41"/>
      <c r="BC260" s="41"/>
      <c r="BD260" s="41"/>
      <c r="BE260" s="41"/>
      <c r="BF260" s="10">
        <f>SUM(Y260:BE260)</f>
        <v>0</v>
      </c>
    </row>
    <row r="261" spans="2:58" ht="22" customHeight="1">
      <c r="B261" s="102"/>
      <c r="C261" s="102"/>
      <c r="D261" s="102"/>
      <c r="E261" s="102"/>
      <c r="F261" s="102"/>
      <c r="G261" s="102"/>
      <c r="H261" s="102"/>
      <c r="I261" s="102"/>
      <c r="J261" s="102"/>
      <c r="K261" s="102"/>
      <c r="L261" s="102"/>
      <c r="M261" s="102"/>
      <c r="N261" s="102"/>
      <c r="O261" s="102"/>
      <c r="P261" s="102"/>
      <c r="Q261" s="102"/>
      <c r="R261" s="102"/>
      <c r="S261" s="102"/>
      <c r="T261" s="39"/>
      <c r="U261" s="39"/>
      <c r="V261" s="39"/>
      <c r="W261" s="39"/>
      <c r="X261" s="33" t="s">
        <v>11</v>
      </c>
      <c r="Y261" s="36">
        <f t="shared" ref="Y261:BF261" si="90">Y260-Y259</f>
        <v>0</v>
      </c>
      <c r="Z261" s="36">
        <f t="shared" si="90"/>
        <v>0</v>
      </c>
      <c r="AA261" s="36">
        <f t="shared" si="90"/>
        <v>0</v>
      </c>
      <c r="AB261" s="36">
        <f t="shared" si="90"/>
        <v>0</v>
      </c>
      <c r="AC261" s="36">
        <f t="shared" si="90"/>
        <v>0</v>
      </c>
      <c r="AD261" s="36">
        <f t="shared" si="90"/>
        <v>0</v>
      </c>
      <c r="AE261" s="36">
        <f t="shared" si="90"/>
        <v>0</v>
      </c>
      <c r="AF261" s="36">
        <f t="shared" si="90"/>
        <v>0</v>
      </c>
      <c r="AG261" s="36">
        <f t="shared" si="90"/>
        <v>0</v>
      </c>
      <c r="AH261" s="36">
        <f t="shared" si="90"/>
        <v>0</v>
      </c>
      <c r="AI261" s="36">
        <f t="shared" si="90"/>
        <v>0</v>
      </c>
      <c r="AJ261" s="36">
        <f t="shared" si="90"/>
        <v>0</v>
      </c>
      <c r="AK261" s="36">
        <f t="shared" si="90"/>
        <v>0</v>
      </c>
      <c r="AL261" s="36">
        <f t="shared" si="90"/>
        <v>0</v>
      </c>
      <c r="AM261" s="36">
        <f t="shared" si="90"/>
        <v>0</v>
      </c>
      <c r="AN261" s="36">
        <f t="shared" si="90"/>
        <v>0</v>
      </c>
      <c r="AO261" s="36">
        <f t="shared" si="90"/>
        <v>0</v>
      </c>
      <c r="AP261" s="36">
        <f t="shared" si="90"/>
        <v>0</v>
      </c>
      <c r="AQ261" s="36">
        <f t="shared" si="90"/>
        <v>0</v>
      </c>
      <c r="AR261" s="36">
        <f t="shared" si="90"/>
        <v>0</v>
      </c>
      <c r="AS261" s="36">
        <f t="shared" si="90"/>
        <v>0</v>
      </c>
      <c r="AT261" s="36">
        <f t="shared" si="90"/>
        <v>0</v>
      </c>
      <c r="AU261" s="36">
        <f t="shared" si="90"/>
        <v>0</v>
      </c>
      <c r="AV261" s="36">
        <f t="shared" si="90"/>
        <v>0</v>
      </c>
      <c r="AW261" s="36">
        <f t="shared" si="90"/>
        <v>0</v>
      </c>
      <c r="AX261" s="36">
        <f t="shared" si="90"/>
        <v>0</v>
      </c>
      <c r="AY261" s="36">
        <f t="shared" si="90"/>
        <v>0</v>
      </c>
      <c r="AZ261" s="36">
        <f t="shared" si="90"/>
        <v>0</v>
      </c>
      <c r="BA261" s="36">
        <f t="shared" si="90"/>
        <v>0</v>
      </c>
      <c r="BB261" s="36">
        <f t="shared" si="90"/>
        <v>-1</v>
      </c>
      <c r="BC261" s="36">
        <f t="shared" si="90"/>
        <v>-1</v>
      </c>
      <c r="BD261" s="36">
        <f t="shared" si="90"/>
        <v>0</v>
      </c>
      <c r="BE261" s="36">
        <f t="shared" si="90"/>
        <v>0</v>
      </c>
      <c r="BF261" s="10">
        <f t="shared" si="90"/>
        <v>-2</v>
      </c>
    </row>
    <row r="262" spans="2:58" ht="22" customHeight="1">
      <c r="B262" s="104">
        <v>71</v>
      </c>
      <c r="C262" s="118" t="s">
        <v>66</v>
      </c>
      <c r="D262" s="105" t="s">
        <v>174</v>
      </c>
      <c r="E262" s="115"/>
      <c r="F262" s="119"/>
      <c r="G262" s="114">
        <f>SUM(Y262:AZ262)</f>
        <v>0</v>
      </c>
      <c r="H262" s="114">
        <f>SUM(Y263:AZ263)</f>
        <v>0</v>
      </c>
      <c r="I262" s="100"/>
      <c r="J262" s="116">
        <f>IFERROR(H262/G262,0)</f>
        <v>0</v>
      </c>
      <c r="K262" s="113">
        <v>0.1</v>
      </c>
      <c r="L262" s="113">
        <v>0.1</v>
      </c>
      <c r="M262" s="100"/>
      <c r="N262" s="100"/>
      <c r="O262" s="100"/>
      <c r="P262" s="100"/>
      <c r="Q262" s="100"/>
      <c r="R262" s="100"/>
      <c r="S262" s="115" t="s">
        <v>37</v>
      </c>
      <c r="T262" s="9"/>
      <c r="U262" s="9"/>
      <c r="V262" s="9"/>
      <c r="W262" s="9"/>
      <c r="X262" s="7" t="s">
        <v>31</v>
      </c>
      <c r="Y262" s="29">
        <v>0</v>
      </c>
      <c r="Z262" s="29">
        <v>0</v>
      </c>
      <c r="AA262" s="29">
        <v>0</v>
      </c>
      <c r="AB262" s="29">
        <v>0</v>
      </c>
      <c r="AC262" s="29">
        <v>0</v>
      </c>
      <c r="AD262" s="29">
        <v>0</v>
      </c>
      <c r="AE262" s="29">
        <v>0</v>
      </c>
      <c r="AF262" s="29">
        <v>0</v>
      </c>
      <c r="AG262" s="29">
        <v>0</v>
      </c>
      <c r="AH262" s="29">
        <v>0</v>
      </c>
      <c r="AI262" s="29">
        <v>0</v>
      </c>
      <c r="AJ262" s="29">
        <v>0</v>
      </c>
      <c r="AK262" s="29">
        <v>0</v>
      </c>
      <c r="AL262" s="29">
        <v>0</v>
      </c>
      <c r="AM262" s="29">
        <v>0</v>
      </c>
      <c r="AN262" s="29">
        <v>0</v>
      </c>
      <c r="AO262" s="29">
        <v>0</v>
      </c>
      <c r="AP262" s="29">
        <v>0</v>
      </c>
      <c r="AQ262" s="29">
        <v>0</v>
      </c>
      <c r="AR262" s="29">
        <v>0</v>
      </c>
      <c r="AS262" s="29">
        <v>0</v>
      </c>
      <c r="AT262" s="29">
        <v>0</v>
      </c>
      <c r="AU262" s="29">
        <v>0</v>
      </c>
      <c r="AV262" s="29">
        <v>0</v>
      </c>
      <c r="AW262" s="29">
        <v>0</v>
      </c>
      <c r="AX262" s="29">
        <v>0</v>
      </c>
      <c r="AY262" s="29">
        <v>0</v>
      </c>
      <c r="AZ262" s="29">
        <v>0</v>
      </c>
      <c r="BA262" s="29">
        <v>0</v>
      </c>
      <c r="BB262" s="29">
        <v>1</v>
      </c>
      <c r="BC262" s="29">
        <v>1</v>
      </c>
      <c r="BD262" s="29">
        <v>0</v>
      </c>
      <c r="BE262" s="29">
        <v>0</v>
      </c>
      <c r="BF262" s="10">
        <f>SUM(Y262:BE262)</f>
        <v>2</v>
      </c>
    </row>
    <row r="263" spans="2:58" ht="22" customHeight="1">
      <c r="B263" s="101"/>
      <c r="C263" s="101"/>
      <c r="D263" s="101"/>
      <c r="E263" s="101"/>
      <c r="F263" s="101"/>
      <c r="G263" s="101"/>
      <c r="H263" s="101"/>
      <c r="I263" s="101"/>
      <c r="J263" s="101"/>
      <c r="K263" s="101"/>
      <c r="L263" s="101"/>
      <c r="M263" s="101"/>
      <c r="N263" s="101"/>
      <c r="O263" s="101"/>
      <c r="P263" s="101"/>
      <c r="Q263" s="101"/>
      <c r="R263" s="101"/>
      <c r="S263" s="101"/>
      <c r="T263" s="9"/>
      <c r="U263" s="9"/>
      <c r="V263" s="9"/>
      <c r="W263" s="9"/>
      <c r="X263" s="7" t="s">
        <v>10</v>
      </c>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0">
        <f>SUM(Y263:BE263)</f>
        <v>0</v>
      </c>
    </row>
    <row r="264" spans="2:58" ht="22" customHeight="1">
      <c r="B264" s="101"/>
      <c r="C264" s="101"/>
      <c r="D264" s="101"/>
      <c r="E264" s="101"/>
      <c r="F264" s="101"/>
      <c r="G264" s="101"/>
      <c r="H264" s="101"/>
      <c r="I264" s="101"/>
      <c r="J264" s="101"/>
      <c r="K264" s="101"/>
      <c r="L264" s="101"/>
      <c r="M264" s="101"/>
      <c r="N264" s="101"/>
      <c r="O264" s="101"/>
      <c r="P264" s="101"/>
      <c r="Q264" s="101"/>
      <c r="R264" s="101"/>
      <c r="S264" s="101"/>
      <c r="T264" s="9"/>
      <c r="U264" s="9"/>
      <c r="V264" s="9"/>
      <c r="W264" s="9"/>
      <c r="X264" s="30" t="s">
        <v>38</v>
      </c>
      <c r="Y264" s="31">
        <v>9000</v>
      </c>
      <c r="Z264" s="31">
        <v>9000</v>
      </c>
      <c r="AA264" s="31">
        <v>9000</v>
      </c>
      <c r="AB264" s="31">
        <v>9000</v>
      </c>
      <c r="AC264" s="31">
        <v>9000</v>
      </c>
      <c r="AD264" s="31">
        <v>9000</v>
      </c>
      <c r="AE264" s="31">
        <v>9000</v>
      </c>
      <c r="AF264" s="31">
        <v>9000</v>
      </c>
      <c r="AG264" s="31">
        <v>9000</v>
      </c>
      <c r="AH264" s="31">
        <v>9000</v>
      </c>
      <c r="AI264" s="31">
        <v>9000</v>
      </c>
      <c r="AJ264" s="31">
        <v>9000</v>
      </c>
      <c r="AK264" s="31">
        <v>9000</v>
      </c>
      <c r="AL264" s="31">
        <v>9000</v>
      </c>
      <c r="AM264" s="31">
        <v>9000</v>
      </c>
      <c r="AN264" s="31">
        <v>9000</v>
      </c>
      <c r="AO264" s="31">
        <v>9000</v>
      </c>
      <c r="AP264" s="31">
        <v>9000</v>
      </c>
      <c r="AQ264" s="31">
        <v>9000</v>
      </c>
      <c r="AR264" s="31">
        <v>9000</v>
      </c>
      <c r="AS264" s="31">
        <v>9000</v>
      </c>
      <c r="AT264" s="31">
        <v>9000</v>
      </c>
      <c r="AU264" s="31">
        <v>9000</v>
      </c>
      <c r="AV264" s="31">
        <v>9000</v>
      </c>
      <c r="AW264" s="31">
        <v>9000</v>
      </c>
      <c r="AX264" s="31">
        <v>9000</v>
      </c>
      <c r="AY264" s="31">
        <v>9000</v>
      </c>
      <c r="AZ264" s="31">
        <v>9000</v>
      </c>
      <c r="BA264" s="31">
        <v>9000</v>
      </c>
      <c r="BB264" s="31">
        <v>9000</v>
      </c>
      <c r="BC264" s="31">
        <v>9000</v>
      </c>
      <c r="BD264" s="31">
        <v>9000</v>
      </c>
      <c r="BE264" s="31">
        <v>9000</v>
      </c>
      <c r="BF264" s="12">
        <f>SUM(Y264:BE264)</f>
        <v>297000</v>
      </c>
    </row>
    <row r="265" spans="2:58" ht="22" customHeight="1">
      <c r="B265" s="102"/>
      <c r="C265" s="102"/>
      <c r="D265" s="102"/>
      <c r="E265" s="102"/>
      <c r="F265" s="102"/>
      <c r="G265" s="102"/>
      <c r="H265" s="102"/>
      <c r="I265" s="102"/>
      <c r="J265" s="102"/>
      <c r="K265" s="102"/>
      <c r="L265" s="102"/>
      <c r="M265" s="102"/>
      <c r="N265" s="102"/>
      <c r="O265" s="102"/>
      <c r="P265" s="102"/>
      <c r="Q265" s="102"/>
      <c r="R265" s="102"/>
      <c r="S265" s="102"/>
      <c r="T265" s="9"/>
      <c r="U265" s="9"/>
      <c r="V265" s="9"/>
      <c r="W265" s="9"/>
      <c r="X265" s="7" t="s">
        <v>11</v>
      </c>
      <c r="Y265" s="3">
        <f t="shared" ref="Y265:BF265" si="91">Y263-Y262</f>
        <v>0</v>
      </c>
      <c r="Z265" s="3">
        <f t="shared" si="91"/>
        <v>0</v>
      </c>
      <c r="AA265" s="3">
        <f t="shared" si="91"/>
        <v>0</v>
      </c>
      <c r="AB265" s="3">
        <f t="shared" si="91"/>
        <v>0</v>
      </c>
      <c r="AC265" s="3">
        <f t="shared" si="91"/>
        <v>0</v>
      </c>
      <c r="AD265" s="3">
        <f t="shared" si="91"/>
        <v>0</v>
      </c>
      <c r="AE265" s="3">
        <f t="shared" si="91"/>
        <v>0</v>
      </c>
      <c r="AF265" s="3">
        <f t="shared" si="91"/>
        <v>0</v>
      </c>
      <c r="AG265" s="3">
        <f t="shared" si="91"/>
        <v>0</v>
      </c>
      <c r="AH265" s="3">
        <f t="shared" si="91"/>
        <v>0</v>
      </c>
      <c r="AI265" s="3">
        <f t="shared" si="91"/>
        <v>0</v>
      </c>
      <c r="AJ265" s="3">
        <f t="shared" si="91"/>
        <v>0</v>
      </c>
      <c r="AK265" s="3">
        <f t="shared" si="91"/>
        <v>0</v>
      </c>
      <c r="AL265" s="3">
        <f t="shared" si="91"/>
        <v>0</v>
      </c>
      <c r="AM265" s="3">
        <f t="shared" si="91"/>
        <v>0</v>
      </c>
      <c r="AN265" s="3">
        <f t="shared" si="91"/>
        <v>0</v>
      </c>
      <c r="AO265" s="3">
        <f t="shared" si="91"/>
        <v>0</v>
      </c>
      <c r="AP265" s="3">
        <f t="shared" si="91"/>
        <v>0</v>
      </c>
      <c r="AQ265" s="3">
        <f t="shared" si="91"/>
        <v>0</v>
      </c>
      <c r="AR265" s="3">
        <f t="shared" si="91"/>
        <v>0</v>
      </c>
      <c r="AS265" s="3">
        <f t="shared" si="91"/>
        <v>0</v>
      </c>
      <c r="AT265" s="3">
        <f t="shared" si="91"/>
        <v>0</v>
      </c>
      <c r="AU265" s="3">
        <f t="shared" si="91"/>
        <v>0</v>
      </c>
      <c r="AV265" s="3">
        <f t="shared" si="91"/>
        <v>0</v>
      </c>
      <c r="AW265" s="3">
        <f t="shared" si="91"/>
        <v>0</v>
      </c>
      <c r="AX265" s="3">
        <f t="shared" si="91"/>
        <v>0</v>
      </c>
      <c r="AY265" s="3">
        <f t="shared" si="91"/>
        <v>0</v>
      </c>
      <c r="AZ265" s="3">
        <f t="shared" si="91"/>
        <v>0</v>
      </c>
      <c r="BA265" s="3">
        <f t="shared" si="91"/>
        <v>0</v>
      </c>
      <c r="BB265" s="3">
        <f t="shared" si="91"/>
        <v>-1</v>
      </c>
      <c r="BC265" s="3">
        <f t="shared" si="91"/>
        <v>-1</v>
      </c>
      <c r="BD265" s="3">
        <f t="shared" si="91"/>
        <v>0</v>
      </c>
      <c r="BE265" s="3">
        <f t="shared" si="91"/>
        <v>0</v>
      </c>
      <c r="BF265" s="10">
        <f t="shared" si="91"/>
        <v>-2</v>
      </c>
    </row>
    <row r="266" spans="2:58" ht="22" customHeight="1">
      <c r="B266" s="107">
        <v>72</v>
      </c>
      <c r="C266" s="117" t="s">
        <v>39</v>
      </c>
      <c r="D266" s="108" t="s">
        <v>175</v>
      </c>
      <c r="E266" s="103"/>
      <c r="F266" s="109"/>
      <c r="G266" s="106">
        <f>SUM(Y266:AZ266)</f>
        <v>29</v>
      </c>
      <c r="H266" s="106">
        <f>SUM(Y267:AZ267)</f>
        <v>0</v>
      </c>
      <c r="I266" s="111"/>
      <c r="J266" s="112">
        <f>IFERROR(H266/G266,0)</f>
        <v>0</v>
      </c>
      <c r="K266" s="110">
        <v>0.19538461538461541</v>
      </c>
      <c r="L266" s="110">
        <v>0.19538461538461541</v>
      </c>
      <c r="M266" s="111"/>
      <c r="N266" s="111"/>
      <c r="O266" s="111"/>
      <c r="P266" s="111"/>
      <c r="Q266" s="111"/>
      <c r="R266" s="111"/>
      <c r="S266" s="103" t="s">
        <v>37</v>
      </c>
      <c r="T266" s="39"/>
      <c r="U266" s="39"/>
      <c r="V266" s="39"/>
      <c r="W266" s="39"/>
      <c r="X266" s="33" t="s">
        <v>31</v>
      </c>
      <c r="Y266" s="40">
        <v>1</v>
      </c>
      <c r="Z266" s="40">
        <v>2</v>
      </c>
      <c r="AA266" s="40">
        <v>1</v>
      </c>
      <c r="AB266" s="40">
        <v>1</v>
      </c>
      <c r="AC266" s="40">
        <v>1</v>
      </c>
      <c r="AD266" s="40">
        <v>1</v>
      </c>
      <c r="AE266" s="40">
        <v>1</v>
      </c>
      <c r="AF266" s="40">
        <v>1</v>
      </c>
      <c r="AG266" s="40">
        <v>1</v>
      </c>
      <c r="AH266" s="40">
        <v>1</v>
      </c>
      <c r="AI266" s="40">
        <v>1</v>
      </c>
      <c r="AJ266" s="40">
        <v>1</v>
      </c>
      <c r="AK266" s="40">
        <v>1</v>
      </c>
      <c r="AL266" s="40">
        <v>1</v>
      </c>
      <c r="AM266" s="40">
        <v>1</v>
      </c>
      <c r="AN266" s="40">
        <v>1</v>
      </c>
      <c r="AO266" s="40">
        <v>1</v>
      </c>
      <c r="AP266" s="40">
        <v>1</v>
      </c>
      <c r="AQ266" s="40">
        <v>1</v>
      </c>
      <c r="AR266" s="40">
        <v>1</v>
      </c>
      <c r="AS266" s="40">
        <v>1</v>
      </c>
      <c r="AT266" s="40">
        <v>1</v>
      </c>
      <c r="AU266" s="40">
        <v>1</v>
      </c>
      <c r="AV266" s="40">
        <v>1</v>
      </c>
      <c r="AW266" s="40">
        <v>1</v>
      </c>
      <c r="AX266" s="40">
        <v>1</v>
      </c>
      <c r="AY266" s="40">
        <v>1</v>
      </c>
      <c r="AZ266" s="40">
        <v>1</v>
      </c>
      <c r="BA266" s="40">
        <v>1</v>
      </c>
      <c r="BB266" s="40">
        <v>1</v>
      </c>
      <c r="BC266" s="40">
        <v>2</v>
      </c>
      <c r="BD266" s="40">
        <v>1</v>
      </c>
      <c r="BE266" s="40">
        <v>1</v>
      </c>
      <c r="BF266" s="10">
        <f>SUM(Y266:BE266)</f>
        <v>35</v>
      </c>
    </row>
    <row r="267" spans="2:58" ht="22" customHeight="1">
      <c r="B267" s="101"/>
      <c r="C267" s="101"/>
      <c r="D267" s="101"/>
      <c r="E267" s="101"/>
      <c r="F267" s="101"/>
      <c r="G267" s="101"/>
      <c r="H267" s="101"/>
      <c r="I267" s="101"/>
      <c r="J267" s="101"/>
      <c r="K267" s="101"/>
      <c r="L267" s="101"/>
      <c r="M267" s="101"/>
      <c r="N267" s="101"/>
      <c r="O267" s="101"/>
      <c r="P267" s="101"/>
      <c r="Q267" s="101"/>
      <c r="R267" s="101"/>
      <c r="S267" s="101"/>
      <c r="T267" s="39"/>
      <c r="U267" s="39"/>
      <c r="V267" s="39"/>
      <c r="W267" s="39"/>
      <c r="X267" s="33" t="s">
        <v>10</v>
      </c>
      <c r="Y267" s="41"/>
      <c r="Z267" s="41"/>
      <c r="AA267" s="41"/>
      <c r="AB267" s="41"/>
      <c r="AC267" s="41"/>
      <c r="AD267" s="41"/>
      <c r="AE267" s="41"/>
      <c r="AF267" s="41"/>
      <c r="AG267" s="41"/>
      <c r="AH267" s="41"/>
      <c r="AI267" s="41"/>
      <c r="AJ267" s="41"/>
      <c r="AK267" s="41"/>
      <c r="AL267" s="41"/>
      <c r="AM267" s="41"/>
      <c r="AN267" s="41"/>
      <c r="AO267" s="41"/>
      <c r="AP267" s="41"/>
      <c r="AQ267" s="41"/>
      <c r="AR267" s="41"/>
      <c r="AS267" s="41"/>
      <c r="AT267" s="41"/>
      <c r="AU267" s="41"/>
      <c r="AV267" s="41"/>
      <c r="AW267" s="41"/>
      <c r="AX267" s="41"/>
      <c r="AY267" s="41"/>
      <c r="AZ267" s="41"/>
      <c r="BA267" s="41"/>
      <c r="BB267" s="41"/>
      <c r="BC267" s="41"/>
      <c r="BD267" s="41"/>
      <c r="BE267" s="41"/>
      <c r="BF267" s="10">
        <f>SUM(Y267:BE267)</f>
        <v>0</v>
      </c>
    </row>
    <row r="268" spans="2:58" ht="22" customHeight="1">
      <c r="B268" s="101"/>
      <c r="C268" s="101"/>
      <c r="D268" s="101"/>
      <c r="E268" s="101"/>
      <c r="F268" s="101"/>
      <c r="G268" s="101"/>
      <c r="H268" s="101"/>
      <c r="I268" s="101"/>
      <c r="J268" s="101"/>
      <c r="K268" s="101"/>
      <c r="L268" s="101"/>
      <c r="M268" s="101"/>
      <c r="N268" s="101"/>
      <c r="O268" s="101"/>
      <c r="P268" s="101"/>
      <c r="Q268" s="101"/>
      <c r="R268" s="101"/>
      <c r="S268" s="101"/>
      <c r="T268" s="39"/>
      <c r="U268" s="39"/>
      <c r="V268" s="39"/>
      <c r="W268" s="39"/>
      <c r="X268" s="42" t="s">
        <v>38</v>
      </c>
      <c r="Y268" s="43">
        <v>9000</v>
      </c>
      <c r="Z268" s="43">
        <v>9000</v>
      </c>
      <c r="AA268" s="43">
        <v>9000</v>
      </c>
      <c r="AB268" s="43">
        <v>9000</v>
      </c>
      <c r="AC268" s="43">
        <v>9000</v>
      </c>
      <c r="AD268" s="43">
        <v>9000</v>
      </c>
      <c r="AE268" s="43">
        <v>9000</v>
      </c>
      <c r="AF268" s="43">
        <v>9000</v>
      </c>
      <c r="AG268" s="43">
        <v>9000</v>
      </c>
      <c r="AH268" s="43">
        <v>9000</v>
      </c>
      <c r="AI268" s="43">
        <v>9000</v>
      </c>
      <c r="AJ268" s="43">
        <v>9000</v>
      </c>
      <c r="AK268" s="43">
        <v>9000</v>
      </c>
      <c r="AL268" s="43">
        <v>9000</v>
      </c>
      <c r="AM268" s="43">
        <v>9000</v>
      </c>
      <c r="AN268" s="43">
        <v>9000</v>
      </c>
      <c r="AO268" s="43">
        <v>9000</v>
      </c>
      <c r="AP268" s="43">
        <v>9000</v>
      </c>
      <c r="AQ268" s="43">
        <v>9000</v>
      </c>
      <c r="AR268" s="43">
        <v>9000</v>
      </c>
      <c r="AS268" s="43">
        <v>9000</v>
      </c>
      <c r="AT268" s="43">
        <v>9000</v>
      </c>
      <c r="AU268" s="43">
        <v>9000</v>
      </c>
      <c r="AV268" s="43">
        <v>9000</v>
      </c>
      <c r="AW268" s="43">
        <v>9000</v>
      </c>
      <c r="AX268" s="43">
        <v>9000</v>
      </c>
      <c r="AY268" s="43">
        <v>9000</v>
      </c>
      <c r="AZ268" s="43">
        <v>9000</v>
      </c>
      <c r="BA268" s="43">
        <v>9000</v>
      </c>
      <c r="BB268" s="43">
        <v>9000</v>
      </c>
      <c r="BC268" s="43">
        <v>9000</v>
      </c>
      <c r="BD268" s="43">
        <v>9000</v>
      </c>
      <c r="BE268" s="43">
        <v>9000</v>
      </c>
      <c r="BF268" s="12">
        <f>SUM(Y268:BE268)</f>
        <v>297000</v>
      </c>
    </row>
    <row r="269" spans="2:58" ht="22" customHeight="1">
      <c r="B269" s="102"/>
      <c r="C269" s="102"/>
      <c r="D269" s="102"/>
      <c r="E269" s="102"/>
      <c r="F269" s="102"/>
      <c r="G269" s="102"/>
      <c r="H269" s="102"/>
      <c r="I269" s="102"/>
      <c r="J269" s="102"/>
      <c r="K269" s="102"/>
      <c r="L269" s="102"/>
      <c r="M269" s="102"/>
      <c r="N269" s="102"/>
      <c r="O269" s="102"/>
      <c r="P269" s="102"/>
      <c r="Q269" s="102"/>
      <c r="R269" s="102"/>
      <c r="S269" s="102"/>
      <c r="T269" s="39"/>
      <c r="U269" s="39"/>
      <c r="V269" s="39"/>
      <c r="W269" s="39"/>
      <c r="X269" s="33" t="s">
        <v>11</v>
      </c>
      <c r="Y269" s="36">
        <f t="shared" ref="Y269:BF269" si="92">Y267-Y266</f>
        <v>-1</v>
      </c>
      <c r="Z269" s="36">
        <f t="shared" si="92"/>
        <v>-2</v>
      </c>
      <c r="AA269" s="36">
        <f t="shared" si="92"/>
        <v>-1</v>
      </c>
      <c r="AB269" s="36">
        <f t="shared" si="92"/>
        <v>-1</v>
      </c>
      <c r="AC269" s="36">
        <f t="shared" si="92"/>
        <v>-1</v>
      </c>
      <c r="AD269" s="36">
        <f t="shared" si="92"/>
        <v>-1</v>
      </c>
      <c r="AE269" s="36">
        <f t="shared" si="92"/>
        <v>-1</v>
      </c>
      <c r="AF269" s="36">
        <f t="shared" si="92"/>
        <v>-1</v>
      </c>
      <c r="AG269" s="36">
        <f t="shared" si="92"/>
        <v>-1</v>
      </c>
      <c r="AH269" s="36">
        <f t="shared" si="92"/>
        <v>-1</v>
      </c>
      <c r="AI269" s="36">
        <f t="shared" si="92"/>
        <v>-1</v>
      </c>
      <c r="AJ269" s="36">
        <f t="shared" si="92"/>
        <v>-1</v>
      </c>
      <c r="AK269" s="36">
        <f t="shared" si="92"/>
        <v>-1</v>
      </c>
      <c r="AL269" s="36">
        <f t="shared" si="92"/>
        <v>-1</v>
      </c>
      <c r="AM269" s="36">
        <f t="shared" si="92"/>
        <v>-1</v>
      </c>
      <c r="AN269" s="36">
        <f t="shared" si="92"/>
        <v>-1</v>
      </c>
      <c r="AO269" s="36">
        <f t="shared" si="92"/>
        <v>-1</v>
      </c>
      <c r="AP269" s="36">
        <f t="shared" si="92"/>
        <v>-1</v>
      </c>
      <c r="AQ269" s="36">
        <f t="shared" si="92"/>
        <v>-1</v>
      </c>
      <c r="AR269" s="36">
        <f t="shared" si="92"/>
        <v>-1</v>
      </c>
      <c r="AS269" s="36">
        <f t="shared" si="92"/>
        <v>-1</v>
      </c>
      <c r="AT269" s="36">
        <f t="shared" si="92"/>
        <v>-1</v>
      </c>
      <c r="AU269" s="36">
        <f t="shared" si="92"/>
        <v>-1</v>
      </c>
      <c r="AV269" s="36">
        <f t="shared" si="92"/>
        <v>-1</v>
      </c>
      <c r="AW269" s="36">
        <f t="shared" si="92"/>
        <v>-1</v>
      </c>
      <c r="AX269" s="36">
        <f t="shared" si="92"/>
        <v>-1</v>
      </c>
      <c r="AY269" s="36">
        <f t="shared" si="92"/>
        <v>-1</v>
      </c>
      <c r="AZ269" s="36">
        <f t="shared" si="92"/>
        <v>-1</v>
      </c>
      <c r="BA269" s="36">
        <f t="shared" si="92"/>
        <v>-1</v>
      </c>
      <c r="BB269" s="36">
        <f t="shared" si="92"/>
        <v>-1</v>
      </c>
      <c r="BC269" s="36">
        <f t="shared" si="92"/>
        <v>-2</v>
      </c>
      <c r="BD269" s="36">
        <f t="shared" si="92"/>
        <v>-1</v>
      </c>
      <c r="BE269" s="36">
        <f t="shared" si="92"/>
        <v>-1</v>
      </c>
      <c r="BF269" s="10">
        <f t="shared" si="92"/>
        <v>-35</v>
      </c>
    </row>
    <row r="270" spans="2:58" ht="22" customHeight="1">
      <c r="B270" s="104">
        <v>73</v>
      </c>
      <c r="C270" s="118" t="s">
        <v>35</v>
      </c>
      <c r="D270" s="105" t="s">
        <v>176</v>
      </c>
      <c r="E270" s="115"/>
      <c r="F270" s="119"/>
      <c r="G270" s="114">
        <f>SUM(Y270:AZ270)</f>
        <v>29</v>
      </c>
      <c r="H270" s="114">
        <f>SUM(Y271:AZ271)</f>
        <v>0</v>
      </c>
      <c r="I270" s="100"/>
      <c r="J270" s="116">
        <f>IFERROR(H270/G270,0)</f>
        <v>0</v>
      </c>
      <c r="K270" s="113">
        <v>0.1125541125541126</v>
      </c>
      <c r="L270" s="113">
        <v>0.1125541125541126</v>
      </c>
      <c r="M270" s="100"/>
      <c r="N270" s="100"/>
      <c r="O270" s="100"/>
      <c r="P270" s="100"/>
      <c r="Q270" s="100"/>
      <c r="R270" s="100"/>
      <c r="S270" s="115" t="s">
        <v>37</v>
      </c>
      <c r="T270" s="9"/>
      <c r="U270" s="9"/>
      <c r="V270" s="9"/>
      <c r="W270" s="9"/>
      <c r="X270" s="7" t="s">
        <v>31</v>
      </c>
      <c r="Y270" s="29">
        <v>1</v>
      </c>
      <c r="Z270" s="29">
        <v>2</v>
      </c>
      <c r="AA270" s="29">
        <v>1</v>
      </c>
      <c r="AB270" s="29">
        <v>1</v>
      </c>
      <c r="AC270" s="29">
        <v>1</v>
      </c>
      <c r="AD270" s="29">
        <v>1</v>
      </c>
      <c r="AE270" s="29">
        <v>1</v>
      </c>
      <c r="AF270" s="29">
        <v>1</v>
      </c>
      <c r="AG270" s="29">
        <v>1</v>
      </c>
      <c r="AH270" s="29">
        <v>1</v>
      </c>
      <c r="AI270" s="29">
        <v>1</v>
      </c>
      <c r="AJ270" s="29">
        <v>1</v>
      </c>
      <c r="AK270" s="29">
        <v>1</v>
      </c>
      <c r="AL270" s="29">
        <v>1</v>
      </c>
      <c r="AM270" s="29">
        <v>1</v>
      </c>
      <c r="AN270" s="29">
        <v>1</v>
      </c>
      <c r="AO270" s="29">
        <v>1</v>
      </c>
      <c r="AP270" s="29">
        <v>1</v>
      </c>
      <c r="AQ270" s="29">
        <v>1</v>
      </c>
      <c r="AR270" s="29">
        <v>1</v>
      </c>
      <c r="AS270" s="29">
        <v>1</v>
      </c>
      <c r="AT270" s="29">
        <v>1</v>
      </c>
      <c r="AU270" s="29">
        <v>1</v>
      </c>
      <c r="AV270" s="29">
        <v>1</v>
      </c>
      <c r="AW270" s="29">
        <v>1</v>
      </c>
      <c r="AX270" s="29">
        <v>1</v>
      </c>
      <c r="AY270" s="29">
        <v>1</v>
      </c>
      <c r="AZ270" s="29">
        <v>1</v>
      </c>
      <c r="BA270" s="29">
        <v>1</v>
      </c>
      <c r="BB270" s="29">
        <v>1</v>
      </c>
      <c r="BC270" s="29">
        <v>2</v>
      </c>
      <c r="BD270" s="29">
        <v>1</v>
      </c>
      <c r="BE270" s="29">
        <v>1</v>
      </c>
      <c r="BF270" s="10">
        <f>SUM(Y270:BE270)</f>
        <v>35</v>
      </c>
    </row>
    <row r="271" spans="2:58" ht="22" customHeight="1">
      <c r="B271" s="101"/>
      <c r="C271" s="101"/>
      <c r="D271" s="101"/>
      <c r="E271" s="101"/>
      <c r="F271" s="101"/>
      <c r="G271" s="101"/>
      <c r="H271" s="101"/>
      <c r="I271" s="101"/>
      <c r="J271" s="101"/>
      <c r="K271" s="101"/>
      <c r="L271" s="101"/>
      <c r="M271" s="101"/>
      <c r="N271" s="101"/>
      <c r="O271" s="101"/>
      <c r="P271" s="101"/>
      <c r="Q271" s="101"/>
      <c r="R271" s="101"/>
      <c r="S271" s="101"/>
      <c r="T271" s="9"/>
      <c r="U271" s="9"/>
      <c r="V271" s="9"/>
      <c r="W271" s="9"/>
      <c r="X271" s="7" t="s">
        <v>10</v>
      </c>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0">
        <f>SUM(Y271:BE271)</f>
        <v>0</v>
      </c>
    </row>
    <row r="272" spans="2:58" ht="22" customHeight="1">
      <c r="B272" s="101"/>
      <c r="C272" s="101"/>
      <c r="D272" s="101"/>
      <c r="E272" s="101"/>
      <c r="F272" s="101"/>
      <c r="G272" s="101"/>
      <c r="H272" s="101"/>
      <c r="I272" s="101"/>
      <c r="J272" s="101"/>
      <c r="K272" s="101"/>
      <c r="L272" s="101"/>
      <c r="M272" s="101"/>
      <c r="N272" s="101"/>
      <c r="O272" s="101"/>
      <c r="P272" s="101"/>
      <c r="Q272" s="101"/>
      <c r="R272" s="101"/>
      <c r="S272" s="101"/>
      <c r="T272" s="9"/>
      <c r="U272" s="9"/>
      <c r="V272" s="9"/>
      <c r="W272" s="9"/>
      <c r="X272" s="30" t="s">
        <v>38</v>
      </c>
      <c r="Y272" s="31">
        <v>9000</v>
      </c>
      <c r="Z272" s="31">
        <v>9000</v>
      </c>
      <c r="AA272" s="31">
        <v>9000</v>
      </c>
      <c r="AB272" s="31">
        <v>9000</v>
      </c>
      <c r="AC272" s="31">
        <v>9000</v>
      </c>
      <c r="AD272" s="31">
        <v>9000</v>
      </c>
      <c r="AE272" s="31">
        <v>9000</v>
      </c>
      <c r="AF272" s="31">
        <v>9000</v>
      </c>
      <c r="AG272" s="31">
        <v>9000</v>
      </c>
      <c r="AH272" s="31">
        <v>9000</v>
      </c>
      <c r="AI272" s="31">
        <v>9000</v>
      </c>
      <c r="AJ272" s="31">
        <v>9000</v>
      </c>
      <c r="AK272" s="31">
        <v>9000</v>
      </c>
      <c r="AL272" s="31">
        <v>9000</v>
      </c>
      <c r="AM272" s="31">
        <v>9000</v>
      </c>
      <c r="AN272" s="31">
        <v>9000</v>
      </c>
      <c r="AO272" s="31">
        <v>9000</v>
      </c>
      <c r="AP272" s="31">
        <v>9000</v>
      </c>
      <c r="AQ272" s="31">
        <v>9000</v>
      </c>
      <c r="AR272" s="31">
        <v>9000</v>
      </c>
      <c r="AS272" s="31">
        <v>9000</v>
      </c>
      <c r="AT272" s="31">
        <v>9000</v>
      </c>
      <c r="AU272" s="31">
        <v>9000</v>
      </c>
      <c r="AV272" s="31">
        <v>9000</v>
      </c>
      <c r="AW272" s="31">
        <v>9000</v>
      </c>
      <c r="AX272" s="31">
        <v>9000</v>
      </c>
      <c r="AY272" s="31">
        <v>9000</v>
      </c>
      <c r="AZ272" s="31">
        <v>9000</v>
      </c>
      <c r="BA272" s="31">
        <v>9000</v>
      </c>
      <c r="BB272" s="31">
        <v>9000</v>
      </c>
      <c r="BC272" s="31">
        <v>9000</v>
      </c>
      <c r="BD272" s="31">
        <v>9000</v>
      </c>
      <c r="BE272" s="31">
        <v>9000</v>
      </c>
      <c r="BF272" s="12">
        <f>SUM(Y272:BE272)</f>
        <v>297000</v>
      </c>
    </row>
    <row r="273" spans="2:58" ht="22" customHeight="1">
      <c r="B273" s="102"/>
      <c r="C273" s="102"/>
      <c r="D273" s="102"/>
      <c r="E273" s="102"/>
      <c r="F273" s="102"/>
      <c r="G273" s="102"/>
      <c r="H273" s="102"/>
      <c r="I273" s="102"/>
      <c r="J273" s="102"/>
      <c r="K273" s="102"/>
      <c r="L273" s="102"/>
      <c r="M273" s="102"/>
      <c r="N273" s="102"/>
      <c r="O273" s="102"/>
      <c r="P273" s="102"/>
      <c r="Q273" s="102"/>
      <c r="R273" s="102"/>
      <c r="S273" s="102"/>
      <c r="T273" s="9"/>
      <c r="U273" s="9"/>
      <c r="V273" s="9"/>
      <c r="W273" s="9"/>
      <c r="X273" s="7" t="s">
        <v>11</v>
      </c>
      <c r="Y273" s="3">
        <f t="shared" ref="Y273:BF273" si="93">Y271-Y270</f>
        <v>-1</v>
      </c>
      <c r="Z273" s="3">
        <f t="shared" si="93"/>
        <v>-2</v>
      </c>
      <c r="AA273" s="3">
        <f t="shared" si="93"/>
        <v>-1</v>
      </c>
      <c r="AB273" s="3">
        <f t="shared" si="93"/>
        <v>-1</v>
      </c>
      <c r="AC273" s="3">
        <f t="shared" si="93"/>
        <v>-1</v>
      </c>
      <c r="AD273" s="3">
        <f t="shared" si="93"/>
        <v>-1</v>
      </c>
      <c r="AE273" s="3">
        <f t="shared" si="93"/>
        <v>-1</v>
      </c>
      <c r="AF273" s="3">
        <f t="shared" si="93"/>
        <v>-1</v>
      </c>
      <c r="AG273" s="3">
        <f t="shared" si="93"/>
        <v>-1</v>
      </c>
      <c r="AH273" s="3">
        <f t="shared" si="93"/>
        <v>-1</v>
      </c>
      <c r="AI273" s="3">
        <f t="shared" si="93"/>
        <v>-1</v>
      </c>
      <c r="AJ273" s="3">
        <f t="shared" si="93"/>
        <v>-1</v>
      </c>
      <c r="AK273" s="3">
        <f t="shared" si="93"/>
        <v>-1</v>
      </c>
      <c r="AL273" s="3">
        <f t="shared" si="93"/>
        <v>-1</v>
      </c>
      <c r="AM273" s="3">
        <f t="shared" si="93"/>
        <v>-1</v>
      </c>
      <c r="AN273" s="3">
        <f t="shared" si="93"/>
        <v>-1</v>
      </c>
      <c r="AO273" s="3">
        <f t="shared" si="93"/>
        <v>-1</v>
      </c>
      <c r="AP273" s="3">
        <f t="shared" si="93"/>
        <v>-1</v>
      </c>
      <c r="AQ273" s="3">
        <f t="shared" si="93"/>
        <v>-1</v>
      </c>
      <c r="AR273" s="3">
        <f t="shared" si="93"/>
        <v>-1</v>
      </c>
      <c r="AS273" s="3">
        <f t="shared" si="93"/>
        <v>-1</v>
      </c>
      <c r="AT273" s="3">
        <f t="shared" si="93"/>
        <v>-1</v>
      </c>
      <c r="AU273" s="3">
        <f t="shared" si="93"/>
        <v>-1</v>
      </c>
      <c r="AV273" s="3">
        <f t="shared" si="93"/>
        <v>-1</v>
      </c>
      <c r="AW273" s="3">
        <f t="shared" si="93"/>
        <v>-1</v>
      </c>
      <c r="AX273" s="3">
        <f t="shared" si="93"/>
        <v>-1</v>
      </c>
      <c r="AY273" s="3">
        <f t="shared" si="93"/>
        <v>-1</v>
      </c>
      <c r="AZ273" s="3">
        <f t="shared" si="93"/>
        <v>-1</v>
      </c>
      <c r="BA273" s="3">
        <f t="shared" si="93"/>
        <v>-1</v>
      </c>
      <c r="BB273" s="3">
        <f t="shared" si="93"/>
        <v>-1</v>
      </c>
      <c r="BC273" s="3">
        <f t="shared" si="93"/>
        <v>-2</v>
      </c>
      <c r="BD273" s="3">
        <f t="shared" si="93"/>
        <v>-1</v>
      </c>
      <c r="BE273" s="3">
        <f t="shared" si="93"/>
        <v>-1</v>
      </c>
      <c r="BF273" s="10">
        <f t="shared" si="93"/>
        <v>-35</v>
      </c>
    </row>
    <row r="274" spans="2:58" ht="22" customHeight="1">
      <c r="B274" s="107">
        <v>74</v>
      </c>
      <c r="C274" s="117" t="s">
        <v>82</v>
      </c>
      <c r="D274" s="108" t="s">
        <v>177</v>
      </c>
      <c r="E274" s="103"/>
      <c r="F274" s="109"/>
      <c r="G274" s="106">
        <f>SUM(Y274:AZ274)</f>
        <v>2</v>
      </c>
      <c r="H274" s="106">
        <f>SUM(Y275:AZ275)</f>
        <v>0</v>
      </c>
      <c r="I274" s="111"/>
      <c r="J274" s="112">
        <f>IFERROR(H274/G274,0)</f>
        <v>0</v>
      </c>
      <c r="K274" s="110">
        <v>0.1</v>
      </c>
      <c r="L274" s="110">
        <v>0.1</v>
      </c>
      <c r="M274" s="111"/>
      <c r="N274" s="111"/>
      <c r="O274" s="111"/>
      <c r="P274" s="111"/>
      <c r="Q274" s="111"/>
      <c r="R274" s="111"/>
      <c r="S274" s="103" t="s">
        <v>37</v>
      </c>
      <c r="T274" s="39"/>
      <c r="U274" s="39"/>
      <c r="V274" s="39"/>
      <c r="W274" s="39"/>
      <c r="X274" s="33" t="s">
        <v>31</v>
      </c>
      <c r="Y274" s="40">
        <v>0</v>
      </c>
      <c r="Z274" s="40">
        <v>0</v>
      </c>
      <c r="AA274" s="40">
        <v>0</v>
      </c>
      <c r="AB274" s="40">
        <v>0</v>
      </c>
      <c r="AC274" s="40">
        <v>0</v>
      </c>
      <c r="AD274" s="40">
        <v>0</v>
      </c>
      <c r="AE274" s="40">
        <v>0</v>
      </c>
      <c r="AF274" s="40">
        <v>0</v>
      </c>
      <c r="AG274" s="40">
        <v>0</v>
      </c>
      <c r="AH274" s="40">
        <v>0</v>
      </c>
      <c r="AI274" s="40">
        <v>0</v>
      </c>
      <c r="AJ274" s="40">
        <v>0</v>
      </c>
      <c r="AK274" s="40">
        <v>0</v>
      </c>
      <c r="AL274" s="40">
        <v>0</v>
      </c>
      <c r="AM274" s="40">
        <v>0</v>
      </c>
      <c r="AN274" s="40">
        <v>0</v>
      </c>
      <c r="AO274" s="40">
        <v>0</v>
      </c>
      <c r="AP274" s="40">
        <v>0</v>
      </c>
      <c r="AQ274" s="40">
        <v>0</v>
      </c>
      <c r="AR274" s="40">
        <v>0</v>
      </c>
      <c r="AS274" s="40">
        <v>0</v>
      </c>
      <c r="AT274" s="40">
        <v>0</v>
      </c>
      <c r="AU274" s="40">
        <v>1</v>
      </c>
      <c r="AV274" s="40">
        <v>1</v>
      </c>
      <c r="AW274" s="40">
        <v>0</v>
      </c>
      <c r="AX274" s="40">
        <v>0</v>
      </c>
      <c r="AY274" s="40">
        <v>0</v>
      </c>
      <c r="AZ274" s="40">
        <v>0</v>
      </c>
      <c r="BA274" s="40">
        <v>0</v>
      </c>
      <c r="BB274" s="40">
        <v>0</v>
      </c>
      <c r="BC274" s="40">
        <v>0</v>
      </c>
      <c r="BD274" s="40">
        <v>0</v>
      </c>
      <c r="BE274" s="40">
        <v>0</v>
      </c>
      <c r="BF274" s="10">
        <f>SUM(Y274:BE274)</f>
        <v>2</v>
      </c>
    </row>
    <row r="275" spans="2:58" ht="22" customHeight="1">
      <c r="B275" s="101"/>
      <c r="C275" s="101"/>
      <c r="D275" s="101"/>
      <c r="E275" s="101"/>
      <c r="F275" s="101"/>
      <c r="G275" s="101"/>
      <c r="H275" s="101"/>
      <c r="I275" s="101"/>
      <c r="J275" s="101"/>
      <c r="K275" s="101"/>
      <c r="L275" s="101"/>
      <c r="M275" s="101"/>
      <c r="N275" s="101"/>
      <c r="O275" s="101"/>
      <c r="P275" s="101"/>
      <c r="Q275" s="101"/>
      <c r="R275" s="101"/>
      <c r="S275" s="101"/>
      <c r="T275" s="39"/>
      <c r="U275" s="39"/>
      <c r="V275" s="39"/>
      <c r="W275" s="39"/>
      <c r="X275" s="33" t="s">
        <v>10</v>
      </c>
      <c r="Y275" s="41"/>
      <c r="Z275" s="41"/>
      <c r="AA275" s="41"/>
      <c r="AB275" s="41"/>
      <c r="AC275" s="41"/>
      <c r="AD275" s="41"/>
      <c r="AE275" s="41"/>
      <c r="AF275" s="41"/>
      <c r="AG275" s="41"/>
      <c r="AH275" s="41"/>
      <c r="AI275" s="41"/>
      <c r="AJ275" s="41"/>
      <c r="AK275" s="41"/>
      <c r="AL275" s="41"/>
      <c r="AM275" s="41"/>
      <c r="AN275" s="41"/>
      <c r="AO275" s="41"/>
      <c r="AP275" s="41"/>
      <c r="AQ275" s="41"/>
      <c r="AR275" s="41"/>
      <c r="AS275" s="41"/>
      <c r="AT275" s="41"/>
      <c r="AU275" s="41"/>
      <c r="AV275" s="41"/>
      <c r="AW275" s="41"/>
      <c r="AX275" s="41"/>
      <c r="AY275" s="41"/>
      <c r="AZ275" s="41"/>
      <c r="BA275" s="41"/>
      <c r="BB275" s="41"/>
      <c r="BC275" s="41"/>
      <c r="BD275" s="41"/>
      <c r="BE275" s="41"/>
      <c r="BF275" s="10">
        <f>SUM(Y275:BE275)</f>
        <v>0</v>
      </c>
    </row>
    <row r="276" spans="2:58" ht="22" customHeight="1">
      <c r="B276" s="101"/>
      <c r="C276" s="101"/>
      <c r="D276" s="101"/>
      <c r="E276" s="101"/>
      <c r="F276" s="101"/>
      <c r="G276" s="101"/>
      <c r="H276" s="101"/>
      <c r="I276" s="101"/>
      <c r="J276" s="101"/>
      <c r="K276" s="101"/>
      <c r="L276" s="101"/>
      <c r="M276" s="101"/>
      <c r="N276" s="101"/>
      <c r="O276" s="101"/>
      <c r="P276" s="101"/>
      <c r="Q276" s="101"/>
      <c r="R276" s="101"/>
      <c r="S276" s="101"/>
      <c r="T276" s="39"/>
      <c r="U276" s="39"/>
      <c r="V276" s="39"/>
      <c r="W276" s="39"/>
      <c r="X276" s="42" t="s">
        <v>38</v>
      </c>
      <c r="Y276" s="43">
        <v>9000</v>
      </c>
      <c r="Z276" s="43">
        <v>9000</v>
      </c>
      <c r="AA276" s="43">
        <v>9000</v>
      </c>
      <c r="AB276" s="43">
        <v>9000</v>
      </c>
      <c r="AC276" s="43">
        <v>9000</v>
      </c>
      <c r="AD276" s="43">
        <v>9000</v>
      </c>
      <c r="AE276" s="43">
        <v>9000</v>
      </c>
      <c r="AF276" s="43">
        <v>9000</v>
      </c>
      <c r="AG276" s="43">
        <v>9000</v>
      </c>
      <c r="AH276" s="43">
        <v>9000</v>
      </c>
      <c r="AI276" s="43">
        <v>9000</v>
      </c>
      <c r="AJ276" s="43">
        <v>9000</v>
      </c>
      <c r="AK276" s="43">
        <v>9000</v>
      </c>
      <c r="AL276" s="43">
        <v>9000</v>
      </c>
      <c r="AM276" s="43">
        <v>9000</v>
      </c>
      <c r="AN276" s="43">
        <v>9000</v>
      </c>
      <c r="AO276" s="43">
        <v>9000</v>
      </c>
      <c r="AP276" s="43">
        <v>9000</v>
      </c>
      <c r="AQ276" s="43">
        <v>9000</v>
      </c>
      <c r="AR276" s="43">
        <v>9000</v>
      </c>
      <c r="AS276" s="43">
        <v>9000</v>
      </c>
      <c r="AT276" s="43">
        <v>9000</v>
      </c>
      <c r="AU276" s="43">
        <v>9000</v>
      </c>
      <c r="AV276" s="43">
        <v>9000</v>
      </c>
      <c r="AW276" s="43">
        <v>9000</v>
      </c>
      <c r="AX276" s="43">
        <v>9000</v>
      </c>
      <c r="AY276" s="43">
        <v>9000</v>
      </c>
      <c r="AZ276" s="43">
        <v>9000</v>
      </c>
      <c r="BA276" s="43">
        <v>9000</v>
      </c>
      <c r="BB276" s="43">
        <v>9000</v>
      </c>
      <c r="BC276" s="43">
        <v>9000</v>
      </c>
      <c r="BD276" s="43">
        <v>9000</v>
      </c>
      <c r="BE276" s="43">
        <v>9000</v>
      </c>
      <c r="BF276" s="12">
        <f>SUM(Y276:BE276)</f>
        <v>297000</v>
      </c>
    </row>
    <row r="277" spans="2:58" ht="22" customHeight="1">
      <c r="B277" s="102"/>
      <c r="C277" s="102"/>
      <c r="D277" s="102"/>
      <c r="E277" s="102"/>
      <c r="F277" s="102"/>
      <c r="G277" s="102"/>
      <c r="H277" s="102"/>
      <c r="I277" s="102"/>
      <c r="J277" s="102"/>
      <c r="K277" s="102"/>
      <c r="L277" s="102"/>
      <c r="M277" s="102"/>
      <c r="N277" s="102"/>
      <c r="O277" s="102"/>
      <c r="P277" s="102"/>
      <c r="Q277" s="102"/>
      <c r="R277" s="102"/>
      <c r="S277" s="102"/>
      <c r="T277" s="39"/>
      <c r="U277" s="39"/>
      <c r="V277" s="39"/>
      <c r="W277" s="39"/>
      <c r="X277" s="33" t="s">
        <v>11</v>
      </c>
      <c r="Y277" s="36">
        <f t="shared" ref="Y277:BF277" si="94">Y275-Y274</f>
        <v>0</v>
      </c>
      <c r="Z277" s="36">
        <f t="shared" si="94"/>
        <v>0</v>
      </c>
      <c r="AA277" s="36">
        <f t="shared" si="94"/>
        <v>0</v>
      </c>
      <c r="AB277" s="36">
        <f t="shared" si="94"/>
        <v>0</v>
      </c>
      <c r="AC277" s="36">
        <f t="shared" si="94"/>
        <v>0</v>
      </c>
      <c r="AD277" s="36">
        <f t="shared" si="94"/>
        <v>0</v>
      </c>
      <c r="AE277" s="36">
        <f t="shared" si="94"/>
        <v>0</v>
      </c>
      <c r="AF277" s="36">
        <f t="shared" si="94"/>
        <v>0</v>
      </c>
      <c r="AG277" s="36">
        <f t="shared" si="94"/>
        <v>0</v>
      </c>
      <c r="AH277" s="36">
        <f t="shared" si="94"/>
        <v>0</v>
      </c>
      <c r="AI277" s="36">
        <f t="shared" si="94"/>
        <v>0</v>
      </c>
      <c r="AJ277" s="36">
        <f t="shared" si="94"/>
        <v>0</v>
      </c>
      <c r="AK277" s="36">
        <f t="shared" si="94"/>
        <v>0</v>
      </c>
      <c r="AL277" s="36">
        <f t="shared" si="94"/>
        <v>0</v>
      </c>
      <c r="AM277" s="36">
        <f t="shared" si="94"/>
        <v>0</v>
      </c>
      <c r="AN277" s="36">
        <f t="shared" si="94"/>
        <v>0</v>
      </c>
      <c r="AO277" s="36">
        <f t="shared" si="94"/>
        <v>0</v>
      </c>
      <c r="AP277" s="36">
        <f t="shared" si="94"/>
        <v>0</v>
      </c>
      <c r="AQ277" s="36">
        <f t="shared" si="94"/>
        <v>0</v>
      </c>
      <c r="AR277" s="36">
        <f t="shared" si="94"/>
        <v>0</v>
      </c>
      <c r="AS277" s="36">
        <f t="shared" si="94"/>
        <v>0</v>
      </c>
      <c r="AT277" s="36">
        <f t="shared" si="94"/>
        <v>0</v>
      </c>
      <c r="AU277" s="36">
        <f t="shared" si="94"/>
        <v>-1</v>
      </c>
      <c r="AV277" s="36">
        <f t="shared" si="94"/>
        <v>-1</v>
      </c>
      <c r="AW277" s="36">
        <f t="shared" si="94"/>
        <v>0</v>
      </c>
      <c r="AX277" s="36">
        <f t="shared" si="94"/>
        <v>0</v>
      </c>
      <c r="AY277" s="36">
        <f t="shared" si="94"/>
        <v>0</v>
      </c>
      <c r="AZ277" s="36">
        <f t="shared" si="94"/>
        <v>0</v>
      </c>
      <c r="BA277" s="36">
        <f t="shared" si="94"/>
        <v>0</v>
      </c>
      <c r="BB277" s="36">
        <f t="shared" si="94"/>
        <v>0</v>
      </c>
      <c r="BC277" s="36">
        <f t="shared" si="94"/>
        <v>0</v>
      </c>
      <c r="BD277" s="36">
        <f t="shared" si="94"/>
        <v>0</v>
      </c>
      <c r="BE277" s="36">
        <f t="shared" si="94"/>
        <v>0</v>
      </c>
      <c r="BF277" s="10">
        <f t="shared" si="94"/>
        <v>-2</v>
      </c>
    </row>
    <row r="278" spans="2:58" ht="22" customHeight="1">
      <c r="B278" s="104">
        <v>75</v>
      </c>
      <c r="C278" s="118" t="s">
        <v>148</v>
      </c>
      <c r="D278" s="105" t="s">
        <v>178</v>
      </c>
      <c r="E278" s="115"/>
      <c r="F278" s="119"/>
      <c r="G278" s="114">
        <f>SUM(Y278:AZ278)</f>
        <v>5</v>
      </c>
      <c r="H278" s="114">
        <f>SUM(Y279:AZ279)</f>
        <v>0</v>
      </c>
      <c r="I278" s="100"/>
      <c r="J278" s="116">
        <f>IFERROR(H278/G278,0)</f>
        <v>0</v>
      </c>
      <c r="K278" s="113">
        <v>0.1</v>
      </c>
      <c r="L278" s="113">
        <v>0.1</v>
      </c>
      <c r="M278" s="100"/>
      <c r="N278" s="100"/>
      <c r="O278" s="100"/>
      <c r="P278" s="100"/>
      <c r="Q278" s="100"/>
      <c r="R278" s="100"/>
      <c r="S278" s="115" t="s">
        <v>37</v>
      </c>
      <c r="T278" s="9"/>
      <c r="U278" s="9"/>
      <c r="V278" s="9"/>
      <c r="W278" s="9"/>
      <c r="X278" s="7" t="s">
        <v>31</v>
      </c>
      <c r="Y278" s="29">
        <v>0</v>
      </c>
      <c r="Z278" s="29">
        <v>1</v>
      </c>
      <c r="AA278" s="29">
        <v>1</v>
      </c>
      <c r="AB278" s="29">
        <v>0</v>
      </c>
      <c r="AC278" s="29">
        <v>0</v>
      </c>
      <c r="AD278" s="29">
        <v>0</v>
      </c>
      <c r="AE278" s="29">
        <v>0</v>
      </c>
      <c r="AF278" s="29">
        <v>0</v>
      </c>
      <c r="AG278" s="29">
        <v>1</v>
      </c>
      <c r="AH278" s="29">
        <v>1</v>
      </c>
      <c r="AI278" s="29">
        <v>0</v>
      </c>
      <c r="AJ278" s="29">
        <v>0</v>
      </c>
      <c r="AK278" s="29">
        <v>0</v>
      </c>
      <c r="AL278" s="29">
        <v>0</v>
      </c>
      <c r="AM278" s="29">
        <v>0</v>
      </c>
      <c r="AN278" s="29">
        <v>0</v>
      </c>
      <c r="AO278" s="29">
        <v>0</v>
      </c>
      <c r="AP278" s="29">
        <v>0</v>
      </c>
      <c r="AQ278" s="29">
        <v>1</v>
      </c>
      <c r="AR278" s="29">
        <v>0</v>
      </c>
      <c r="AS278" s="29">
        <v>0</v>
      </c>
      <c r="AT278" s="29">
        <v>0</v>
      </c>
      <c r="AU278" s="29">
        <v>0</v>
      </c>
      <c r="AV278" s="29">
        <v>0</v>
      </c>
      <c r="AW278" s="29">
        <v>0</v>
      </c>
      <c r="AX278" s="29">
        <v>0</v>
      </c>
      <c r="AY278" s="29">
        <v>0</v>
      </c>
      <c r="AZ278" s="29">
        <v>0</v>
      </c>
      <c r="BA278" s="29">
        <v>0</v>
      </c>
      <c r="BB278" s="29">
        <v>0</v>
      </c>
      <c r="BC278" s="29">
        <v>0</v>
      </c>
      <c r="BD278" s="29">
        <v>0</v>
      </c>
      <c r="BE278" s="29">
        <v>0</v>
      </c>
      <c r="BF278" s="10">
        <f>SUM(Y278:BE278)</f>
        <v>5</v>
      </c>
    </row>
    <row r="279" spans="2:58" ht="22" customHeight="1">
      <c r="B279" s="101"/>
      <c r="C279" s="101"/>
      <c r="D279" s="101"/>
      <c r="E279" s="101"/>
      <c r="F279" s="101"/>
      <c r="G279" s="101"/>
      <c r="H279" s="101"/>
      <c r="I279" s="101"/>
      <c r="J279" s="101"/>
      <c r="K279" s="101"/>
      <c r="L279" s="101"/>
      <c r="M279" s="101"/>
      <c r="N279" s="101"/>
      <c r="O279" s="101"/>
      <c r="P279" s="101"/>
      <c r="Q279" s="101"/>
      <c r="R279" s="101"/>
      <c r="S279" s="101"/>
      <c r="T279" s="9"/>
      <c r="U279" s="9"/>
      <c r="V279" s="9"/>
      <c r="W279" s="9"/>
      <c r="X279" s="7" t="s">
        <v>10</v>
      </c>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0">
        <f>SUM(Y279:BE279)</f>
        <v>0</v>
      </c>
    </row>
    <row r="280" spans="2:58" ht="22" customHeight="1">
      <c r="B280" s="101"/>
      <c r="C280" s="101"/>
      <c r="D280" s="101"/>
      <c r="E280" s="101"/>
      <c r="F280" s="101"/>
      <c r="G280" s="101"/>
      <c r="H280" s="101"/>
      <c r="I280" s="101"/>
      <c r="J280" s="101"/>
      <c r="K280" s="101"/>
      <c r="L280" s="101"/>
      <c r="M280" s="101"/>
      <c r="N280" s="101"/>
      <c r="O280" s="101"/>
      <c r="P280" s="101"/>
      <c r="Q280" s="101"/>
      <c r="R280" s="101"/>
      <c r="S280" s="101"/>
      <c r="T280" s="9"/>
      <c r="U280" s="9"/>
      <c r="V280" s="9"/>
      <c r="W280" s="9"/>
      <c r="X280" s="30" t="s">
        <v>38</v>
      </c>
      <c r="Y280" s="31">
        <v>9000</v>
      </c>
      <c r="Z280" s="31">
        <v>9000</v>
      </c>
      <c r="AA280" s="31">
        <v>9000</v>
      </c>
      <c r="AB280" s="31">
        <v>9000</v>
      </c>
      <c r="AC280" s="31">
        <v>9000</v>
      </c>
      <c r="AD280" s="31">
        <v>9000</v>
      </c>
      <c r="AE280" s="31">
        <v>9000</v>
      </c>
      <c r="AF280" s="31">
        <v>9000</v>
      </c>
      <c r="AG280" s="31">
        <v>9000</v>
      </c>
      <c r="AH280" s="31">
        <v>9000</v>
      </c>
      <c r="AI280" s="31">
        <v>9000</v>
      </c>
      <c r="AJ280" s="31">
        <v>9000</v>
      </c>
      <c r="AK280" s="31">
        <v>9000</v>
      </c>
      <c r="AL280" s="31">
        <v>9000</v>
      </c>
      <c r="AM280" s="31">
        <v>9000</v>
      </c>
      <c r="AN280" s="31">
        <v>9000</v>
      </c>
      <c r="AO280" s="31">
        <v>9000</v>
      </c>
      <c r="AP280" s="31">
        <v>9000</v>
      </c>
      <c r="AQ280" s="31">
        <v>9000</v>
      </c>
      <c r="AR280" s="31">
        <v>9000</v>
      </c>
      <c r="AS280" s="31">
        <v>9000</v>
      </c>
      <c r="AT280" s="31">
        <v>9000</v>
      </c>
      <c r="AU280" s="31">
        <v>9000</v>
      </c>
      <c r="AV280" s="31">
        <v>9000</v>
      </c>
      <c r="AW280" s="31">
        <v>9000</v>
      </c>
      <c r="AX280" s="31">
        <v>9000</v>
      </c>
      <c r="AY280" s="31">
        <v>9000</v>
      </c>
      <c r="AZ280" s="31">
        <v>9000</v>
      </c>
      <c r="BA280" s="31">
        <v>9000</v>
      </c>
      <c r="BB280" s="31">
        <v>9000</v>
      </c>
      <c r="BC280" s="31">
        <v>9000</v>
      </c>
      <c r="BD280" s="31">
        <v>9000</v>
      </c>
      <c r="BE280" s="31">
        <v>9000</v>
      </c>
      <c r="BF280" s="12">
        <f>SUM(Y280:BE280)</f>
        <v>297000</v>
      </c>
    </row>
    <row r="281" spans="2:58" ht="22" customHeight="1">
      <c r="B281" s="102"/>
      <c r="C281" s="102"/>
      <c r="D281" s="102"/>
      <c r="E281" s="102"/>
      <c r="F281" s="102"/>
      <c r="G281" s="102"/>
      <c r="H281" s="102"/>
      <c r="I281" s="102"/>
      <c r="J281" s="102"/>
      <c r="K281" s="102"/>
      <c r="L281" s="102"/>
      <c r="M281" s="102"/>
      <c r="N281" s="102"/>
      <c r="O281" s="102"/>
      <c r="P281" s="102"/>
      <c r="Q281" s="102"/>
      <c r="R281" s="102"/>
      <c r="S281" s="102"/>
      <c r="T281" s="9"/>
      <c r="U281" s="9"/>
      <c r="V281" s="9"/>
      <c r="W281" s="9"/>
      <c r="X281" s="7" t="s">
        <v>11</v>
      </c>
      <c r="Y281" s="3">
        <f t="shared" ref="Y281:BF281" si="95">Y279-Y278</f>
        <v>0</v>
      </c>
      <c r="Z281" s="3">
        <f t="shared" si="95"/>
        <v>-1</v>
      </c>
      <c r="AA281" s="3">
        <f t="shared" si="95"/>
        <v>-1</v>
      </c>
      <c r="AB281" s="3">
        <f t="shared" si="95"/>
        <v>0</v>
      </c>
      <c r="AC281" s="3">
        <f t="shared" si="95"/>
        <v>0</v>
      </c>
      <c r="AD281" s="3">
        <f t="shared" si="95"/>
        <v>0</v>
      </c>
      <c r="AE281" s="3">
        <f t="shared" si="95"/>
        <v>0</v>
      </c>
      <c r="AF281" s="3">
        <f t="shared" si="95"/>
        <v>0</v>
      </c>
      <c r="AG281" s="3">
        <f t="shared" si="95"/>
        <v>-1</v>
      </c>
      <c r="AH281" s="3">
        <f t="shared" si="95"/>
        <v>-1</v>
      </c>
      <c r="AI281" s="3">
        <f t="shared" si="95"/>
        <v>0</v>
      </c>
      <c r="AJ281" s="3">
        <f t="shared" si="95"/>
        <v>0</v>
      </c>
      <c r="AK281" s="3">
        <f t="shared" si="95"/>
        <v>0</v>
      </c>
      <c r="AL281" s="3">
        <f t="shared" si="95"/>
        <v>0</v>
      </c>
      <c r="AM281" s="3">
        <f t="shared" si="95"/>
        <v>0</v>
      </c>
      <c r="AN281" s="3">
        <f t="shared" si="95"/>
        <v>0</v>
      </c>
      <c r="AO281" s="3">
        <f t="shared" si="95"/>
        <v>0</v>
      </c>
      <c r="AP281" s="3">
        <f t="shared" si="95"/>
        <v>0</v>
      </c>
      <c r="AQ281" s="3">
        <f t="shared" si="95"/>
        <v>-1</v>
      </c>
      <c r="AR281" s="3">
        <f t="shared" si="95"/>
        <v>0</v>
      </c>
      <c r="AS281" s="3">
        <f t="shared" si="95"/>
        <v>0</v>
      </c>
      <c r="AT281" s="3">
        <f t="shared" si="95"/>
        <v>0</v>
      </c>
      <c r="AU281" s="3">
        <f t="shared" si="95"/>
        <v>0</v>
      </c>
      <c r="AV281" s="3">
        <f t="shared" si="95"/>
        <v>0</v>
      </c>
      <c r="AW281" s="3">
        <f t="shared" si="95"/>
        <v>0</v>
      </c>
      <c r="AX281" s="3">
        <f t="shared" si="95"/>
        <v>0</v>
      </c>
      <c r="AY281" s="3">
        <f t="shared" si="95"/>
        <v>0</v>
      </c>
      <c r="AZ281" s="3">
        <f t="shared" si="95"/>
        <v>0</v>
      </c>
      <c r="BA281" s="3">
        <f t="shared" si="95"/>
        <v>0</v>
      </c>
      <c r="BB281" s="3">
        <f t="shared" si="95"/>
        <v>0</v>
      </c>
      <c r="BC281" s="3">
        <f t="shared" si="95"/>
        <v>0</v>
      </c>
      <c r="BD281" s="3">
        <f t="shared" si="95"/>
        <v>0</v>
      </c>
      <c r="BE281" s="3">
        <f t="shared" si="95"/>
        <v>0</v>
      </c>
      <c r="BF281" s="10">
        <f t="shared" si="95"/>
        <v>-5</v>
      </c>
    </row>
    <row r="282" spans="2:58" ht="22" customHeight="1">
      <c r="B282" s="107">
        <v>76</v>
      </c>
      <c r="C282" s="117" t="s">
        <v>150</v>
      </c>
      <c r="D282" s="108" t="s">
        <v>179</v>
      </c>
      <c r="E282" s="103"/>
      <c r="F282" s="109"/>
      <c r="G282" s="106">
        <f>SUM(Y282:AZ282)</f>
        <v>4</v>
      </c>
      <c r="H282" s="106">
        <f>SUM(Y283:AZ283)</f>
        <v>0</v>
      </c>
      <c r="I282" s="111"/>
      <c r="J282" s="112">
        <f>IFERROR(H282/G282,0)</f>
        <v>0</v>
      </c>
      <c r="K282" s="110">
        <v>0.1</v>
      </c>
      <c r="L282" s="110">
        <v>0.1</v>
      </c>
      <c r="M282" s="111"/>
      <c r="N282" s="111"/>
      <c r="O282" s="111"/>
      <c r="P282" s="111"/>
      <c r="Q282" s="111"/>
      <c r="R282" s="111"/>
      <c r="S282" s="103" t="s">
        <v>37</v>
      </c>
      <c r="T282" s="39"/>
      <c r="U282" s="39"/>
      <c r="V282" s="39"/>
      <c r="W282" s="39"/>
      <c r="X282" s="33" t="s">
        <v>31</v>
      </c>
      <c r="Y282" s="40">
        <v>0</v>
      </c>
      <c r="Z282" s="40">
        <v>1</v>
      </c>
      <c r="AA282" s="40">
        <v>1</v>
      </c>
      <c r="AB282" s="40">
        <v>0</v>
      </c>
      <c r="AC282" s="40">
        <v>0</v>
      </c>
      <c r="AD282" s="40">
        <v>0</v>
      </c>
      <c r="AE282" s="40">
        <v>0</v>
      </c>
      <c r="AF282" s="40">
        <v>0</v>
      </c>
      <c r="AG282" s="40">
        <v>1</v>
      </c>
      <c r="AH282" s="40">
        <v>1</v>
      </c>
      <c r="AI282" s="40">
        <v>0</v>
      </c>
      <c r="AJ282" s="40">
        <v>0</v>
      </c>
      <c r="AK282" s="40">
        <v>0</v>
      </c>
      <c r="AL282" s="40">
        <v>0</v>
      </c>
      <c r="AM282" s="40">
        <v>0</v>
      </c>
      <c r="AN282" s="40">
        <v>0</v>
      </c>
      <c r="AO282" s="40">
        <v>0</v>
      </c>
      <c r="AP282" s="40">
        <v>0</v>
      </c>
      <c r="AQ282" s="40">
        <v>0</v>
      </c>
      <c r="AR282" s="40">
        <v>0</v>
      </c>
      <c r="AS282" s="40">
        <v>0</v>
      </c>
      <c r="AT282" s="40">
        <v>0</v>
      </c>
      <c r="AU282" s="40">
        <v>0</v>
      </c>
      <c r="AV282" s="40">
        <v>0</v>
      </c>
      <c r="AW282" s="40">
        <v>0</v>
      </c>
      <c r="AX282" s="40">
        <v>0</v>
      </c>
      <c r="AY282" s="40">
        <v>0</v>
      </c>
      <c r="AZ282" s="40">
        <v>0</v>
      </c>
      <c r="BA282" s="40">
        <v>0</v>
      </c>
      <c r="BB282" s="40">
        <v>0</v>
      </c>
      <c r="BC282" s="40">
        <v>0</v>
      </c>
      <c r="BD282" s="40">
        <v>0</v>
      </c>
      <c r="BE282" s="40">
        <v>0</v>
      </c>
      <c r="BF282" s="10">
        <f>SUM(Y282:BE282)</f>
        <v>4</v>
      </c>
    </row>
    <row r="283" spans="2:58" ht="22" customHeight="1">
      <c r="B283" s="101"/>
      <c r="C283" s="101"/>
      <c r="D283" s="101"/>
      <c r="E283" s="101"/>
      <c r="F283" s="101"/>
      <c r="G283" s="101"/>
      <c r="H283" s="101"/>
      <c r="I283" s="101"/>
      <c r="J283" s="101"/>
      <c r="K283" s="101"/>
      <c r="L283" s="101"/>
      <c r="M283" s="101"/>
      <c r="N283" s="101"/>
      <c r="O283" s="101"/>
      <c r="P283" s="101"/>
      <c r="Q283" s="101"/>
      <c r="R283" s="101"/>
      <c r="S283" s="101"/>
      <c r="T283" s="39"/>
      <c r="U283" s="39"/>
      <c r="V283" s="39"/>
      <c r="W283" s="39"/>
      <c r="X283" s="33" t="s">
        <v>10</v>
      </c>
      <c r="Y283" s="41"/>
      <c r="Z283" s="41"/>
      <c r="AA283" s="41"/>
      <c r="AB283" s="41"/>
      <c r="AC283" s="41"/>
      <c r="AD283" s="41"/>
      <c r="AE283" s="41"/>
      <c r="AF283" s="41"/>
      <c r="AG283" s="41"/>
      <c r="AH283" s="41"/>
      <c r="AI283" s="41"/>
      <c r="AJ283" s="41"/>
      <c r="AK283" s="41"/>
      <c r="AL283" s="41"/>
      <c r="AM283" s="41"/>
      <c r="AN283" s="41"/>
      <c r="AO283" s="41"/>
      <c r="AP283" s="41"/>
      <c r="AQ283" s="41"/>
      <c r="AR283" s="41"/>
      <c r="AS283" s="41"/>
      <c r="AT283" s="41"/>
      <c r="AU283" s="41"/>
      <c r="AV283" s="41"/>
      <c r="AW283" s="41"/>
      <c r="AX283" s="41"/>
      <c r="AY283" s="41"/>
      <c r="AZ283" s="41"/>
      <c r="BA283" s="41"/>
      <c r="BB283" s="41"/>
      <c r="BC283" s="41"/>
      <c r="BD283" s="41"/>
      <c r="BE283" s="41"/>
      <c r="BF283" s="10">
        <f>SUM(Y283:BE283)</f>
        <v>0</v>
      </c>
    </row>
    <row r="284" spans="2:58" ht="22" customHeight="1">
      <c r="B284" s="101"/>
      <c r="C284" s="101"/>
      <c r="D284" s="101"/>
      <c r="E284" s="101"/>
      <c r="F284" s="101"/>
      <c r="G284" s="101"/>
      <c r="H284" s="101"/>
      <c r="I284" s="101"/>
      <c r="J284" s="101"/>
      <c r="K284" s="101"/>
      <c r="L284" s="101"/>
      <c r="M284" s="101"/>
      <c r="N284" s="101"/>
      <c r="O284" s="101"/>
      <c r="P284" s="101"/>
      <c r="Q284" s="101"/>
      <c r="R284" s="101"/>
      <c r="S284" s="101"/>
      <c r="T284" s="39"/>
      <c r="U284" s="39"/>
      <c r="V284" s="39"/>
      <c r="W284" s="39"/>
      <c r="X284" s="42" t="s">
        <v>38</v>
      </c>
      <c r="Y284" s="43">
        <v>9000</v>
      </c>
      <c r="Z284" s="43">
        <v>9000</v>
      </c>
      <c r="AA284" s="43">
        <v>9000</v>
      </c>
      <c r="AB284" s="43">
        <v>9000</v>
      </c>
      <c r="AC284" s="43">
        <v>9000</v>
      </c>
      <c r="AD284" s="43">
        <v>9000</v>
      </c>
      <c r="AE284" s="43">
        <v>9000</v>
      </c>
      <c r="AF284" s="43">
        <v>9000</v>
      </c>
      <c r="AG284" s="43">
        <v>9000</v>
      </c>
      <c r="AH284" s="43">
        <v>9000</v>
      </c>
      <c r="AI284" s="43">
        <v>9000</v>
      </c>
      <c r="AJ284" s="43">
        <v>9000</v>
      </c>
      <c r="AK284" s="43">
        <v>9000</v>
      </c>
      <c r="AL284" s="43">
        <v>9000</v>
      </c>
      <c r="AM284" s="43">
        <v>9000</v>
      </c>
      <c r="AN284" s="43">
        <v>9000</v>
      </c>
      <c r="AO284" s="43">
        <v>9000</v>
      </c>
      <c r="AP284" s="43">
        <v>9000</v>
      </c>
      <c r="AQ284" s="43">
        <v>9000</v>
      </c>
      <c r="AR284" s="43">
        <v>9000</v>
      </c>
      <c r="AS284" s="43">
        <v>9000</v>
      </c>
      <c r="AT284" s="43">
        <v>9000</v>
      </c>
      <c r="AU284" s="43">
        <v>9000</v>
      </c>
      <c r="AV284" s="43">
        <v>9000</v>
      </c>
      <c r="AW284" s="43">
        <v>9000</v>
      </c>
      <c r="AX284" s="43">
        <v>9000</v>
      </c>
      <c r="AY284" s="43">
        <v>9000</v>
      </c>
      <c r="AZ284" s="43">
        <v>9000</v>
      </c>
      <c r="BA284" s="43">
        <v>9000</v>
      </c>
      <c r="BB284" s="43">
        <v>9000</v>
      </c>
      <c r="BC284" s="43">
        <v>9000</v>
      </c>
      <c r="BD284" s="43">
        <v>9000</v>
      </c>
      <c r="BE284" s="43">
        <v>9000</v>
      </c>
      <c r="BF284" s="12">
        <f>SUM(Y284:BE284)</f>
        <v>297000</v>
      </c>
    </row>
    <row r="285" spans="2:58" ht="22" customHeight="1">
      <c r="B285" s="102"/>
      <c r="C285" s="102"/>
      <c r="D285" s="102"/>
      <c r="E285" s="102"/>
      <c r="F285" s="102"/>
      <c r="G285" s="102"/>
      <c r="H285" s="102"/>
      <c r="I285" s="102"/>
      <c r="J285" s="102"/>
      <c r="K285" s="102"/>
      <c r="L285" s="102"/>
      <c r="M285" s="102"/>
      <c r="N285" s="102"/>
      <c r="O285" s="102"/>
      <c r="P285" s="102"/>
      <c r="Q285" s="102"/>
      <c r="R285" s="102"/>
      <c r="S285" s="102"/>
      <c r="T285" s="39"/>
      <c r="U285" s="39"/>
      <c r="V285" s="39"/>
      <c r="W285" s="39"/>
      <c r="X285" s="33" t="s">
        <v>11</v>
      </c>
      <c r="Y285" s="36">
        <f t="shared" ref="Y285:BF285" si="96">Y283-Y282</f>
        <v>0</v>
      </c>
      <c r="Z285" s="36">
        <f t="shared" si="96"/>
        <v>-1</v>
      </c>
      <c r="AA285" s="36">
        <f t="shared" si="96"/>
        <v>-1</v>
      </c>
      <c r="AB285" s="36">
        <f t="shared" si="96"/>
        <v>0</v>
      </c>
      <c r="AC285" s="36">
        <f t="shared" si="96"/>
        <v>0</v>
      </c>
      <c r="AD285" s="36">
        <f t="shared" si="96"/>
        <v>0</v>
      </c>
      <c r="AE285" s="36">
        <f t="shared" si="96"/>
        <v>0</v>
      </c>
      <c r="AF285" s="36">
        <f t="shared" si="96"/>
        <v>0</v>
      </c>
      <c r="AG285" s="36">
        <f t="shared" si="96"/>
        <v>-1</v>
      </c>
      <c r="AH285" s="36">
        <f t="shared" si="96"/>
        <v>-1</v>
      </c>
      <c r="AI285" s="36">
        <f t="shared" si="96"/>
        <v>0</v>
      </c>
      <c r="AJ285" s="36">
        <f t="shared" si="96"/>
        <v>0</v>
      </c>
      <c r="AK285" s="36">
        <f t="shared" si="96"/>
        <v>0</v>
      </c>
      <c r="AL285" s="36">
        <f t="shared" si="96"/>
        <v>0</v>
      </c>
      <c r="AM285" s="36">
        <f t="shared" si="96"/>
        <v>0</v>
      </c>
      <c r="AN285" s="36">
        <f t="shared" si="96"/>
        <v>0</v>
      </c>
      <c r="AO285" s="36">
        <f t="shared" si="96"/>
        <v>0</v>
      </c>
      <c r="AP285" s="36">
        <f t="shared" si="96"/>
        <v>0</v>
      </c>
      <c r="AQ285" s="36">
        <f t="shared" si="96"/>
        <v>0</v>
      </c>
      <c r="AR285" s="36">
        <f t="shared" si="96"/>
        <v>0</v>
      </c>
      <c r="AS285" s="36">
        <f t="shared" si="96"/>
        <v>0</v>
      </c>
      <c r="AT285" s="36">
        <f t="shared" si="96"/>
        <v>0</v>
      </c>
      <c r="AU285" s="36">
        <f t="shared" si="96"/>
        <v>0</v>
      </c>
      <c r="AV285" s="36">
        <f t="shared" si="96"/>
        <v>0</v>
      </c>
      <c r="AW285" s="36">
        <f t="shared" si="96"/>
        <v>0</v>
      </c>
      <c r="AX285" s="36">
        <f t="shared" si="96"/>
        <v>0</v>
      </c>
      <c r="AY285" s="36">
        <f t="shared" si="96"/>
        <v>0</v>
      </c>
      <c r="AZ285" s="36">
        <f t="shared" si="96"/>
        <v>0</v>
      </c>
      <c r="BA285" s="36">
        <f t="shared" si="96"/>
        <v>0</v>
      </c>
      <c r="BB285" s="36">
        <f t="shared" si="96"/>
        <v>0</v>
      </c>
      <c r="BC285" s="36">
        <f t="shared" si="96"/>
        <v>0</v>
      </c>
      <c r="BD285" s="36">
        <f t="shared" si="96"/>
        <v>0</v>
      </c>
      <c r="BE285" s="36">
        <f t="shared" si="96"/>
        <v>0</v>
      </c>
      <c r="BF285" s="10">
        <f t="shared" si="96"/>
        <v>-4</v>
      </c>
    </row>
    <row r="286" spans="2:58" ht="22" customHeight="1">
      <c r="B286" s="104">
        <v>77</v>
      </c>
      <c r="C286" s="118" t="s">
        <v>100</v>
      </c>
      <c r="D286" s="105" t="s">
        <v>180</v>
      </c>
      <c r="E286" s="115"/>
      <c r="F286" s="119"/>
      <c r="G286" s="114">
        <f>SUM(Y286:AZ286)</f>
        <v>4</v>
      </c>
      <c r="H286" s="114">
        <f>SUM(Y287:AZ287)</f>
        <v>0</v>
      </c>
      <c r="I286" s="100"/>
      <c r="J286" s="116">
        <f>IFERROR(H286/G286,0)</f>
        <v>0</v>
      </c>
      <c r="K286" s="113">
        <v>0.1</v>
      </c>
      <c r="L286" s="113">
        <v>0.1</v>
      </c>
      <c r="M286" s="100"/>
      <c r="N286" s="100"/>
      <c r="O286" s="100"/>
      <c r="P286" s="100"/>
      <c r="Q286" s="100"/>
      <c r="R286" s="100"/>
      <c r="S286" s="115" t="s">
        <v>37</v>
      </c>
      <c r="T286" s="9"/>
      <c r="U286" s="9"/>
      <c r="V286" s="9"/>
      <c r="W286" s="9"/>
      <c r="X286" s="7" t="s">
        <v>31</v>
      </c>
      <c r="Y286" s="29">
        <v>0</v>
      </c>
      <c r="Z286" s="29">
        <v>2</v>
      </c>
      <c r="AA286" s="29">
        <v>0</v>
      </c>
      <c r="AB286" s="29">
        <v>0</v>
      </c>
      <c r="AC286" s="29">
        <v>0</v>
      </c>
      <c r="AD286" s="29">
        <v>0</v>
      </c>
      <c r="AE286" s="29">
        <v>0</v>
      </c>
      <c r="AF286" s="29">
        <v>0</v>
      </c>
      <c r="AG286" s="29">
        <v>2</v>
      </c>
      <c r="AH286" s="29">
        <v>0</v>
      </c>
      <c r="AI286" s="29">
        <v>0</v>
      </c>
      <c r="AJ286" s="29">
        <v>0</v>
      </c>
      <c r="AK286" s="29">
        <v>0</v>
      </c>
      <c r="AL286" s="29">
        <v>0</v>
      </c>
      <c r="AM286" s="29">
        <v>0</v>
      </c>
      <c r="AN286" s="29">
        <v>0</v>
      </c>
      <c r="AO286" s="29">
        <v>0</v>
      </c>
      <c r="AP286" s="29">
        <v>0</v>
      </c>
      <c r="AQ286" s="29">
        <v>0</v>
      </c>
      <c r="AR286" s="29">
        <v>0</v>
      </c>
      <c r="AS286" s="29">
        <v>0</v>
      </c>
      <c r="AT286" s="29">
        <v>0</v>
      </c>
      <c r="AU286" s="29">
        <v>0</v>
      </c>
      <c r="AV286" s="29">
        <v>0</v>
      </c>
      <c r="AW286" s="29">
        <v>0</v>
      </c>
      <c r="AX286" s="29">
        <v>0</v>
      </c>
      <c r="AY286" s="29">
        <v>0</v>
      </c>
      <c r="AZ286" s="29">
        <v>0</v>
      </c>
      <c r="BA286" s="29">
        <v>0</v>
      </c>
      <c r="BB286" s="29">
        <v>0</v>
      </c>
      <c r="BC286" s="29">
        <v>0</v>
      </c>
      <c r="BD286" s="29">
        <v>0</v>
      </c>
      <c r="BE286" s="29">
        <v>0</v>
      </c>
      <c r="BF286" s="10">
        <f>SUM(Y286:BE286)</f>
        <v>4</v>
      </c>
    </row>
    <row r="287" spans="2:58" ht="22" customHeight="1">
      <c r="B287" s="101"/>
      <c r="C287" s="101"/>
      <c r="D287" s="101"/>
      <c r="E287" s="101"/>
      <c r="F287" s="101"/>
      <c r="G287" s="101"/>
      <c r="H287" s="101"/>
      <c r="I287" s="101"/>
      <c r="J287" s="101"/>
      <c r="K287" s="101"/>
      <c r="L287" s="101"/>
      <c r="M287" s="101"/>
      <c r="N287" s="101"/>
      <c r="O287" s="101"/>
      <c r="P287" s="101"/>
      <c r="Q287" s="101"/>
      <c r="R287" s="101"/>
      <c r="S287" s="101"/>
      <c r="T287" s="9"/>
      <c r="U287" s="9"/>
      <c r="V287" s="9"/>
      <c r="W287" s="9"/>
      <c r="X287" s="7" t="s">
        <v>10</v>
      </c>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0">
        <f>SUM(Y287:BE287)</f>
        <v>0</v>
      </c>
    </row>
    <row r="288" spans="2:58" ht="22" customHeight="1">
      <c r="B288" s="101"/>
      <c r="C288" s="101"/>
      <c r="D288" s="101"/>
      <c r="E288" s="101"/>
      <c r="F288" s="101"/>
      <c r="G288" s="101"/>
      <c r="H288" s="101"/>
      <c r="I288" s="101"/>
      <c r="J288" s="101"/>
      <c r="K288" s="101"/>
      <c r="L288" s="101"/>
      <c r="M288" s="101"/>
      <c r="N288" s="101"/>
      <c r="O288" s="101"/>
      <c r="P288" s="101"/>
      <c r="Q288" s="101"/>
      <c r="R288" s="101"/>
      <c r="S288" s="101"/>
      <c r="T288" s="9"/>
      <c r="U288" s="9"/>
      <c r="V288" s="9"/>
      <c r="W288" s="9"/>
      <c r="X288" s="30" t="s">
        <v>38</v>
      </c>
      <c r="Y288" s="31">
        <v>9000</v>
      </c>
      <c r="Z288" s="31">
        <v>9000</v>
      </c>
      <c r="AA288" s="31">
        <v>9000</v>
      </c>
      <c r="AB288" s="31">
        <v>9000</v>
      </c>
      <c r="AC288" s="31">
        <v>9000</v>
      </c>
      <c r="AD288" s="31">
        <v>9000</v>
      </c>
      <c r="AE288" s="31">
        <v>9000</v>
      </c>
      <c r="AF288" s="31">
        <v>9000</v>
      </c>
      <c r="AG288" s="31">
        <v>9000</v>
      </c>
      <c r="AH288" s="31">
        <v>9000</v>
      </c>
      <c r="AI288" s="31">
        <v>9000</v>
      </c>
      <c r="AJ288" s="31">
        <v>9000</v>
      </c>
      <c r="AK288" s="31">
        <v>9000</v>
      </c>
      <c r="AL288" s="31">
        <v>9000</v>
      </c>
      <c r="AM288" s="31">
        <v>9000</v>
      </c>
      <c r="AN288" s="31">
        <v>9000</v>
      </c>
      <c r="AO288" s="31">
        <v>9000</v>
      </c>
      <c r="AP288" s="31">
        <v>9000</v>
      </c>
      <c r="AQ288" s="31">
        <v>9000</v>
      </c>
      <c r="AR288" s="31">
        <v>9000</v>
      </c>
      <c r="AS288" s="31">
        <v>9000</v>
      </c>
      <c r="AT288" s="31">
        <v>9000</v>
      </c>
      <c r="AU288" s="31">
        <v>9000</v>
      </c>
      <c r="AV288" s="31">
        <v>9000</v>
      </c>
      <c r="AW288" s="31">
        <v>9000</v>
      </c>
      <c r="AX288" s="31">
        <v>9000</v>
      </c>
      <c r="AY288" s="31">
        <v>9000</v>
      </c>
      <c r="AZ288" s="31">
        <v>9000</v>
      </c>
      <c r="BA288" s="31">
        <v>9000</v>
      </c>
      <c r="BB288" s="31">
        <v>9000</v>
      </c>
      <c r="BC288" s="31">
        <v>9000</v>
      </c>
      <c r="BD288" s="31">
        <v>9000</v>
      </c>
      <c r="BE288" s="31">
        <v>9000</v>
      </c>
      <c r="BF288" s="12">
        <f>SUM(Y288:BE288)</f>
        <v>297000</v>
      </c>
    </row>
    <row r="289" spans="2:58" ht="22" customHeight="1">
      <c r="B289" s="102"/>
      <c r="C289" s="102"/>
      <c r="D289" s="102"/>
      <c r="E289" s="102"/>
      <c r="F289" s="102"/>
      <c r="G289" s="102"/>
      <c r="H289" s="102"/>
      <c r="I289" s="102"/>
      <c r="J289" s="102"/>
      <c r="K289" s="102"/>
      <c r="L289" s="102"/>
      <c r="M289" s="102"/>
      <c r="N289" s="102"/>
      <c r="O289" s="102"/>
      <c r="P289" s="102"/>
      <c r="Q289" s="102"/>
      <c r="R289" s="102"/>
      <c r="S289" s="102"/>
      <c r="T289" s="9"/>
      <c r="U289" s="9"/>
      <c r="V289" s="9"/>
      <c r="W289" s="9"/>
      <c r="X289" s="7" t="s">
        <v>11</v>
      </c>
      <c r="Y289" s="3">
        <f t="shared" ref="Y289:BF289" si="97">Y287-Y286</f>
        <v>0</v>
      </c>
      <c r="Z289" s="3">
        <f t="shared" si="97"/>
        <v>-2</v>
      </c>
      <c r="AA289" s="3">
        <f t="shared" si="97"/>
        <v>0</v>
      </c>
      <c r="AB289" s="3">
        <f t="shared" si="97"/>
        <v>0</v>
      </c>
      <c r="AC289" s="3">
        <f t="shared" si="97"/>
        <v>0</v>
      </c>
      <c r="AD289" s="3">
        <f t="shared" si="97"/>
        <v>0</v>
      </c>
      <c r="AE289" s="3">
        <f t="shared" si="97"/>
        <v>0</v>
      </c>
      <c r="AF289" s="3">
        <f t="shared" si="97"/>
        <v>0</v>
      </c>
      <c r="AG289" s="3">
        <f t="shared" si="97"/>
        <v>-2</v>
      </c>
      <c r="AH289" s="3">
        <f t="shared" si="97"/>
        <v>0</v>
      </c>
      <c r="AI289" s="3">
        <f t="shared" si="97"/>
        <v>0</v>
      </c>
      <c r="AJ289" s="3">
        <f t="shared" si="97"/>
        <v>0</v>
      </c>
      <c r="AK289" s="3">
        <f t="shared" si="97"/>
        <v>0</v>
      </c>
      <c r="AL289" s="3">
        <f t="shared" si="97"/>
        <v>0</v>
      </c>
      <c r="AM289" s="3">
        <f t="shared" si="97"/>
        <v>0</v>
      </c>
      <c r="AN289" s="3">
        <f t="shared" si="97"/>
        <v>0</v>
      </c>
      <c r="AO289" s="3">
        <f t="shared" si="97"/>
        <v>0</v>
      </c>
      <c r="AP289" s="3">
        <f t="shared" si="97"/>
        <v>0</v>
      </c>
      <c r="AQ289" s="3">
        <f t="shared" si="97"/>
        <v>0</v>
      </c>
      <c r="AR289" s="3">
        <f t="shared" si="97"/>
        <v>0</v>
      </c>
      <c r="AS289" s="3">
        <f t="shared" si="97"/>
        <v>0</v>
      </c>
      <c r="AT289" s="3">
        <f t="shared" si="97"/>
        <v>0</v>
      </c>
      <c r="AU289" s="3">
        <f t="shared" si="97"/>
        <v>0</v>
      </c>
      <c r="AV289" s="3">
        <f t="shared" si="97"/>
        <v>0</v>
      </c>
      <c r="AW289" s="3">
        <f t="shared" si="97"/>
        <v>0</v>
      </c>
      <c r="AX289" s="3">
        <f t="shared" si="97"/>
        <v>0</v>
      </c>
      <c r="AY289" s="3">
        <f t="shared" si="97"/>
        <v>0</v>
      </c>
      <c r="AZ289" s="3">
        <f t="shared" si="97"/>
        <v>0</v>
      </c>
      <c r="BA289" s="3">
        <f t="shared" si="97"/>
        <v>0</v>
      </c>
      <c r="BB289" s="3">
        <f t="shared" si="97"/>
        <v>0</v>
      </c>
      <c r="BC289" s="3">
        <f t="shared" si="97"/>
        <v>0</v>
      </c>
      <c r="BD289" s="3">
        <f t="shared" si="97"/>
        <v>0</v>
      </c>
      <c r="BE289" s="3">
        <f t="shared" si="97"/>
        <v>0</v>
      </c>
      <c r="BF289" s="10">
        <f t="shared" si="97"/>
        <v>-4</v>
      </c>
    </row>
    <row r="290" spans="2:58" ht="22" customHeight="1">
      <c r="B290" s="107">
        <v>78</v>
      </c>
      <c r="C290" s="117" t="s">
        <v>58</v>
      </c>
      <c r="D290" s="108" t="s">
        <v>181</v>
      </c>
      <c r="E290" s="103"/>
      <c r="F290" s="109"/>
      <c r="G290" s="106">
        <f>SUM(Y290:AZ290)</f>
        <v>2</v>
      </c>
      <c r="H290" s="106">
        <f>SUM(Y291:AZ291)</f>
        <v>0</v>
      </c>
      <c r="I290" s="111"/>
      <c r="J290" s="112">
        <f>IFERROR(H290/G290,0)</f>
        <v>0</v>
      </c>
      <c r="K290" s="110">
        <v>3.0303030303030299E-3</v>
      </c>
      <c r="L290" s="110">
        <v>3.0303030303030299E-3</v>
      </c>
      <c r="M290" s="111"/>
      <c r="N290" s="111"/>
      <c r="O290" s="111"/>
      <c r="P290" s="111"/>
      <c r="Q290" s="111"/>
      <c r="R290" s="111"/>
      <c r="S290" s="103" t="s">
        <v>37</v>
      </c>
      <c r="T290" s="39"/>
      <c r="U290" s="39"/>
      <c r="V290" s="39"/>
      <c r="W290" s="39"/>
      <c r="X290" s="33" t="s">
        <v>31</v>
      </c>
      <c r="Y290" s="40">
        <v>0</v>
      </c>
      <c r="Z290" s="40">
        <v>0</v>
      </c>
      <c r="AA290" s="40">
        <v>2</v>
      </c>
      <c r="AB290" s="40">
        <v>0</v>
      </c>
      <c r="AC290" s="40">
        <v>0</v>
      </c>
      <c r="AD290" s="40">
        <v>0</v>
      </c>
      <c r="AE290" s="40">
        <v>0</v>
      </c>
      <c r="AF290" s="40">
        <v>0</v>
      </c>
      <c r="AG290" s="40">
        <v>0</v>
      </c>
      <c r="AH290" s="40">
        <v>0</v>
      </c>
      <c r="AI290" s="40">
        <v>0</v>
      </c>
      <c r="AJ290" s="40">
        <v>0</v>
      </c>
      <c r="AK290" s="40">
        <v>0</v>
      </c>
      <c r="AL290" s="40">
        <v>0</v>
      </c>
      <c r="AM290" s="40">
        <v>0</v>
      </c>
      <c r="AN290" s="40">
        <v>0</v>
      </c>
      <c r="AO290" s="40">
        <v>0</v>
      </c>
      <c r="AP290" s="40">
        <v>0</v>
      </c>
      <c r="AQ290" s="40">
        <v>0</v>
      </c>
      <c r="AR290" s="40">
        <v>0</v>
      </c>
      <c r="AS290" s="40">
        <v>0</v>
      </c>
      <c r="AT290" s="40">
        <v>0</v>
      </c>
      <c r="AU290" s="40">
        <v>0</v>
      </c>
      <c r="AV290" s="40">
        <v>0</v>
      </c>
      <c r="AW290" s="40">
        <v>0</v>
      </c>
      <c r="AX290" s="40">
        <v>0</v>
      </c>
      <c r="AY290" s="40">
        <v>0</v>
      </c>
      <c r="AZ290" s="40">
        <v>0</v>
      </c>
      <c r="BA290" s="40">
        <v>0</v>
      </c>
      <c r="BB290" s="40">
        <v>0</v>
      </c>
      <c r="BC290" s="40">
        <v>0</v>
      </c>
      <c r="BD290" s="40">
        <v>0</v>
      </c>
      <c r="BE290" s="40">
        <v>0</v>
      </c>
      <c r="BF290" s="10">
        <f>SUM(Y290:BE290)</f>
        <v>2</v>
      </c>
    </row>
    <row r="291" spans="2:58" ht="22" customHeight="1">
      <c r="B291" s="101"/>
      <c r="C291" s="101"/>
      <c r="D291" s="101"/>
      <c r="E291" s="101"/>
      <c r="F291" s="101"/>
      <c r="G291" s="101"/>
      <c r="H291" s="101"/>
      <c r="I291" s="101"/>
      <c r="J291" s="101"/>
      <c r="K291" s="101"/>
      <c r="L291" s="101"/>
      <c r="M291" s="101"/>
      <c r="N291" s="101"/>
      <c r="O291" s="101"/>
      <c r="P291" s="101"/>
      <c r="Q291" s="101"/>
      <c r="R291" s="101"/>
      <c r="S291" s="101"/>
      <c r="T291" s="39"/>
      <c r="U291" s="39"/>
      <c r="V291" s="39"/>
      <c r="W291" s="39"/>
      <c r="X291" s="33" t="s">
        <v>10</v>
      </c>
      <c r="Y291" s="41"/>
      <c r="Z291" s="41"/>
      <c r="AA291" s="41"/>
      <c r="AB291" s="41"/>
      <c r="AC291" s="41"/>
      <c r="AD291" s="41"/>
      <c r="AE291" s="41"/>
      <c r="AF291" s="41"/>
      <c r="AG291" s="41"/>
      <c r="AH291" s="41"/>
      <c r="AI291" s="41"/>
      <c r="AJ291" s="41"/>
      <c r="AK291" s="41"/>
      <c r="AL291" s="41"/>
      <c r="AM291" s="41"/>
      <c r="AN291" s="41"/>
      <c r="AO291" s="41"/>
      <c r="AP291" s="41"/>
      <c r="AQ291" s="41"/>
      <c r="AR291" s="41"/>
      <c r="AS291" s="41"/>
      <c r="AT291" s="41"/>
      <c r="AU291" s="41"/>
      <c r="AV291" s="41"/>
      <c r="AW291" s="41"/>
      <c r="AX291" s="41"/>
      <c r="AY291" s="41"/>
      <c r="AZ291" s="41"/>
      <c r="BA291" s="41"/>
      <c r="BB291" s="41"/>
      <c r="BC291" s="41"/>
      <c r="BD291" s="41"/>
      <c r="BE291" s="41"/>
      <c r="BF291" s="10">
        <f>SUM(Y291:BE291)</f>
        <v>0</v>
      </c>
    </row>
    <row r="292" spans="2:58" ht="22" customHeight="1">
      <c r="B292" s="101"/>
      <c r="C292" s="101"/>
      <c r="D292" s="101"/>
      <c r="E292" s="101"/>
      <c r="F292" s="101"/>
      <c r="G292" s="101"/>
      <c r="H292" s="101"/>
      <c r="I292" s="101"/>
      <c r="J292" s="101"/>
      <c r="K292" s="101"/>
      <c r="L292" s="101"/>
      <c r="M292" s="101"/>
      <c r="N292" s="101"/>
      <c r="O292" s="101"/>
      <c r="P292" s="101"/>
      <c r="Q292" s="101"/>
      <c r="R292" s="101"/>
      <c r="S292" s="101"/>
      <c r="T292" s="39"/>
      <c r="U292" s="39"/>
      <c r="V292" s="39"/>
      <c r="W292" s="39"/>
      <c r="X292" s="42" t="s">
        <v>38</v>
      </c>
      <c r="Y292" s="43">
        <v>9000</v>
      </c>
      <c r="Z292" s="43">
        <v>9000</v>
      </c>
      <c r="AA292" s="43">
        <v>9000</v>
      </c>
      <c r="AB292" s="43">
        <v>9000</v>
      </c>
      <c r="AC292" s="43">
        <v>9000</v>
      </c>
      <c r="AD292" s="43">
        <v>9000</v>
      </c>
      <c r="AE292" s="43">
        <v>9000</v>
      </c>
      <c r="AF292" s="43">
        <v>9000</v>
      </c>
      <c r="AG292" s="43">
        <v>9000</v>
      </c>
      <c r="AH292" s="43">
        <v>9000</v>
      </c>
      <c r="AI292" s="43">
        <v>9000</v>
      </c>
      <c r="AJ292" s="43">
        <v>9000</v>
      </c>
      <c r="AK292" s="43">
        <v>9000</v>
      </c>
      <c r="AL292" s="43">
        <v>9000</v>
      </c>
      <c r="AM292" s="43">
        <v>9000</v>
      </c>
      <c r="AN292" s="43">
        <v>9000</v>
      </c>
      <c r="AO292" s="43">
        <v>9000</v>
      </c>
      <c r="AP292" s="43">
        <v>9000</v>
      </c>
      <c r="AQ292" s="43">
        <v>9000</v>
      </c>
      <c r="AR292" s="43">
        <v>9000</v>
      </c>
      <c r="AS292" s="43">
        <v>9000</v>
      </c>
      <c r="AT292" s="43">
        <v>9000</v>
      </c>
      <c r="AU292" s="43">
        <v>9000</v>
      </c>
      <c r="AV292" s="43">
        <v>9000</v>
      </c>
      <c r="AW292" s="43">
        <v>9000</v>
      </c>
      <c r="AX292" s="43">
        <v>9000</v>
      </c>
      <c r="AY292" s="43">
        <v>9000</v>
      </c>
      <c r="AZ292" s="43">
        <v>9000</v>
      </c>
      <c r="BA292" s="43">
        <v>9000</v>
      </c>
      <c r="BB292" s="43">
        <v>9000</v>
      </c>
      <c r="BC292" s="43">
        <v>9000</v>
      </c>
      <c r="BD292" s="43">
        <v>9000</v>
      </c>
      <c r="BE292" s="43">
        <v>9000</v>
      </c>
      <c r="BF292" s="12">
        <f>SUM(Y292:BE292)</f>
        <v>297000</v>
      </c>
    </row>
    <row r="293" spans="2:58" ht="22" customHeight="1">
      <c r="B293" s="102"/>
      <c r="C293" s="102"/>
      <c r="D293" s="102"/>
      <c r="E293" s="102"/>
      <c r="F293" s="102"/>
      <c r="G293" s="102"/>
      <c r="H293" s="102"/>
      <c r="I293" s="102"/>
      <c r="J293" s="102"/>
      <c r="K293" s="102"/>
      <c r="L293" s="102"/>
      <c r="M293" s="102"/>
      <c r="N293" s="102"/>
      <c r="O293" s="102"/>
      <c r="P293" s="102"/>
      <c r="Q293" s="102"/>
      <c r="R293" s="102"/>
      <c r="S293" s="102"/>
      <c r="T293" s="39"/>
      <c r="U293" s="39"/>
      <c r="V293" s="39"/>
      <c r="W293" s="39"/>
      <c r="X293" s="33" t="s">
        <v>11</v>
      </c>
      <c r="Y293" s="36">
        <f t="shared" ref="Y293:BF293" si="98">Y291-Y290</f>
        <v>0</v>
      </c>
      <c r="Z293" s="36">
        <f t="shared" si="98"/>
        <v>0</v>
      </c>
      <c r="AA293" s="36">
        <f t="shared" si="98"/>
        <v>-2</v>
      </c>
      <c r="AB293" s="36">
        <f t="shared" si="98"/>
        <v>0</v>
      </c>
      <c r="AC293" s="36">
        <f t="shared" si="98"/>
        <v>0</v>
      </c>
      <c r="AD293" s="36">
        <f t="shared" si="98"/>
        <v>0</v>
      </c>
      <c r="AE293" s="36">
        <f t="shared" si="98"/>
        <v>0</v>
      </c>
      <c r="AF293" s="36">
        <f t="shared" si="98"/>
        <v>0</v>
      </c>
      <c r="AG293" s="36">
        <f t="shared" si="98"/>
        <v>0</v>
      </c>
      <c r="AH293" s="36">
        <f t="shared" si="98"/>
        <v>0</v>
      </c>
      <c r="AI293" s="36">
        <f t="shared" si="98"/>
        <v>0</v>
      </c>
      <c r="AJ293" s="36">
        <f t="shared" si="98"/>
        <v>0</v>
      </c>
      <c r="AK293" s="36">
        <f t="shared" si="98"/>
        <v>0</v>
      </c>
      <c r="AL293" s="36">
        <f t="shared" si="98"/>
        <v>0</v>
      </c>
      <c r="AM293" s="36">
        <f t="shared" si="98"/>
        <v>0</v>
      </c>
      <c r="AN293" s="36">
        <f t="shared" si="98"/>
        <v>0</v>
      </c>
      <c r="AO293" s="36">
        <f t="shared" si="98"/>
        <v>0</v>
      </c>
      <c r="AP293" s="36">
        <f t="shared" si="98"/>
        <v>0</v>
      </c>
      <c r="AQ293" s="36">
        <f t="shared" si="98"/>
        <v>0</v>
      </c>
      <c r="AR293" s="36">
        <f t="shared" si="98"/>
        <v>0</v>
      </c>
      <c r="AS293" s="36">
        <f t="shared" si="98"/>
        <v>0</v>
      </c>
      <c r="AT293" s="36">
        <f t="shared" si="98"/>
        <v>0</v>
      </c>
      <c r="AU293" s="36">
        <f t="shared" si="98"/>
        <v>0</v>
      </c>
      <c r="AV293" s="36">
        <f t="shared" si="98"/>
        <v>0</v>
      </c>
      <c r="AW293" s="36">
        <f t="shared" si="98"/>
        <v>0</v>
      </c>
      <c r="AX293" s="36">
        <f t="shared" si="98"/>
        <v>0</v>
      </c>
      <c r="AY293" s="36">
        <f t="shared" si="98"/>
        <v>0</v>
      </c>
      <c r="AZ293" s="36">
        <f t="shared" si="98"/>
        <v>0</v>
      </c>
      <c r="BA293" s="36">
        <f t="shared" si="98"/>
        <v>0</v>
      </c>
      <c r="BB293" s="36">
        <f t="shared" si="98"/>
        <v>0</v>
      </c>
      <c r="BC293" s="36">
        <f t="shared" si="98"/>
        <v>0</v>
      </c>
      <c r="BD293" s="36">
        <f t="shared" si="98"/>
        <v>0</v>
      </c>
      <c r="BE293" s="36">
        <f t="shared" si="98"/>
        <v>0</v>
      </c>
      <c r="BF293" s="10">
        <f t="shared" si="98"/>
        <v>-2</v>
      </c>
    </row>
    <row r="294" spans="2:58" ht="22" customHeight="1">
      <c r="B294" s="104">
        <v>79</v>
      </c>
      <c r="C294" s="118" t="s">
        <v>48</v>
      </c>
      <c r="D294" s="105" t="s">
        <v>182</v>
      </c>
      <c r="E294" s="115"/>
      <c r="F294" s="119"/>
      <c r="G294" s="114">
        <f>SUM(Y294:AZ294)</f>
        <v>0</v>
      </c>
      <c r="H294" s="114">
        <f>SUM(Y295:AZ295)</f>
        <v>0</v>
      </c>
      <c r="I294" s="100"/>
      <c r="J294" s="116">
        <f>IFERROR(H294/G294,0)</f>
        <v>0</v>
      </c>
      <c r="K294" s="113">
        <v>0.1</v>
      </c>
      <c r="L294" s="113">
        <v>0.1</v>
      </c>
      <c r="M294" s="100"/>
      <c r="N294" s="100"/>
      <c r="O294" s="100"/>
      <c r="P294" s="100"/>
      <c r="Q294" s="100"/>
      <c r="R294" s="100"/>
      <c r="S294" s="115" t="s">
        <v>37</v>
      </c>
      <c r="T294" s="9"/>
      <c r="U294" s="9"/>
      <c r="V294" s="9"/>
      <c r="W294" s="9"/>
      <c r="X294" s="7" t="s">
        <v>31</v>
      </c>
      <c r="Y294" s="29">
        <v>0</v>
      </c>
      <c r="Z294" s="29">
        <v>0</v>
      </c>
      <c r="AA294" s="29">
        <v>0</v>
      </c>
      <c r="AB294" s="29">
        <v>0</v>
      </c>
      <c r="AC294" s="29">
        <v>0</v>
      </c>
      <c r="AD294" s="29">
        <v>0</v>
      </c>
      <c r="AE294" s="29">
        <v>0</v>
      </c>
      <c r="AF294" s="29">
        <v>0</v>
      </c>
      <c r="AG294" s="29">
        <v>0</v>
      </c>
      <c r="AH294" s="29">
        <v>0</v>
      </c>
      <c r="AI294" s="29">
        <v>0</v>
      </c>
      <c r="AJ294" s="29">
        <v>0</v>
      </c>
      <c r="AK294" s="29">
        <v>0</v>
      </c>
      <c r="AL294" s="29">
        <v>0</v>
      </c>
      <c r="AM294" s="29">
        <v>0</v>
      </c>
      <c r="AN294" s="29">
        <v>0</v>
      </c>
      <c r="AO294" s="29">
        <v>0</v>
      </c>
      <c r="AP294" s="29">
        <v>0</v>
      </c>
      <c r="AQ294" s="29">
        <v>0</v>
      </c>
      <c r="AR294" s="29">
        <v>0</v>
      </c>
      <c r="AS294" s="29">
        <v>0</v>
      </c>
      <c r="AT294" s="29">
        <v>0</v>
      </c>
      <c r="AU294" s="29">
        <v>0</v>
      </c>
      <c r="AV294" s="29">
        <v>0</v>
      </c>
      <c r="AW294" s="29">
        <v>0</v>
      </c>
      <c r="AX294" s="29">
        <v>0</v>
      </c>
      <c r="AY294" s="29">
        <v>0</v>
      </c>
      <c r="AZ294" s="29">
        <v>0</v>
      </c>
      <c r="BA294" s="29">
        <v>0</v>
      </c>
      <c r="BB294" s="29">
        <v>0</v>
      </c>
      <c r="BC294" s="29">
        <v>0</v>
      </c>
      <c r="BD294" s="29">
        <v>0</v>
      </c>
      <c r="BE294" s="29">
        <v>0</v>
      </c>
      <c r="BF294" s="10">
        <f>SUM(Y294:BE294)</f>
        <v>0</v>
      </c>
    </row>
    <row r="295" spans="2:58" ht="22" customHeight="1">
      <c r="B295" s="101"/>
      <c r="C295" s="101"/>
      <c r="D295" s="101"/>
      <c r="E295" s="101"/>
      <c r="F295" s="101"/>
      <c r="G295" s="101"/>
      <c r="H295" s="101"/>
      <c r="I295" s="101"/>
      <c r="J295" s="101"/>
      <c r="K295" s="101"/>
      <c r="L295" s="101"/>
      <c r="M295" s="101"/>
      <c r="N295" s="101"/>
      <c r="O295" s="101"/>
      <c r="P295" s="101"/>
      <c r="Q295" s="101"/>
      <c r="R295" s="101"/>
      <c r="S295" s="101"/>
      <c r="T295" s="9"/>
      <c r="U295" s="9"/>
      <c r="V295" s="9"/>
      <c r="W295" s="9"/>
      <c r="X295" s="7" t="s">
        <v>10</v>
      </c>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0">
        <f>SUM(Y295:BE295)</f>
        <v>0</v>
      </c>
    </row>
    <row r="296" spans="2:58" ht="22" customHeight="1">
      <c r="B296" s="101"/>
      <c r="C296" s="101"/>
      <c r="D296" s="101"/>
      <c r="E296" s="101"/>
      <c r="F296" s="101"/>
      <c r="G296" s="101"/>
      <c r="H296" s="101"/>
      <c r="I296" s="101"/>
      <c r="J296" s="101"/>
      <c r="K296" s="101"/>
      <c r="L296" s="101"/>
      <c r="M296" s="101"/>
      <c r="N296" s="101"/>
      <c r="O296" s="101"/>
      <c r="P296" s="101"/>
      <c r="Q296" s="101"/>
      <c r="R296" s="101"/>
      <c r="S296" s="101"/>
      <c r="T296" s="9"/>
      <c r="U296" s="9"/>
      <c r="V296" s="9"/>
      <c r="W296" s="9"/>
      <c r="X296" s="30" t="s">
        <v>38</v>
      </c>
      <c r="Y296" s="31">
        <v>9000</v>
      </c>
      <c r="Z296" s="31">
        <v>9000</v>
      </c>
      <c r="AA296" s="31">
        <v>9000</v>
      </c>
      <c r="AB296" s="31">
        <v>9000</v>
      </c>
      <c r="AC296" s="31">
        <v>9000</v>
      </c>
      <c r="AD296" s="31">
        <v>9000</v>
      </c>
      <c r="AE296" s="31">
        <v>9000</v>
      </c>
      <c r="AF296" s="31">
        <v>9000</v>
      </c>
      <c r="AG296" s="31">
        <v>9000</v>
      </c>
      <c r="AH296" s="31">
        <v>9000</v>
      </c>
      <c r="AI296" s="31">
        <v>9000</v>
      </c>
      <c r="AJ296" s="31">
        <v>9000</v>
      </c>
      <c r="AK296" s="31">
        <v>9000</v>
      </c>
      <c r="AL296" s="31">
        <v>9000</v>
      </c>
      <c r="AM296" s="31">
        <v>9000</v>
      </c>
      <c r="AN296" s="31">
        <v>9000</v>
      </c>
      <c r="AO296" s="31">
        <v>9000</v>
      </c>
      <c r="AP296" s="31">
        <v>9000</v>
      </c>
      <c r="AQ296" s="31">
        <v>9000</v>
      </c>
      <c r="AR296" s="31">
        <v>9000</v>
      </c>
      <c r="AS296" s="31">
        <v>9000</v>
      </c>
      <c r="AT296" s="31">
        <v>9000</v>
      </c>
      <c r="AU296" s="31">
        <v>9000</v>
      </c>
      <c r="AV296" s="31">
        <v>9000</v>
      </c>
      <c r="AW296" s="31">
        <v>9000</v>
      </c>
      <c r="AX296" s="31">
        <v>9000</v>
      </c>
      <c r="AY296" s="31">
        <v>9000</v>
      </c>
      <c r="AZ296" s="31">
        <v>9000</v>
      </c>
      <c r="BA296" s="31">
        <v>9000</v>
      </c>
      <c r="BB296" s="31">
        <v>9000</v>
      </c>
      <c r="BC296" s="31">
        <v>9000</v>
      </c>
      <c r="BD296" s="31">
        <v>9000</v>
      </c>
      <c r="BE296" s="31">
        <v>9000</v>
      </c>
      <c r="BF296" s="12">
        <f>SUM(Y296:BE296)</f>
        <v>297000</v>
      </c>
    </row>
    <row r="297" spans="2:58" ht="22" customHeight="1">
      <c r="B297" s="102"/>
      <c r="C297" s="102"/>
      <c r="D297" s="102"/>
      <c r="E297" s="102"/>
      <c r="F297" s="102"/>
      <c r="G297" s="102"/>
      <c r="H297" s="102"/>
      <c r="I297" s="102"/>
      <c r="J297" s="102"/>
      <c r="K297" s="102"/>
      <c r="L297" s="102"/>
      <c r="M297" s="102"/>
      <c r="N297" s="102"/>
      <c r="O297" s="102"/>
      <c r="P297" s="102"/>
      <c r="Q297" s="102"/>
      <c r="R297" s="102"/>
      <c r="S297" s="102"/>
      <c r="T297" s="9"/>
      <c r="U297" s="9"/>
      <c r="V297" s="9"/>
      <c r="W297" s="9"/>
      <c r="X297" s="7" t="s">
        <v>11</v>
      </c>
      <c r="Y297" s="3">
        <f t="shared" ref="Y297:BF297" si="99">Y295-Y294</f>
        <v>0</v>
      </c>
      <c r="Z297" s="3">
        <f t="shared" si="99"/>
        <v>0</v>
      </c>
      <c r="AA297" s="3">
        <f t="shared" si="99"/>
        <v>0</v>
      </c>
      <c r="AB297" s="3">
        <f t="shared" si="99"/>
        <v>0</v>
      </c>
      <c r="AC297" s="3">
        <f t="shared" si="99"/>
        <v>0</v>
      </c>
      <c r="AD297" s="3">
        <f t="shared" si="99"/>
        <v>0</v>
      </c>
      <c r="AE297" s="3">
        <f t="shared" si="99"/>
        <v>0</v>
      </c>
      <c r="AF297" s="3">
        <f t="shared" si="99"/>
        <v>0</v>
      </c>
      <c r="AG297" s="3">
        <f t="shared" si="99"/>
        <v>0</v>
      </c>
      <c r="AH297" s="3">
        <f t="shared" si="99"/>
        <v>0</v>
      </c>
      <c r="AI297" s="3">
        <f t="shared" si="99"/>
        <v>0</v>
      </c>
      <c r="AJ297" s="3">
        <f t="shared" si="99"/>
        <v>0</v>
      </c>
      <c r="AK297" s="3">
        <f t="shared" si="99"/>
        <v>0</v>
      </c>
      <c r="AL297" s="3">
        <f t="shared" si="99"/>
        <v>0</v>
      </c>
      <c r="AM297" s="3">
        <f t="shared" si="99"/>
        <v>0</v>
      </c>
      <c r="AN297" s="3">
        <f t="shared" si="99"/>
        <v>0</v>
      </c>
      <c r="AO297" s="3">
        <f t="shared" si="99"/>
        <v>0</v>
      </c>
      <c r="AP297" s="3">
        <f t="shared" si="99"/>
        <v>0</v>
      </c>
      <c r="AQ297" s="3">
        <f t="shared" si="99"/>
        <v>0</v>
      </c>
      <c r="AR297" s="3">
        <f t="shared" si="99"/>
        <v>0</v>
      </c>
      <c r="AS297" s="3">
        <f t="shared" si="99"/>
        <v>0</v>
      </c>
      <c r="AT297" s="3">
        <f t="shared" si="99"/>
        <v>0</v>
      </c>
      <c r="AU297" s="3">
        <f t="shared" si="99"/>
        <v>0</v>
      </c>
      <c r="AV297" s="3">
        <f t="shared" si="99"/>
        <v>0</v>
      </c>
      <c r="AW297" s="3">
        <f t="shared" si="99"/>
        <v>0</v>
      </c>
      <c r="AX297" s="3">
        <f t="shared" si="99"/>
        <v>0</v>
      </c>
      <c r="AY297" s="3">
        <f t="shared" si="99"/>
        <v>0</v>
      </c>
      <c r="AZ297" s="3">
        <f t="shared" si="99"/>
        <v>0</v>
      </c>
      <c r="BA297" s="3">
        <f t="shared" si="99"/>
        <v>0</v>
      </c>
      <c r="BB297" s="3">
        <f t="shared" si="99"/>
        <v>0</v>
      </c>
      <c r="BC297" s="3">
        <f t="shared" si="99"/>
        <v>0</v>
      </c>
      <c r="BD297" s="3">
        <f t="shared" si="99"/>
        <v>0</v>
      </c>
      <c r="BE297" s="3">
        <f t="shared" si="99"/>
        <v>0</v>
      </c>
      <c r="BF297" s="10">
        <f t="shared" si="99"/>
        <v>0</v>
      </c>
    </row>
    <row r="298" spans="2:58" ht="22" customHeight="1">
      <c r="B298" s="107">
        <v>80</v>
      </c>
      <c r="C298" s="117" t="s">
        <v>102</v>
      </c>
      <c r="D298" s="108" t="s">
        <v>183</v>
      </c>
      <c r="E298" s="103"/>
      <c r="F298" s="109"/>
      <c r="G298" s="106">
        <f>SUM(Y298:AZ298)</f>
        <v>2</v>
      </c>
      <c r="H298" s="106">
        <f>SUM(Y299:AZ299)</f>
        <v>0</v>
      </c>
      <c r="I298" s="111"/>
      <c r="J298" s="112">
        <f>IFERROR(H298/G298,0)</f>
        <v>0</v>
      </c>
      <c r="K298" s="110">
        <v>0.1</v>
      </c>
      <c r="L298" s="110">
        <v>0.1</v>
      </c>
      <c r="M298" s="111"/>
      <c r="N298" s="111"/>
      <c r="O298" s="111"/>
      <c r="P298" s="111"/>
      <c r="Q298" s="111"/>
      <c r="R298" s="111"/>
      <c r="S298" s="103" t="s">
        <v>47</v>
      </c>
      <c r="T298" s="39"/>
      <c r="U298" s="39"/>
      <c r="V298" s="39"/>
      <c r="W298" s="39"/>
      <c r="X298" s="33" t="s">
        <v>31</v>
      </c>
      <c r="Y298" s="40">
        <v>0</v>
      </c>
      <c r="Z298" s="40">
        <v>0</v>
      </c>
      <c r="AA298" s="40">
        <v>2</v>
      </c>
      <c r="AB298" s="40">
        <v>0</v>
      </c>
      <c r="AC298" s="40">
        <v>0</v>
      </c>
      <c r="AD298" s="40">
        <v>0</v>
      </c>
      <c r="AE298" s="40">
        <v>0</v>
      </c>
      <c r="AF298" s="40">
        <v>0</v>
      </c>
      <c r="AG298" s="40">
        <v>0</v>
      </c>
      <c r="AH298" s="40">
        <v>0</v>
      </c>
      <c r="AI298" s="40">
        <v>0</v>
      </c>
      <c r="AJ298" s="40">
        <v>0</v>
      </c>
      <c r="AK298" s="40">
        <v>0</v>
      </c>
      <c r="AL298" s="40">
        <v>0</v>
      </c>
      <c r="AM298" s="40">
        <v>0</v>
      </c>
      <c r="AN298" s="40">
        <v>0</v>
      </c>
      <c r="AO298" s="40">
        <v>0</v>
      </c>
      <c r="AP298" s="40">
        <v>0</v>
      </c>
      <c r="AQ298" s="40">
        <v>0</v>
      </c>
      <c r="AR298" s="40">
        <v>0</v>
      </c>
      <c r="AS298" s="40">
        <v>0</v>
      </c>
      <c r="AT298" s="40">
        <v>0</v>
      </c>
      <c r="AU298" s="40">
        <v>0</v>
      </c>
      <c r="AV298" s="40">
        <v>0</v>
      </c>
      <c r="AW298" s="40">
        <v>0</v>
      </c>
      <c r="AX298" s="40">
        <v>0</v>
      </c>
      <c r="AY298" s="40">
        <v>0</v>
      </c>
      <c r="AZ298" s="40">
        <v>0</v>
      </c>
      <c r="BA298" s="40">
        <v>0</v>
      </c>
      <c r="BB298" s="40">
        <v>0</v>
      </c>
      <c r="BC298" s="40">
        <v>0</v>
      </c>
      <c r="BD298" s="40">
        <v>0</v>
      </c>
      <c r="BE298" s="40">
        <v>0</v>
      </c>
      <c r="BF298" s="10">
        <f>SUM(Y298:BE298)</f>
        <v>2</v>
      </c>
    </row>
    <row r="299" spans="2:58" ht="22" customHeight="1">
      <c r="B299" s="101"/>
      <c r="C299" s="101"/>
      <c r="D299" s="101"/>
      <c r="E299" s="101"/>
      <c r="F299" s="101"/>
      <c r="G299" s="101"/>
      <c r="H299" s="101"/>
      <c r="I299" s="101"/>
      <c r="J299" s="101"/>
      <c r="K299" s="101"/>
      <c r="L299" s="101"/>
      <c r="M299" s="101"/>
      <c r="N299" s="101"/>
      <c r="O299" s="101"/>
      <c r="P299" s="101"/>
      <c r="Q299" s="101"/>
      <c r="R299" s="101"/>
      <c r="S299" s="101"/>
      <c r="T299" s="39"/>
      <c r="U299" s="39"/>
      <c r="V299" s="39"/>
      <c r="W299" s="39"/>
      <c r="X299" s="33" t="s">
        <v>10</v>
      </c>
      <c r="Y299" s="41"/>
      <c r="Z299" s="41"/>
      <c r="AA299" s="41"/>
      <c r="AB299" s="41"/>
      <c r="AC299" s="41"/>
      <c r="AD299" s="41"/>
      <c r="AE299" s="41"/>
      <c r="AF299" s="41"/>
      <c r="AG299" s="41"/>
      <c r="AH299" s="41"/>
      <c r="AI299" s="41"/>
      <c r="AJ299" s="41"/>
      <c r="AK299" s="41"/>
      <c r="AL299" s="41"/>
      <c r="AM299" s="41"/>
      <c r="AN299" s="41"/>
      <c r="AO299" s="41"/>
      <c r="AP299" s="41"/>
      <c r="AQ299" s="41"/>
      <c r="AR299" s="41"/>
      <c r="AS299" s="41"/>
      <c r="AT299" s="41"/>
      <c r="AU299" s="41"/>
      <c r="AV299" s="41"/>
      <c r="AW299" s="41"/>
      <c r="AX299" s="41"/>
      <c r="AY299" s="41"/>
      <c r="AZ299" s="41"/>
      <c r="BA299" s="41"/>
      <c r="BB299" s="41"/>
      <c r="BC299" s="41"/>
      <c r="BD299" s="41"/>
      <c r="BE299" s="41"/>
      <c r="BF299" s="10">
        <f>SUM(Y299:BE299)</f>
        <v>0</v>
      </c>
    </row>
    <row r="300" spans="2:58" ht="22" customHeight="1">
      <c r="B300" s="102"/>
      <c r="C300" s="102"/>
      <c r="D300" s="102"/>
      <c r="E300" s="102"/>
      <c r="F300" s="102"/>
      <c r="G300" s="102"/>
      <c r="H300" s="102"/>
      <c r="I300" s="102"/>
      <c r="J300" s="102"/>
      <c r="K300" s="102"/>
      <c r="L300" s="102"/>
      <c r="M300" s="102"/>
      <c r="N300" s="102"/>
      <c r="O300" s="102"/>
      <c r="P300" s="102"/>
      <c r="Q300" s="102"/>
      <c r="R300" s="102"/>
      <c r="S300" s="102"/>
      <c r="T300" s="39"/>
      <c r="U300" s="39"/>
      <c r="V300" s="39"/>
      <c r="W300" s="39"/>
      <c r="X300" s="33" t="s">
        <v>11</v>
      </c>
      <c r="Y300" s="36">
        <f t="shared" ref="Y300:BF300" si="100">Y299-Y298</f>
        <v>0</v>
      </c>
      <c r="Z300" s="36">
        <f t="shared" si="100"/>
        <v>0</v>
      </c>
      <c r="AA300" s="36">
        <f t="shared" si="100"/>
        <v>-2</v>
      </c>
      <c r="AB300" s="36">
        <f t="shared" si="100"/>
        <v>0</v>
      </c>
      <c r="AC300" s="36">
        <f t="shared" si="100"/>
        <v>0</v>
      </c>
      <c r="AD300" s="36">
        <f t="shared" si="100"/>
        <v>0</v>
      </c>
      <c r="AE300" s="36">
        <f t="shared" si="100"/>
        <v>0</v>
      </c>
      <c r="AF300" s="36">
        <f t="shared" si="100"/>
        <v>0</v>
      </c>
      <c r="AG300" s="36">
        <f t="shared" si="100"/>
        <v>0</v>
      </c>
      <c r="AH300" s="36">
        <f t="shared" si="100"/>
        <v>0</v>
      </c>
      <c r="AI300" s="36">
        <f t="shared" si="100"/>
        <v>0</v>
      </c>
      <c r="AJ300" s="36">
        <f t="shared" si="100"/>
        <v>0</v>
      </c>
      <c r="AK300" s="36">
        <f t="shared" si="100"/>
        <v>0</v>
      </c>
      <c r="AL300" s="36">
        <f t="shared" si="100"/>
        <v>0</v>
      </c>
      <c r="AM300" s="36">
        <f t="shared" si="100"/>
        <v>0</v>
      </c>
      <c r="AN300" s="36">
        <f t="shared" si="100"/>
        <v>0</v>
      </c>
      <c r="AO300" s="36">
        <f t="shared" si="100"/>
        <v>0</v>
      </c>
      <c r="AP300" s="36">
        <f t="shared" si="100"/>
        <v>0</v>
      </c>
      <c r="AQ300" s="36">
        <f t="shared" si="100"/>
        <v>0</v>
      </c>
      <c r="AR300" s="36">
        <f t="shared" si="100"/>
        <v>0</v>
      </c>
      <c r="AS300" s="36">
        <f t="shared" si="100"/>
        <v>0</v>
      </c>
      <c r="AT300" s="36">
        <f t="shared" si="100"/>
        <v>0</v>
      </c>
      <c r="AU300" s="36">
        <f t="shared" si="100"/>
        <v>0</v>
      </c>
      <c r="AV300" s="36">
        <f t="shared" si="100"/>
        <v>0</v>
      </c>
      <c r="AW300" s="36">
        <f t="shared" si="100"/>
        <v>0</v>
      </c>
      <c r="AX300" s="36">
        <f t="shared" si="100"/>
        <v>0</v>
      </c>
      <c r="AY300" s="36">
        <f t="shared" si="100"/>
        <v>0</v>
      </c>
      <c r="AZ300" s="36">
        <f t="shared" si="100"/>
        <v>0</v>
      </c>
      <c r="BA300" s="36">
        <f t="shared" si="100"/>
        <v>0</v>
      </c>
      <c r="BB300" s="36">
        <f t="shared" si="100"/>
        <v>0</v>
      </c>
      <c r="BC300" s="36">
        <f t="shared" si="100"/>
        <v>0</v>
      </c>
      <c r="BD300" s="36">
        <f t="shared" si="100"/>
        <v>0</v>
      </c>
      <c r="BE300" s="36">
        <f t="shared" si="100"/>
        <v>0</v>
      </c>
      <c r="BF300" s="10">
        <f t="shared" si="100"/>
        <v>-2</v>
      </c>
    </row>
    <row r="301" spans="2:58" ht="22" customHeight="1">
      <c r="B301" s="104">
        <v>81</v>
      </c>
      <c r="C301" s="118" t="s">
        <v>50</v>
      </c>
      <c r="D301" s="105" t="s">
        <v>184</v>
      </c>
      <c r="E301" s="115"/>
      <c r="F301" s="119"/>
      <c r="G301" s="114">
        <f>SUM(Y301:AZ301)</f>
        <v>3</v>
      </c>
      <c r="H301" s="114">
        <f>SUM(Y302:AZ302)</f>
        <v>0</v>
      </c>
      <c r="I301" s="100"/>
      <c r="J301" s="116">
        <f>IFERROR(H301/G301,0)</f>
        <v>0</v>
      </c>
      <c r="K301" s="113">
        <v>0.1</v>
      </c>
      <c r="L301" s="113">
        <v>0.1</v>
      </c>
      <c r="M301" s="100"/>
      <c r="N301" s="100"/>
      <c r="O301" s="100"/>
      <c r="P301" s="100"/>
      <c r="Q301" s="100"/>
      <c r="R301" s="100"/>
      <c r="S301" s="115" t="s">
        <v>37</v>
      </c>
      <c r="T301" s="9"/>
      <c r="U301" s="9"/>
      <c r="V301" s="9"/>
      <c r="W301" s="9"/>
      <c r="X301" s="7" t="s">
        <v>31</v>
      </c>
      <c r="Y301" s="29">
        <v>0</v>
      </c>
      <c r="Z301" s="29">
        <v>0</v>
      </c>
      <c r="AA301" s="29">
        <v>0</v>
      </c>
      <c r="AB301" s="29">
        <v>0</v>
      </c>
      <c r="AC301" s="29">
        <v>0</v>
      </c>
      <c r="AD301" s="29">
        <v>0</v>
      </c>
      <c r="AE301" s="29">
        <v>0</v>
      </c>
      <c r="AF301" s="29">
        <v>0</v>
      </c>
      <c r="AG301" s="29">
        <v>0</v>
      </c>
      <c r="AH301" s="29">
        <v>3</v>
      </c>
      <c r="AI301" s="29">
        <v>0</v>
      </c>
      <c r="AJ301" s="29">
        <v>0</v>
      </c>
      <c r="AK301" s="29">
        <v>0</v>
      </c>
      <c r="AL301" s="29">
        <v>0</v>
      </c>
      <c r="AM301" s="29">
        <v>0</v>
      </c>
      <c r="AN301" s="29">
        <v>0</v>
      </c>
      <c r="AO301" s="29">
        <v>0</v>
      </c>
      <c r="AP301" s="29">
        <v>0</v>
      </c>
      <c r="AQ301" s="29">
        <v>0</v>
      </c>
      <c r="AR301" s="29">
        <v>0</v>
      </c>
      <c r="AS301" s="29">
        <v>0</v>
      </c>
      <c r="AT301" s="29">
        <v>0</v>
      </c>
      <c r="AU301" s="29">
        <v>0</v>
      </c>
      <c r="AV301" s="29">
        <v>0</v>
      </c>
      <c r="AW301" s="29">
        <v>0</v>
      </c>
      <c r="AX301" s="29">
        <v>0</v>
      </c>
      <c r="AY301" s="29">
        <v>0</v>
      </c>
      <c r="AZ301" s="29">
        <v>0</v>
      </c>
      <c r="BA301" s="29">
        <v>0</v>
      </c>
      <c r="BB301" s="29">
        <v>0</v>
      </c>
      <c r="BC301" s="29">
        <v>0</v>
      </c>
      <c r="BD301" s="29">
        <v>0</v>
      </c>
      <c r="BE301" s="29">
        <v>0</v>
      </c>
      <c r="BF301" s="10">
        <f>SUM(Y301:BE301)</f>
        <v>3</v>
      </c>
    </row>
    <row r="302" spans="2:58" ht="22" customHeight="1">
      <c r="B302" s="101"/>
      <c r="C302" s="101"/>
      <c r="D302" s="101"/>
      <c r="E302" s="101"/>
      <c r="F302" s="101"/>
      <c r="G302" s="101"/>
      <c r="H302" s="101"/>
      <c r="I302" s="101"/>
      <c r="J302" s="101"/>
      <c r="K302" s="101"/>
      <c r="L302" s="101"/>
      <c r="M302" s="101"/>
      <c r="N302" s="101"/>
      <c r="O302" s="101"/>
      <c r="P302" s="101"/>
      <c r="Q302" s="101"/>
      <c r="R302" s="101"/>
      <c r="S302" s="101"/>
      <c r="T302" s="9"/>
      <c r="U302" s="9"/>
      <c r="V302" s="9"/>
      <c r="W302" s="9"/>
      <c r="X302" s="7" t="s">
        <v>10</v>
      </c>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0">
        <f>SUM(Y302:BE302)</f>
        <v>0</v>
      </c>
    </row>
    <row r="303" spans="2:58" ht="22" customHeight="1">
      <c r="B303" s="101"/>
      <c r="C303" s="101"/>
      <c r="D303" s="101"/>
      <c r="E303" s="101"/>
      <c r="F303" s="101"/>
      <c r="G303" s="101"/>
      <c r="H303" s="101"/>
      <c r="I303" s="101"/>
      <c r="J303" s="101"/>
      <c r="K303" s="101"/>
      <c r="L303" s="101"/>
      <c r="M303" s="101"/>
      <c r="N303" s="101"/>
      <c r="O303" s="101"/>
      <c r="P303" s="101"/>
      <c r="Q303" s="101"/>
      <c r="R303" s="101"/>
      <c r="S303" s="101"/>
      <c r="T303" s="9"/>
      <c r="U303" s="9"/>
      <c r="V303" s="9"/>
      <c r="W303" s="9"/>
      <c r="X303" s="30" t="s">
        <v>38</v>
      </c>
      <c r="Y303" s="31">
        <v>9000</v>
      </c>
      <c r="Z303" s="31">
        <v>9000</v>
      </c>
      <c r="AA303" s="31">
        <v>9000</v>
      </c>
      <c r="AB303" s="31">
        <v>9000</v>
      </c>
      <c r="AC303" s="31">
        <v>9000</v>
      </c>
      <c r="AD303" s="31">
        <v>9000</v>
      </c>
      <c r="AE303" s="31">
        <v>9000</v>
      </c>
      <c r="AF303" s="31">
        <v>9000</v>
      </c>
      <c r="AG303" s="31">
        <v>9000</v>
      </c>
      <c r="AH303" s="31">
        <v>9000</v>
      </c>
      <c r="AI303" s="31">
        <v>9000</v>
      </c>
      <c r="AJ303" s="31">
        <v>9000</v>
      </c>
      <c r="AK303" s="31">
        <v>9000</v>
      </c>
      <c r="AL303" s="31">
        <v>9000</v>
      </c>
      <c r="AM303" s="31">
        <v>9000</v>
      </c>
      <c r="AN303" s="31">
        <v>9000</v>
      </c>
      <c r="AO303" s="31">
        <v>9000</v>
      </c>
      <c r="AP303" s="31">
        <v>9000</v>
      </c>
      <c r="AQ303" s="31">
        <v>9000</v>
      </c>
      <c r="AR303" s="31">
        <v>9000</v>
      </c>
      <c r="AS303" s="31">
        <v>9000</v>
      </c>
      <c r="AT303" s="31">
        <v>9000</v>
      </c>
      <c r="AU303" s="31">
        <v>9000</v>
      </c>
      <c r="AV303" s="31">
        <v>9000</v>
      </c>
      <c r="AW303" s="31">
        <v>9000</v>
      </c>
      <c r="AX303" s="31">
        <v>9000</v>
      </c>
      <c r="AY303" s="31">
        <v>9000</v>
      </c>
      <c r="AZ303" s="31">
        <v>9000</v>
      </c>
      <c r="BA303" s="31">
        <v>9000</v>
      </c>
      <c r="BB303" s="31">
        <v>9000</v>
      </c>
      <c r="BC303" s="31">
        <v>9000</v>
      </c>
      <c r="BD303" s="31">
        <v>9000</v>
      </c>
      <c r="BE303" s="31">
        <v>9000</v>
      </c>
      <c r="BF303" s="12">
        <f>SUM(Y303:BE303)</f>
        <v>297000</v>
      </c>
    </row>
    <row r="304" spans="2:58" ht="22" customHeight="1">
      <c r="B304" s="102"/>
      <c r="C304" s="102"/>
      <c r="D304" s="102"/>
      <c r="E304" s="102"/>
      <c r="F304" s="102"/>
      <c r="G304" s="102"/>
      <c r="H304" s="102"/>
      <c r="I304" s="102"/>
      <c r="J304" s="102"/>
      <c r="K304" s="102"/>
      <c r="L304" s="102"/>
      <c r="M304" s="102"/>
      <c r="N304" s="102"/>
      <c r="O304" s="102"/>
      <c r="P304" s="102"/>
      <c r="Q304" s="102"/>
      <c r="R304" s="102"/>
      <c r="S304" s="102"/>
      <c r="T304" s="9"/>
      <c r="U304" s="9"/>
      <c r="V304" s="9"/>
      <c r="W304" s="9"/>
      <c r="X304" s="7" t="s">
        <v>11</v>
      </c>
      <c r="Y304" s="3">
        <f t="shared" ref="Y304:BF304" si="101">Y302-Y301</f>
        <v>0</v>
      </c>
      <c r="Z304" s="3">
        <f t="shared" si="101"/>
        <v>0</v>
      </c>
      <c r="AA304" s="3">
        <f t="shared" si="101"/>
        <v>0</v>
      </c>
      <c r="AB304" s="3">
        <f t="shared" si="101"/>
        <v>0</v>
      </c>
      <c r="AC304" s="3">
        <f t="shared" si="101"/>
        <v>0</v>
      </c>
      <c r="AD304" s="3">
        <f t="shared" si="101"/>
        <v>0</v>
      </c>
      <c r="AE304" s="3">
        <f t="shared" si="101"/>
        <v>0</v>
      </c>
      <c r="AF304" s="3">
        <f t="shared" si="101"/>
        <v>0</v>
      </c>
      <c r="AG304" s="3">
        <f t="shared" si="101"/>
        <v>0</v>
      </c>
      <c r="AH304" s="3">
        <f t="shared" si="101"/>
        <v>-3</v>
      </c>
      <c r="AI304" s="3">
        <f t="shared" si="101"/>
        <v>0</v>
      </c>
      <c r="AJ304" s="3">
        <f t="shared" si="101"/>
        <v>0</v>
      </c>
      <c r="AK304" s="3">
        <f t="shared" si="101"/>
        <v>0</v>
      </c>
      <c r="AL304" s="3">
        <f t="shared" si="101"/>
        <v>0</v>
      </c>
      <c r="AM304" s="3">
        <f t="shared" si="101"/>
        <v>0</v>
      </c>
      <c r="AN304" s="3">
        <f t="shared" si="101"/>
        <v>0</v>
      </c>
      <c r="AO304" s="3">
        <f t="shared" si="101"/>
        <v>0</v>
      </c>
      <c r="AP304" s="3">
        <f t="shared" si="101"/>
        <v>0</v>
      </c>
      <c r="AQ304" s="3">
        <f t="shared" si="101"/>
        <v>0</v>
      </c>
      <c r="AR304" s="3">
        <f t="shared" si="101"/>
        <v>0</v>
      </c>
      <c r="AS304" s="3">
        <f t="shared" si="101"/>
        <v>0</v>
      </c>
      <c r="AT304" s="3">
        <f t="shared" si="101"/>
        <v>0</v>
      </c>
      <c r="AU304" s="3">
        <f t="shared" si="101"/>
        <v>0</v>
      </c>
      <c r="AV304" s="3">
        <f t="shared" si="101"/>
        <v>0</v>
      </c>
      <c r="AW304" s="3">
        <f t="shared" si="101"/>
        <v>0</v>
      </c>
      <c r="AX304" s="3">
        <f t="shared" si="101"/>
        <v>0</v>
      </c>
      <c r="AY304" s="3">
        <f t="shared" si="101"/>
        <v>0</v>
      </c>
      <c r="AZ304" s="3">
        <f t="shared" si="101"/>
        <v>0</v>
      </c>
      <c r="BA304" s="3">
        <f t="shared" si="101"/>
        <v>0</v>
      </c>
      <c r="BB304" s="3">
        <f t="shared" si="101"/>
        <v>0</v>
      </c>
      <c r="BC304" s="3">
        <f t="shared" si="101"/>
        <v>0</v>
      </c>
      <c r="BD304" s="3">
        <f t="shared" si="101"/>
        <v>0</v>
      </c>
      <c r="BE304" s="3">
        <f t="shared" si="101"/>
        <v>0</v>
      </c>
      <c r="BF304" s="10">
        <f t="shared" si="101"/>
        <v>-3</v>
      </c>
    </row>
    <row r="305" spans="2:58" ht="22" customHeight="1">
      <c r="B305" s="107">
        <v>82</v>
      </c>
      <c r="C305" s="117" t="s">
        <v>94</v>
      </c>
      <c r="D305" s="108" t="s">
        <v>185</v>
      </c>
      <c r="E305" s="103"/>
      <c r="F305" s="109"/>
      <c r="G305" s="106">
        <f>SUM(Y305:AZ305)</f>
        <v>2</v>
      </c>
      <c r="H305" s="106">
        <f>SUM(Y306:AZ306)</f>
        <v>0</v>
      </c>
      <c r="I305" s="111"/>
      <c r="J305" s="112">
        <f>IFERROR(H305/G305,0)</f>
        <v>0</v>
      </c>
      <c r="K305" s="110">
        <v>6.25E-2</v>
      </c>
      <c r="L305" s="110">
        <v>6.25E-2</v>
      </c>
      <c r="M305" s="111"/>
      <c r="N305" s="111"/>
      <c r="O305" s="111"/>
      <c r="P305" s="111"/>
      <c r="Q305" s="111"/>
      <c r="R305" s="111"/>
      <c r="S305" s="103" t="s">
        <v>37</v>
      </c>
      <c r="T305" s="39"/>
      <c r="U305" s="39"/>
      <c r="V305" s="39"/>
      <c r="W305" s="39"/>
      <c r="X305" s="33" t="s">
        <v>31</v>
      </c>
      <c r="Y305" s="40">
        <v>0</v>
      </c>
      <c r="Z305" s="40">
        <v>0</v>
      </c>
      <c r="AA305" s="40">
        <v>2</v>
      </c>
      <c r="AB305" s="40">
        <v>0</v>
      </c>
      <c r="AC305" s="40">
        <v>0</v>
      </c>
      <c r="AD305" s="40">
        <v>0</v>
      </c>
      <c r="AE305" s="40">
        <v>0</v>
      </c>
      <c r="AF305" s="40">
        <v>0</v>
      </c>
      <c r="AG305" s="40">
        <v>0</v>
      </c>
      <c r="AH305" s="40">
        <v>0</v>
      </c>
      <c r="AI305" s="40">
        <v>0</v>
      </c>
      <c r="AJ305" s="40">
        <v>0</v>
      </c>
      <c r="AK305" s="40">
        <v>0</v>
      </c>
      <c r="AL305" s="40">
        <v>0</v>
      </c>
      <c r="AM305" s="40">
        <v>0</v>
      </c>
      <c r="AN305" s="40">
        <v>0</v>
      </c>
      <c r="AO305" s="40">
        <v>0</v>
      </c>
      <c r="AP305" s="40">
        <v>0</v>
      </c>
      <c r="AQ305" s="40">
        <v>0</v>
      </c>
      <c r="AR305" s="40">
        <v>0</v>
      </c>
      <c r="AS305" s="40">
        <v>0</v>
      </c>
      <c r="AT305" s="40">
        <v>0</v>
      </c>
      <c r="AU305" s="40">
        <v>0</v>
      </c>
      <c r="AV305" s="40">
        <v>0</v>
      </c>
      <c r="AW305" s="40">
        <v>0</v>
      </c>
      <c r="AX305" s="40">
        <v>0</v>
      </c>
      <c r="AY305" s="40">
        <v>0</v>
      </c>
      <c r="AZ305" s="40">
        <v>0</v>
      </c>
      <c r="BA305" s="40">
        <v>0</v>
      </c>
      <c r="BB305" s="40">
        <v>0</v>
      </c>
      <c r="BC305" s="40">
        <v>0</v>
      </c>
      <c r="BD305" s="40">
        <v>0</v>
      </c>
      <c r="BE305" s="40">
        <v>0</v>
      </c>
      <c r="BF305" s="10">
        <f>SUM(Y305:BE305)</f>
        <v>2</v>
      </c>
    </row>
    <row r="306" spans="2:58" ht="22" customHeight="1">
      <c r="B306" s="101"/>
      <c r="C306" s="101"/>
      <c r="D306" s="101"/>
      <c r="E306" s="101"/>
      <c r="F306" s="101"/>
      <c r="G306" s="101"/>
      <c r="H306" s="101"/>
      <c r="I306" s="101"/>
      <c r="J306" s="101"/>
      <c r="K306" s="101"/>
      <c r="L306" s="101"/>
      <c r="M306" s="101"/>
      <c r="N306" s="101"/>
      <c r="O306" s="101"/>
      <c r="P306" s="101"/>
      <c r="Q306" s="101"/>
      <c r="R306" s="101"/>
      <c r="S306" s="101"/>
      <c r="T306" s="39"/>
      <c r="U306" s="39"/>
      <c r="V306" s="39"/>
      <c r="W306" s="39"/>
      <c r="X306" s="33" t="s">
        <v>10</v>
      </c>
      <c r="Y306" s="41"/>
      <c r="Z306" s="41"/>
      <c r="AA306" s="41"/>
      <c r="AB306" s="41"/>
      <c r="AC306" s="41"/>
      <c r="AD306" s="41"/>
      <c r="AE306" s="41"/>
      <c r="AF306" s="41"/>
      <c r="AG306" s="41"/>
      <c r="AH306" s="41"/>
      <c r="AI306" s="41"/>
      <c r="AJ306" s="41"/>
      <c r="AK306" s="41"/>
      <c r="AL306" s="41"/>
      <c r="AM306" s="41"/>
      <c r="AN306" s="41"/>
      <c r="AO306" s="41"/>
      <c r="AP306" s="41"/>
      <c r="AQ306" s="41"/>
      <c r="AR306" s="41"/>
      <c r="AS306" s="41"/>
      <c r="AT306" s="41"/>
      <c r="AU306" s="41"/>
      <c r="AV306" s="41"/>
      <c r="AW306" s="41"/>
      <c r="AX306" s="41"/>
      <c r="AY306" s="41"/>
      <c r="AZ306" s="41"/>
      <c r="BA306" s="41"/>
      <c r="BB306" s="41"/>
      <c r="BC306" s="41"/>
      <c r="BD306" s="41"/>
      <c r="BE306" s="41"/>
      <c r="BF306" s="10">
        <f>SUM(Y306:BE306)</f>
        <v>0</v>
      </c>
    </row>
    <row r="307" spans="2:58" ht="22" customHeight="1">
      <c r="B307" s="101"/>
      <c r="C307" s="101"/>
      <c r="D307" s="101"/>
      <c r="E307" s="101"/>
      <c r="F307" s="101"/>
      <c r="G307" s="101"/>
      <c r="H307" s="101"/>
      <c r="I307" s="101"/>
      <c r="J307" s="101"/>
      <c r="K307" s="101"/>
      <c r="L307" s="101"/>
      <c r="M307" s="101"/>
      <c r="N307" s="101"/>
      <c r="O307" s="101"/>
      <c r="P307" s="101"/>
      <c r="Q307" s="101"/>
      <c r="R307" s="101"/>
      <c r="S307" s="101"/>
      <c r="T307" s="39"/>
      <c r="U307" s="39"/>
      <c r="V307" s="39"/>
      <c r="W307" s="39"/>
      <c r="X307" s="42" t="s">
        <v>38</v>
      </c>
      <c r="Y307" s="43">
        <v>9000</v>
      </c>
      <c r="Z307" s="43">
        <v>9000</v>
      </c>
      <c r="AA307" s="43">
        <v>9000</v>
      </c>
      <c r="AB307" s="43">
        <v>9000</v>
      </c>
      <c r="AC307" s="43">
        <v>9000</v>
      </c>
      <c r="AD307" s="43">
        <v>9000</v>
      </c>
      <c r="AE307" s="43">
        <v>9000</v>
      </c>
      <c r="AF307" s="43">
        <v>9000</v>
      </c>
      <c r="AG307" s="43">
        <v>9000</v>
      </c>
      <c r="AH307" s="43">
        <v>9000</v>
      </c>
      <c r="AI307" s="43">
        <v>9000</v>
      </c>
      <c r="AJ307" s="43">
        <v>9000</v>
      </c>
      <c r="AK307" s="43">
        <v>9000</v>
      </c>
      <c r="AL307" s="43">
        <v>9000</v>
      </c>
      <c r="AM307" s="43">
        <v>9000</v>
      </c>
      <c r="AN307" s="43">
        <v>9000</v>
      </c>
      <c r="AO307" s="43">
        <v>9000</v>
      </c>
      <c r="AP307" s="43">
        <v>9000</v>
      </c>
      <c r="AQ307" s="43">
        <v>9000</v>
      </c>
      <c r="AR307" s="43">
        <v>9000</v>
      </c>
      <c r="AS307" s="43">
        <v>9000</v>
      </c>
      <c r="AT307" s="43">
        <v>9000</v>
      </c>
      <c r="AU307" s="43">
        <v>9000</v>
      </c>
      <c r="AV307" s="43">
        <v>9000</v>
      </c>
      <c r="AW307" s="43">
        <v>9000</v>
      </c>
      <c r="AX307" s="43">
        <v>9000</v>
      </c>
      <c r="AY307" s="43">
        <v>9000</v>
      </c>
      <c r="AZ307" s="43">
        <v>9000</v>
      </c>
      <c r="BA307" s="43">
        <v>9000</v>
      </c>
      <c r="BB307" s="43">
        <v>9000</v>
      </c>
      <c r="BC307" s="43">
        <v>9000</v>
      </c>
      <c r="BD307" s="43">
        <v>9000</v>
      </c>
      <c r="BE307" s="43">
        <v>9000</v>
      </c>
      <c r="BF307" s="12">
        <f>SUM(Y307:BE307)</f>
        <v>297000</v>
      </c>
    </row>
    <row r="308" spans="2:58" ht="22" customHeight="1">
      <c r="B308" s="102"/>
      <c r="C308" s="102"/>
      <c r="D308" s="102"/>
      <c r="E308" s="102"/>
      <c r="F308" s="102"/>
      <c r="G308" s="102"/>
      <c r="H308" s="102"/>
      <c r="I308" s="102"/>
      <c r="J308" s="102"/>
      <c r="K308" s="102"/>
      <c r="L308" s="102"/>
      <c r="M308" s="102"/>
      <c r="N308" s="102"/>
      <c r="O308" s="102"/>
      <c r="P308" s="102"/>
      <c r="Q308" s="102"/>
      <c r="R308" s="102"/>
      <c r="S308" s="102"/>
      <c r="T308" s="39"/>
      <c r="U308" s="39"/>
      <c r="V308" s="39"/>
      <c r="W308" s="39"/>
      <c r="X308" s="33" t="s">
        <v>11</v>
      </c>
      <c r="Y308" s="36">
        <f t="shared" ref="Y308:BF308" si="102">Y306-Y305</f>
        <v>0</v>
      </c>
      <c r="Z308" s="36">
        <f t="shared" si="102"/>
        <v>0</v>
      </c>
      <c r="AA308" s="36">
        <f t="shared" si="102"/>
        <v>-2</v>
      </c>
      <c r="AB308" s="36">
        <f t="shared" si="102"/>
        <v>0</v>
      </c>
      <c r="AC308" s="36">
        <f t="shared" si="102"/>
        <v>0</v>
      </c>
      <c r="AD308" s="36">
        <f t="shared" si="102"/>
        <v>0</v>
      </c>
      <c r="AE308" s="36">
        <f t="shared" si="102"/>
        <v>0</v>
      </c>
      <c r="AF308" s="36">
        <f t="shared" si="102"/>
        <v>0</v>
      </c>
      <c r="AG308" s="36">
        <f t="shared" si="102"/>
        <v>0</v>
      </c>
      <c r="AH308" s="36">
        <f t="shared" si="102"/>
        <v>0</v>
      </c>
      <c r="AI308" s="36">
        <f t="shared" si="102"/>
        <v>0</v>
      </c>
      <c r="AJ308" s="36">
        <f t="shared" si="102"/>
        <v>0</v>
      </c>
      <c r="AK308" s="36">
        <f t="shared" si="102"/>
        <v>0</v>
      </c>
      <c r="AL308" s="36">
        <f t="shared" si="102"/>
        <v>0</v>
      </c>
      <c r="AM308" s="36">
        <f t="shared" si="102"/>
        <v>0</v>
      </c>
      <c r="AN308" s="36">
        <f t="shared" si="102"/>
        <v>0</v>
      </c>
      <c r="AO308" s="36">
        <f t="shared" si="102"/>
        <v>0</v>
      </c>
      <c r="AP308" s="36">
        <f t="shared" si="102"/>
        <v>0</v>
      </c>
      <c r="AQ308" s="36">
        <f t="shared" si="102"/>
        <v>0</v>
      </c>
      <c r="AR308" s="36">
        <f t="shared" si="102"/>
        <v>0</v>
      </c>
      <c r="AS308" s="36">
        <f t="shared" si="102"/>
        <v>0</v>
      </c>
      <c r="AT308" s="36">
        <f t="shared" si="102"/>
        <v>0</v>
      </c>
      <c r="AU308" s="36">
        <f t="shared" si="102"/>
        <v>0</v>
      </c>
      <c r="AV308" s="36">
        <f t="shared" si="102"/>
        <v>0</v>
      </c>
      <c r="AW308" s="36">
        <f t="shared" si="102"/>
        <v>0</v>
      </c>
      <c r="AX308" s="36">
        <f t="shared" si="102"/>
        <v>0</v>
      </c>
      <c r="AY308" s="36">
        <f t="shared" si="102"/>
        <v>0</v>
      </c>
      <c r="AZ308" s="36">
        <f t="shared" si="102"/>
        <v>0</v>
      </c>
      <c r="BA308" s="36">
        <f t="shared" si="102"/>
        <v>0</v>
      </c>
      <c r="BB308" s="36">
        <f t="shared" si="102"/>
        <v>0</v>
      </c>
      <c r="BC308" s="36">
        <f t="shared" si="102"/>
        <v>0</v>
      </c>
      <c r="BD308" s="36">
        <f t="shared" si="102"/>
        <v>0</v>
      </c>
      <c r="BE308" s="36">
        <f t="shared" si="102"/>
        <v>0</v>
      </c>
      <c r="BF308" s="10">
        <f t="shared" si="102"/>
        <v>-2</v>
      </c>
    </row>
    <row r="309" spans="2:58" ht="22" customHeight="1">
      <c r="B309" s="104">
        <v>83</v>
      </c>
      <c r="C309" s="118" t="s">
        <v>84</v>
      </c>
      <c r="D309" s="105" t="s">
        <v>186</v>
      </c>
      <c r="E309" s="115"/>
      <c r="F309" s="119"/>
      <c r="G309" s="114">
        <f>SUM(Y309:AZ309)</f>
        <v>6</v>
      </c>
      <c r="H309" s="114">
        <f>SUM(Y310:AZ310)</f>
        <v>0</v>
      </c>
      <c r="I309" s="100"/>
      <c r="J309" s="116">
        <f>IFERROR(H309/G309,0)</f>
        <v>0</v>
      </c>
      <c r="K309" s="113">
        <v>0.1785714285714286</v>
      </c>
      <c r="L309" s="113">
        <v>0.1785714285714286</v>
      </c>
      <c r="M309" s="100"/>
      <c r="N309" s="100"/>
      <c r="O309" s="100"/>
      <c r="P309" s="100"/>
      <c r="Q309" s="100"/>
      <c r="R309" s="100"/>
      <c r="S309" s="115" t="s">
        <v>37</v>
      </c>
      <c r="T309" s="9"/>
      <c r="U309" s="9"/>
      <c r="V309" s="9"/>
      <c r="W309" s="9"/>
      <c r="X309" s="7" t="s">
        <v>31</v>
      </c>
      <c r="Y309" s="29">
        <v>0</v>
      </c>
      <c r="Z309" s="29">
        <v>2</v>
      </c>
      <c r="AA309" s="29">
        <v>2</v>
      </c>
      <c r="AB309" s="29">
        <v>0</v>
      </c>
      <c r="AC309" s="29">
        <v>0</v>
      </c>
      <c r="AD309" s="29">
        <v>0</v>
      </c>
      <c r="AE309" s="29">
        <v>0</v>
      </c>
      <c r="AF309" s="29">
        <v>0</v>
      </c>
      <c r="AG309" s="29">
        <v>2</v>
      </c>
      <c r="AH309" s="29">
        <v>0</v>
      </c>
      <c r="AI309" s="29">
        <v>0</v>
      </c>
      <c r="AJ309" s="29">
        <v>0</v>
      </c>
      <c r="AK309" s="29">
        <v>0</v>
      </c>
      <c r="AL309" s="29">
        <v>0</v>
      </c>
      <c r="AM309" s="29">
        <v>0</v>
      </c>
      <c r="AN309" s="29">
        <v>0</v>
      </c>
      <c r="AO309" s="29">
        <v>0</v>
      </c>
      <c r="AP309" s="29">
        <v>0</v>
      </c>
      <c r="AQ309" s="29">
        <v>0</v>
      </c>
      <c r="AR309" s="29">
        <v>0</v>
      </c>
      <c r="AS309" s="29">
        <v>0</v>
      </c>
      <c r="AT309" s="29">
        <v>0</v>
      </c>
      <c r="AU309" s="29">
        <v>0</v>
      </c>
      <c r="AV309" s="29">
        <v>0</v>
      </c>
      <c r="AW309" s="29">
        <v>0</v>
      </c>
      <c r="AX309" s="29">
        <v>0</v>
      </c>
      <c r="AY309" s="29">
        <v>0</v>
      </c>
      <c r="AZ309" s="29">
        <v>0</v>
      </c>
      <c r="BA309" s="29">
        <v>0</v>
      </c>
      <c r="BB309" s="29">
        <v>0</v>
      </c>
      <c r="BC309" s="29">
        <v>0</v>
      </c>
      <c r="BD309" s="29">
        <v>0</v>
      </c>
      <c r="BE309" s="29">
        <v>0</v>
      </c>
      <c r="BF309" s="10">
        <f>SUM(Y309:BE309)</f>
        <v>6</v>
      </c>
    </row>
    <row r="310" spans="2:58" ht="22" customHeight="1">
      <c r="B310" s="101"/>
      <c r="C310" s="101"/>
      <c r="D310" s="101"/>
      <c r="E310" s="101"/>
      <c r="F310" s="101"/>
      <c r="G310" s="101"/>
      <c r="H310" s="101"/>
      <c r="I310" s="101"/>
      <c r="J310" s="101"/>
      <c r="K310" s="101"/>
      <c r="L310" s="101"/>
      <c r="M310" s="101"/>
      <c r="N310" s="101"/>
      <c r="O310" s="101"/>
      <c r="P310" s="101"/>
      <c r="Q310" s="101"/>
      <c r="R310" s="101"/>
      <c r="S310" s="101"/>
      <c r="T310" s="9"/>
      <c r="U310" s="9"/>
      <c r="V310" s="9"/>
      <c r="W310" s="9"/>
      <c r="X310" s="7" t="s">
        <v>10</v>
      </c>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0">
        <f>SUM(Y310:BE310)</f>
        <v>0</v>
      </c>
    </row>
    <row r="311" spans="2:58" ht="22" customHeight="1">
      <c r="B311" s="101"/>
      <c r="C311" s="101"/>
      <c r="D311" s="101"/>
      <c r="E311" s="101"/>
      <c r="F311" s="101"/>
      <c r="G311" s="101"/>
      <c r="H311" s="101"/>
      <c r="I311" s="101"/>
      <c r="J311" s="101"/>
      <c r="K311" s="101"/>
      <c r="L311" s="101"/>
      <c r="M311" s="101"/>
      <c r="N311" s="101"/>
      <c r="O311" s="101"/>
      <c r="P311" s="101"/>
      <c r="Q311" s="101"/>
      <c r="R311" s="101"/>
      <c r="S311" s="101"/>
      <c r="T311" s="9"/>
      <c r="U311" s="9"/>
      <c r="V311" s="9"/>
      <c r="W311" s="9"/>
      <c r="X311" s="30" t="s">
        <v>38</v>
      </c>
      <c r="Y311" s="31">
        <v>9000</v>
      </c>
      <c r="Z311" s="31">
        <v>9000</v>
      </c>
      <c r="AA311" s="31">
        <v>9000</v>
      </c>
      <c r="AB311" s="31">
        <v>9000</v>
      </c>
      <c r="AC311" s="31">
        <v>9000</v>
      </c>
      <c r="AD311" s="31">
        <v>9000</v>
      </c>
      <c r="AE311" s="31">
        <v>9000</v>
      </c>
      <c r="AF311" s="31">
        <v>9000</v>
      </c>
      <c r="AG311" s="31">
        <v>9000</v>
      </c>
      <c r="AH311" s="31">
        <v>9000</v>
      </c>
      <c r="AI311" s="31">
        <v>9000</v>
      </c>
      <c r="AJ311" s="31">
        <v>9000</v>
      </c>
      <c r="AK311" s="31">
        <v>9000</v>
      </c>
      <c r="AL311" s="31">
        <v>9000</v>
      </c>
      <c r="AM311" s="31">
        <v>9000</v>
      </c>
      <c r="AN311" s="31">
        <v>9000</v>
      </c>
      <c r="AO311" s="31">
        <v>9000</v>
      </c>
      <c r="AP311" s="31">
        <v>9000</v>
      </c>
      <c r="AQ311" s="31">
        <v>9000</v>
      </c>
      <c r="AR311" s="31">
        <v>9000</v>
      </c>
      <c r="AS311" s="31">
        <v>9000</v>
      </c>
      <c r="AT311" s="31">
        <v>9000</v>
      </c>
      <c r="AU311" s="31">
        <v>9000</v>
      </c>
      <c r="AV311" s="31">
        <v>9000</v>
      </c>
      <c r="AW311" s="31">
        <v>9000</v>
      </c>
      <c r="AX311" s="31">
        <v>9000</v>
      </c>
      <c r="AY311" s="31">
        <v>9000</v>
      </c>
      <c r="AZ311" s="31">
        <v>9000</v>
      </c>
      <c r="BA311" s="31">
        <v>9000</v>
      </c>
      <c r="BB311" s="31">
        <v>9000</v>
      </c>
      <c r="BC311" s="31">
        <v>9000</v>
      </c>
      <c r="BD311" s="31">
        <v>9000</v>
      </c>
      <c r="BE311" s="31">
        <v>9000</v>
      </c>
      <c r="BF311" s="12">
        <f>SUM(Y311:BE311)</f>
        <v>297000</v>
      </c>
    </row>
    <row r="312" spans="2:58" ht="22" customHeight="1">
      <c r="B312" s="102"/>
      <c r="C312" s="102"/>
      <c r="D312" s="102"/>
      <c r="E312" s="102"/>
      <c r="F312" s="102"/>
      <c r="G312" s="102"/>
      <c r="H312" s="102"/>
      <c r="I312" s="102"/>
      <c r="J312" s="102"/>
      <c r="K312" s="102"/>
      <c r="L312" s="102"/>
      <c r="M312" s="102"/>
      <c r="N312" s="102"/>
      <c r="O312" s="102"/>
      <c r="P312" s="102"/>
      <c r="Q312" s="102"/>
      <c r="R312" s="102"/>
      <c r="S312" s="102"/>
      <c r="T312" s="9"/>
      <c r="U312" s="9"/>
      <c r="V312" s="9"/>
      <c r="W312" s="9"/>
      <c r="X312" s="7" t="s">
        <v>11</v>
      </c>
      <c r="Y312" s="3">
        <f t="shared" ref="Y312:BF312" si="103">Y310-Y309</f>
        <v>0</v>
      </c>
      <c r="Z312" s="3">
        <f t="shared" si="103"/>
        <v>-2</v>
      </c>
      <c r="AA312" s="3">
        <f t="shared" si="103"/>
        <v>-2</v>
      </c>
      <c r="AB312" s="3">
        <f t="shared" si="103"/>
        <v>0</v>
      </c>
      <c r="AC312" s="3">
        <f t="shared" si="103"/>
        <v>0</v>
      </c>
      <c r="AD312" s="3">
        <f t="shared" si="103"/>
        <v>0</v>
      </c>
      <c r="AE312" s="3">
        <f t="shared" si="103"/>
        <v>0</v>
      </c>
      <c r="AF312" s="3">
        <f t="shared" si="103"/>
        <v>0</v>
      </c>
      <c r="AG312" s="3">
        <f t="shared" si="103"/>
        <v>-2</v>
      </c>
      <c r="AH312" s="3">
        <f t="shared" si="103"/>
        <v>0</v>
      </c>
      <c r="AI312" s="3">
        <f t="shared" si="103"/>
        <v>0</v>
      </c>
      <c r="AJ312" s="3">
        <f t="shared" si="103"/>
        <v>0</v>
      </c>
      <c r="AK312" s="3">
        <f t="shared" si="103"/>
        <v>0</v>
      </c>
      <c r="AL312" s="3">
        <f t="shared" si="103"/>
        <v>0</v>
      </c>
      <c r="AM312" s="3">
        <f t="shared" si="103"/>
        <v>0</v>
      </c>
      <c r="AN312" s="3">
        <f t="shared" si="103"/>
        <v>0</v>
      </c>
      <c r="AO312" s="3">
        <f t="shared" si="103"/>
        <v>0</v>
      </c>
      <c r="AP312" s="3">
        <f t="shared" si="103"/>
        <v>0</v>
      </c>
      <c r="AQ312" s="3">
        <f t="shared" si="103"/>
        <v>0</v>
      </c>
      <c r="AR312" s="3">
        <f t="shared" si="103"/>
        <v>0</v>
      </c>
      <c r="AS312" s="3">
        <f t="shared" si="103"/>
        <v>0</v>
      </c>
      <c r="AT312" s="3">
        <f t="shared" si="103"/>
        <v>0</v>
      </c>
      <c r="AU312" s="3">
        <f t="shared" si="103"/>
        <v>0</v>
      </c>
      <c r="AV312" s="3">
        <f t="shared" si="103"/>
        <v>0</v>
      </c>
      <c r="AW312" s="3">
        <f t="shared" si="103"/>
        <v>0</v>
      </c>
      <c r="AX312" s="3">
        <f t="shared" si="103"/>
        <v>0</v>
      </c>
      <c r="AY312" s="3">
        <f t="shared" si="103"/>
        <v>0</v>
      </c>
      <c r="AZ312" s="3">
        <f t="shared" si="103"/>
        <v>0</v>
      </c>
      <c r="BA312" s="3">
        <f t="shared" si="103"/>
        <v>0</v>
      </c>
      <c r="BB312" s="3">
        <f t="shared" si="103"/>
        <v>0</v>
      </c>
      <c r="BC312" s="3">
        <f t="shared" si="103"/>
        <v>0</v>
      </c>
      <c r="BD312" s="3">
        <f t="shared" si="103"/>
        <v>0</v>
      </c>
      <c r="BE312" s="3">
        <f t="shared" si="103"/>
        <v>0</v>
      </c>
      <c r="BF312" s="10">
        <f t="shared" si="103"/>
        <v>-6</v>
      </c>
    </row>
    <row r="313" spans="2:58" ht="22" customHeight="1">
      <c r="B313" s="107">
        <v>84</v>
      </c>
      <c r="C313" s="117" t="s">
        <v>96</v>
      </c>
      <c r="D313" s="108" t="s">
        <v>187</v>
      </c>
      <c r="E313" s="103"/>
      <c r="F313" s="109"/>
      <c r="G313" s="106">
        <f>SUM(Y313:AZ313)</f>
        <v>6</v>
      </c>
      <c r="H313" s="106">
        <f>SUM(Y314:AZ314)</f>
        <v>0</v>
      </c>
      <c r="I313" s="111"/>
      <c r="J313" s="112">
        <f>IFERROR(H313/G313,0)</f>
        <v>0</v>
      </c>
      <c r="K313" s="110">
        <v>3.3333333333333333E-2</v>
      </c>
      <c r="L313" s="110">
        <v>3.3333333333333333E-2</v>
      </c>
      <c r="M313" s="111"/>
      <c r="N313" s="111"/>
      <c r="O313" s="111"/>
      <c r="P313" s="111"/>
      <c r="Q313" s="111"/>
      <c r="R313" s="111"/>
      <c r="S313" s="103" t="s">
        <v>37</v>
      </c>
      <c r="T313" s="39"/>
      <c r="U313" s="39"/>
      <c r="V313" s="39"/>
      <c r="W313" s="39"/>
      <c r="X313" s="33" t="s">
        <v>31</v>
      </c>
      <c r="Y313" s="40">
        <v>0</v>
      </c>
      <c r="Z313" s="40">
        <v>2</v>
      </c>
      <c r="AA313" s="40">
        <v>2</v>
      </c>
      <c r="AB313" s="40">
        <v>0</v>
      </c>
      <c r="AC313" s="40">
        <v>0</v>
      </c>
      <c r="AD313" s="40">
        <v>0</v>
      </c>
      <c r="AE313" s="40">
        <v>0</v>
      </c>
      <c r="AF313" s="40">
        <v>0</v>
      </c>
      <c r="AG313" s="40">
        <v>2</v>
      </c>
      <c r="AH313" s="40">
        <v>0</v>
      </c>
      <c r="AI313" s="40">
        <v>0</v>
      </c>
      <c r="AJ313" s="40">
        <v>0</v>
      </c>
      <c r="AK313" s="40">
        <v>0</v>
      </c>
      <c r="AL313" s="40">
        <v>0</v>
      </c>
      <c r="AM313" s="40">
        <v>0</v>
      </c>
      <c r="AN313" s="40">
        <v>0</v>
      </c>
      <c r="AO313" s="40">
        <v>0</v>
      </c>
      <c r="AP313" s="40">
        <v>0</v>
      </c>
      <c r="AQ313" s="40">
        <v>0</v>
      </c>
      <c r="AR313" s="40">
        <v>0</v>
      </c>
      <c r="AS313" s="40">
        <v>0</v>
      </c>
      <c r="AT313" s="40">
        <v>0</v>
      </c>
      <c r="AU313" s="40">
        <v>0</v>
      </c>
      <c r="AV313" s="40">
        <v>0</v>
      </c>
      <c r="AW313" s="40">
        <v>0</v>
      </c>
      <c r="AX313" s="40">
        <v>0</v>
      </c>
      <c r="AY313" s="40">
        <v>0</v>
      </c>
      <c r="AZ313" s="40">
        <v>0</v>
      </c>
      <c r="BA313" s="40">
        <v>0</v>
      </c>
      <c r="BB313" s="40">
        <v>0</v>
      </c>
      <c r="BC313" s="40">
        <v>0</v>
      </c>
      <c r="BD313" s="40">
        <v>0</v>
      </c>
      <c r="BE313" s="40">
        <v>0</v>
      </c>
      <c r="BF313" s="10">
        <f>SUM(Y313:BE313)</f>
        <v>6</v>
      </c>
    </row>
    <row r="314" spans="2:58" ht="22" customHeight="1">
      <c r="B314" s="101"/>
      <c r="C314" s="101"/>
      <c r="D314" s="101"/>
      <c r="E314" s="101"/>
      <c r="F314" s="101"/>
      <c r="G314" s="101"/>
      <c r="H314" s="101"/>
      <c r="I314" s="101"/>
      <c r="J314" s="101"/>
      <c r="K314" s="101"/>
      <c r="L314" s="101"/>
      <c r="M314" s="101"/>
      <c r="N314" s="101"/>
      <c r="O314" s="101"/>
      <c r="P314" s="101"/>
      <c r="Q314" s="101"/>
      <c r="R314" s="101"/>
      <c r="S314" s="101"/>
      <c r="T314" s="39"/>
      <c r="U314" s="39"/>
      <c r="V314" s="39"/>
      <c r="W314" s="39"/>
      <c r="X314" s="33" t="s">
        <v>10</v>
      </c>
      <c r="Y314" s="41"/>
      <c r="Z314" s="41"/>
      <c r="AA314" s="41"/>
      <c r="AB314" s="41"/>
      <c r="AC314" s="41"/>
      <c r="AD314" s="41"/>
      <c r="AE314" s="41"/>
      <c r="AF314" s="41"/>
      <c r="AG314" s="41"/>
      <c r="AH314" s="41"/>
      <c r="AI314" s="41"/>
      <c r="AJ314" s="41"/>
      <c r="AK314" s="41"/>
      <c r="AL314" s="41"/>
      <c r="AM314" s="41"/>
      <c r="AN314" s="41"/>
      <c r="AO314" s="41"/>
      <c r="AP314" s="41"/>
      <c r="AQ314" s="41"/>
      <c r="AR314" s="41"/>
      <c r="AS314" s="41"/>
      <c r="AT314" s="41"/>
      <c r="AU314" s="41"/>
      <c r="AV314" s="41"/>
      <c r="AW314" s="41"/>
      <c r="AX314" s="41"/>
      <c r="AY314" s="41"/>
      <c r="AZ314" s="41"/>
      <c r="BA314" s="41"/>
      <c r="BB314" s="41"/>
      <c r="BC314" s="41"/>
      <c r="BD314" s="41"/>
      <c r="BE314" s="41"/>
      <c r="BF314" s="10">
        <f>SUM(Y314:BE314)</f>
        <v>0</v>
      </c>
    </row>
    <row r="315" spans="2:58" ht="22" customHeight="1">
      <c r="B315" s="101"/>
      <c r="C315" s="101"/>
      <c r="D315" s="101"/>
      <c r="E315" s="101"/>
      <c r="F315" s="101"/>
      <c r="G315" s="101"/>
      <c r="H315" s="101"/>
      <c r="I315" s="101"/>
      <c r="J315" s="101"/>
      <c r="K315" s="101"/>
      <c r="L315" s="101"/>
      <c r="M315" s="101"/>
      <c r="N315" s="101"/>
      <c r="O315" s="101"/>
      <c r="P315" s="101"/>
      <c r="Q315" s="101"/>
      <c r="R315" s="101"/>
      <c r="S315" s="101"/>
      <c r="T315" s="39"/>
      <c r="U315" s="39"/>
      <c r="V315" s="39"/>
      <c r="W315" s="39"/>
      <c r="X315" s="42" t="s">
        <v>38</v>
      </c>
      <c r="Y315" s="43">
        <v>9000</v>
      </c>
      <c r="Z315" s="43">
        <v>9000</v>
      </c>
      <c r="AA315" s="43">
        <v>9000</v>
      </c>
      <c r="AB315" s="43">
        <v>9000</v>
      </c>
      <c r="AC315" s="43">
        <v>9000</v>
      </c>
      <c r="AD315" s="43">
        <v>9000</v>
      </c>
      <c r="AE315" s="43">
        <v>9000</v>
      </c>
      <c r="AF315" s="43">
        <v>9000</v>
      </c>
      <c r="AG315" s="43">
        <v>9000</v>
      </c>
      <c r="AH315" s="43">
        <v>9000</v>
      </c>
      <c r="AI315" s="43">
        <v>9000</v>
      </c>
      <c r="AJ315" s="43">
        <v>9000</v>
      </c>
      <c r="AK315" s="43">
        <v>9000</v>
      </c>
      <c r="AL315" s="43">
        <v>9000</v>
      </c>
      <c r="AM315" s="43">
        <v>9000</v>
      </c>
      <c r="AN315" s="43">
        <v>9000</v>
      </c>
      <c r="AO315" s="43">
        <v>9000</v>
      </c>
      <c r="AP315" s="43">
        <v>9000</v>
      </c>
      <c r="AQ315" s="43">
        <v>9000</v>
      </c>
      <c r="AR315" s="43">
        <v>9000</v>
      </c>
      <c r="AS315" s="43">
        <v>9000</v>
      </c>
      <c r="AT315" s="43">
        <v>9000</v>
      </c>
      <c r="AU315" s="43">
        <v>9000</v>
      </c>
      <c r="AV315" s="43">
        <v>9000</v>
      </c>
      <c r="AW315" s="43">
        <v>9000</v>
      </c>
      <c r="AX315" s="43">
        <v>9000</v>
      </c>
      <c r="AY315" s="43">
        <v>9000</v>
      </c>
      <c r="AZ315" s="43">
        <v>9000</v>
      </c>
      <c r="BA315" s="43">
        <v>9000</v>
      </c>
      <c r="BB315" s="43">
        <v>9000</v>
      </c>
      <c r="BC315" s="43">
        <v>9000</v>
      </c>
      <c r="BD315" s="43">
        <v>9000</v>
      </c>
      <c r="BE315" s="43">
        <v>9000</v>
      </c>
      <c r="BF315" s="12">
        <f>SUM(Y315:BE315)</f>
        <v>297000</v>
      </c>
    </row>
    <row r="316" spans="2:58" ht="22" customHeight="1">
      <c r="B316" s="102"/>
      <c r="C316" s="102"/>
      <c r="D316" s="102"/>
      <c r="E316" s="102"/>
      <c r="F316" s="102"/>
      <c r="G316" s="102"/>
      <c r="H316" s="102"/>
      <c r="I316" s="102"/>
      <c r="J316" s="102"/>
      <c r="K316" s="102"/>
      <c r="L316" s="102"/>
      <c r="M316" s="102"/>
      <c r="N316" s="102"/>
      <c r="O316" s="102"/>
      <c r="P316" s="102"/>
      <c r="Q316" s="102"/>
      <c r="R316" s="102"/>
      <c r="S316" s="102"/>
      <c r="T316" s="39"/>
      <c r="U316" s="39"/>
      <c r="V316" s="39"/>
      <c r="W316" s="39"/>
      <c r="X316" s="33" t="s">
        <v>11</v>
      </c>
      <c r="Y316" s="36">
        <f t="shared" ref="Y316:BF316" si="104">Y314-Y313</f>
        <v>0</v>
      </c>
      <c r="Z316" s="36">
        <f t="shared" si="104"/>
        <v>-2</v>
      </c>
      <c r="AA316" s="36">
        <f t="shared" si="104"/>
        <v>-2</v>
      </c>
      <c r="AB316" s="36">
        <f t="shared" si="104"/>
        <v>0</v>
      </c>
      <c r="AC316" s="36">
        <f t="shared" si="104"/>
        <v>0</v>
      </c>
      <c r="AD316" s="36">
        <f t="shared" si="104"/>
        <v>0</v>
      </c>
      <c r="AE316" s="36">
        <f t="shared" si="104"/>
        <v>0</v>
      </c>
      <c r="AF316" s="36">
        <f t="shared" si="104"/>
        <v>0</v>
      </c>
      <c r="AG316" s="36">
        <f t="shared" si="104"/>
        <v>-2</v>
      </c>
      <c r="AH316" s="36">
        <f t="shared" si="104"/>
        <v>0</v>
      </c>
      <c r="AI316" s="36">
        <f t="shared" si="104"/>
        <v>0</v>
      </c>
      <c r="AJ316" s="36">
        <f t="shared" si="104"/>
        <v>0</v>
      </c>
      <c r="AK316" s="36">
        <f t="shared" si="104"/>
        <v>0</v>
      </c>
      <c r="AL316" s="36">
        <f t="shared" si="104"/>
        <v>0</v>
      </c>
      <c r="AM316" s="36">
        <f t="shared" si="104"/>
        <v>0</v>
      </c>
      <c r="AN316" s="36">
        <f t="shared" si="104"/>
        <v>0</v>
      </c>
      <c r="AO316" s="36">
        <f t="shared" si="104"/>
        <v>0</v>
      </c>
      <c r="AP316" s="36">
        <f t="shared" si="104"/>
        <v>0</v>
      </c>
      <c r="AQ316" s="36">
        <f t="shared" si="104"/>
        <v>0</v>
      </c>
      <c r="AR316" s="36">
        <f t="shared" si="104"/>
        <v>0</v>
      </c>
      <c r="AS316" s="36">
        <f t="shared" si="104"/>
        <v>0</v>
      </c>
      <c r="AT316" s="36">
        <f t="shared" si="104"/>
        <v>0</v>
      </c>
      <c r="AU316" s="36">
        <f t="shared" si="104"/>
        <v>0</v>
      </c>
      <c r="AV316" s="36">
        <f t="shared" si="104"/>
        <v>0</v>
      </c>
      <c r="AW316" s="36">
        <f t="shared" si="104"/>
        <v>0</v>
      </c>
      <c r="AX316" s="36">
        <f t="shared" si="104"/>
        <v>0</v>
      </c>
      <c r="AY316" s="36">
        <f t="shared" si="104"/>
        <v>0</v>
      </c>
      <c r="AZ316" s="36">
        <f t="shared" si="104"/>
        <v>0</v>
      </c>
      <c r="BA316" s="36">
        <f t="shared" si="104"/>
        <v>0</v>
      </c>
      <c r="BB316" s="36">
        <f t="shared" si="104"/>
        <v>0</v>
      </c>
      <c r="BC316" s="36">
        <f t="shared" si="104"/>
        <v>0</v>
      </c>
      <c r="BD316" s="36">
        <f t="shared" si="104"/>
        <v>0</v>
      </c>
      <c r="BE316" s="36">
        <f t="shared" si="104"/>
        <v>0</v>
      </c>
      <c r="BF316" s="10">
        <f t="shared" si="104"/>
        <v>-6</v>
      </c>
    </row>
    <row r="317" spans="2:58" ht="22" customHeight="1">
      <c r="B317" s="104">
        <v>85</v>
      </c>
      <c r="C317" s="118" t="s">
        <v>74</v>
      </c>
      <c r="D317" s="105" t="s">
        <v>188</v>
      </c>
      <c r="E317" s="115"/>
      <c r="F317" s="119"/>
      <c r="G317" s="114">
        <f>SUM(Y317:AZ317)</f>
        <v>0</v>
      </c>
      <c r="H317" s="114">
        <f>SUM(Y318:AZ318)</f>
        <v>0</v>
      </c>
      <c r="I317" s="100"/>
      <c r="J317" s="116">
        <f>IFERROR(H317/G317,0)</f>
        <v>0</v>
      </c>
      <c r="K317" s="113">
        <v>6.8965517241379309E-2</v>
      </c>
      <c r="L317" s="113">
        <v>6.8965517241379309E-2</v>
      </c>
      <c r="M317" s="100"/>
      <c r="N317" s="100"/>
      <c r="O317" s="100"/>
      <c r="P317" s="100"/>
      <c r="Q317" s="100"/>
      <c r="R317" s="100"/>
      <c r="S317" s="115" t="s">
        <v>47</v>
      </c>
      <c r="T317" s="9"/>
      <c r="U317" s="9"/>
      <c r="V317" s="9"/>
      <c r="W317" s="9"/>
      <c r="X317" s="7" t="s">
        <v>31</v>
      </c>
      <c r="Y317" s="29">
        <v>0</v>
      </c>
      <c r="Z317" s="29">
        <v>0</v>
      </c>
      <c r="AA317" s="29">
        <v>0</v>
      </c>
      <c r="AB317" s="29">
        <v>0</v>
      </c>
      <c r="AC317" s="29">
        <v>0</v>
      </c>
      <c r="AD317" s="29">
        <v>0</v>
      </c>
      <c r="AE317" s="29">
        <v>0</v>
      </c>
      <c r="AF317" s="29">
        <v>0</v>
      </c>
      <c r="AG317" s="29">
        <v>0</v>
      </c>
      <c r="AH317" s="29">
        <v>0</v>
      </c>
      <c r="AI317" s="29">
        <v>0</v>
      </c>
      <c r="AJ317" s="29">
        <v>0</v>
      </c>
      <c r="AK317" s="29">
        <v>0</v>
      </c>
      <c r="AL317" s="29">
        <v>0</v>
      </c>
      <c r="AM317" s="29">
        <v>0</v>
      </c>
      <c r="AN317" s="29">
        <v>0</v>
      </c>
      <c r="AO317" s="29">
        <v>0</v>
      </c>
      <c r="AP317" s="29">
        <v>0</v>
      </c>
      <c r="AQ317" s="29">
        <v>0</v>
      </c>
      <c r="AR317" s="29">
        <v>0</v>
      </c>
      <c r="AS317" s="29">
        <v>0</v>
      </c>
      <c r="AT317" s="29">
        <v>0</v>
      </c>
      <c r="AU317" s="29">
        <v>0</v>
      </c>
      <c r="AV317" s="29">
        <v>0</v>
      </c>
      <c r="AW317" s="29">
        <v>0</v>
      </c>
      <c r="AX317" s="29">
        <v>0</v>
      </c>
      <c r="AY317" s="29">
        <v>0</v>
      </c>
      <c r="AZ317" s="29">
        <v>0</v>
      </c>
      <c r="BA317" s="29">
        <v>0</v>
      </c>
      <c r="BB317" s="29">
        <v>0</v>
      </c>
      <c r="BC317" s="29">
        <v>0</v>
      </c>
      <c r="BD317" s="29">
        <v>0</v>
      </c>
      <c r="BE317" s="29">
        <v>0</v>
      </c>
      <c r="BF317" s="10">
        <f>SUM(Y317:BE317)</f>
        <v>0</v>
      </c>
    </row>
    <row r="318" spans="2:58" ht="22" customHeight="1">
      <c r="B318" s="101"/>
      <c r="C318" s="101"/>
      <c r="D318" s="101"/>
      <c r="E318" s="101"/>
      <c r="F318" s="101"/>
      <c r="G318" s="101"/>
      <c r="H318" s="101"/>
      <c r="I318" s="101"/>
      <c r="J318" s="101"/>
      <c r="K318" s="101"/>
      <c r="L318" s="101"/>
      <c r="M318" s="101"/>
      <c r="N318" s="101"/>
      <c r="O318" s="101"/>
      <c r="P318" s="101"/>
      <c r="Q318" s="101"/>
      <c r="R318" s="101"/>
      <c r="S318" s="101"/>
      <c r="T318" s="9"/>
      <c r="U318" s="9"/>
      <c r="V318" s="9"/>
      <c r="W318" s="9"/>
      <c r="X318" s="7" t="s">
        <v>10</v>
      </c>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0">
        <f>SUM(Y318:BE318)</f>
        <v>0</v>
      </c>
    </row>
    <row r="319" spans="2:58" ht="22" customHeight="1">
      <c r="B319" s="102"/>
      <c r="C319" s="102"/>
      <c r="D319" s="102"/>
      <c r="E319" s="102"/>
      <c r="F319" s="102"/>
      <c r="G319" s="102"/>
      <c r="H319" s="102"/>
      <c r="I319" s="102"/>
      <c r="J319" s="102"/>
      <c r="K319" s="102"/>
      <c r="L319" s="102"/>
      <c r="M319" s="102"/>
      <c r="N319" s="102"/>
      <c r="O319" s="102"/>
      <c r="P319" s="102"/>
      <c r="Q319" s="102"/>
      <c r="R319" s="102"/>
      <c r="S319" s="102"/>
      <c r="T319" s="9"/>
      <c r="U319" s="9"/>
      <c r="V319" s="9"/>
      <c r="W319" s="9"/>
      <c r="X319" s="7" t="s">
        <v>11</v>
      </c>
      <c r="Y319" s="3">
        <f t="shared" ref="Y319:BF319" si="105">Y318-Y317</f>
        <v>0</v>
      </c>
      <c r="Z319" s="3">
        <f t="shared" si="105"/>
        <v>0</v>
      </c>
      <c r="AA319" s="3">
        <f t="shared" si="105"/>
        <v>0</v>
      </c>
      <c r="AB319" s="3">
        <f t="shared" si="105"/>
        <v>0</v>
      </c>
      <c r="AC319" s="3">
        <f t="shared" si="105"/>
        <v>0</v>
      </c>
      <c r="AD319" s="3">
        <f t="shared" si="105"/>
        <v>0</v>
      </c>
      <c r="AE319" s="3">
        <f t="shared" si="105"/>
        <v>0</v>
      </c>
      <c r="AF319" s="3">
        <f t="shared" si="105"/>
        <v>0</v>
      </c>
      <c r="AG319" s="3">
        <f t="shared" si="105"/>
        <v>0</v>
      </c>
      <c r="AH319" s="3">
        <f t="shared" si="105"/>
        <v>0</v>
      </c>
      <c r="AI319" s="3">
        <f t="shared" si="105"/>
        <v>0</v>
      </c>
      <c r="AJ319" s="3">
        <f t="shared" si="105"/>
        <v>0</v>
      </c>
      <c r="AK319" s="3">
        <f t="shared" si="105"/>
        <v>0</v>
      </c>
      <c r="AL319" s="3">
        <f t="shared" si="105"/>
        <v>0</v>
      </c>
      <c r="AM319" s="3">
        <f t="shared" si="105"/>
        <v>0</v>
      </c>
      <c r="AN319" s="3">
        <f t="shared" si="105"/>
        <v>0</v>
      </c>
      <c r="AO319" s="3">
        <f t="shared" si="105"/>
        <v>0</v>
      </c>
      <c r="AP319" s="3">
        <f t="shared" si="105"/>
        <v>0</v>
      </c>
      <c r="AQ319" s="3">
        <f t="shared" si="105"/>
        <v>0</v>
      </c>
      <c r="AR319" s="3">
        <f t="shared" si="105"/>
        <v>0</v>
      </c>
      <c r="AS319" s="3">
        <f t="shared" si="105"/>
        <v>0</v>
      </c>
      <c r="AT319" s="3">
        <f t="shared" si="105"/>
        <v>0</v>
      </c>
      <c r="AU319" s="3">
        <f t="shared" si="105"/>
        <v>0</v>
      </c>
      <c r="AV319" s="3">
        <f t="shared" si="105"/>
        <v>0</v>
      </c>
      <c r="AW319" s="3">
        <f t="shared" si="105"/>
        <v>0</v>
      </c>
      <c r="AX319" s="3">
        <f t="shared" si="105"/>
        <v>0</v>
      </c>
      <c r="AY319" s="3">
        <f t="shared" si="105"/>
        <v>0</v>
      </c>
      <c r="AZ319" s="3">
        <f t="shared" si="105"/>
        <v>0</v>
      </c>
      <c r="BA319" s="3">
        <f t="shared" si="105"/>
        <v>0</v>
      </c>
      <c r="BB319" s="3">
        <f t="shared" si="105"/>
        <v>0</v>
      </c>
      <c r="BC319" s="3">
        <f t="shared" si="105"/>
        <v>0</v>
      </c>
      <c r="BD319" s="3">
        <f t="shared" si="105"/>
        <v>0</v>
      </c>
      <c r="BE319" s="3">
        <f t="shared" si="105"/>
        <v>0</v>
      </c>
      <c r="BF319" s="10">
        <f t="shared" si="105"/>
        <v>0</v>
      </c>
    </row>
    <row r="320" spans="2:58" ht="22" customHeight="1">
      <c r="B320" s="107">
        <v>86</v>
      </c>
      <c r="C320" s="117" t="s">
        <v>66</v>
      </c>
      <c r="D320" s="108" t="s">
        <v>189</v>
      </c>
      <c r="E320" s="103"/>
      <c r="F320" s="109"/>
      <c r="G320" s="106">
        <f>SUM(Y320:AZ320)</f>
        <v>0</v>
      </c>
      <c r="H320" s="106">
        <f>SUM(Y321:AZ321)</f>
        <v>0</v>
      </c>
      <c r="I320" s="111"/>
      <c r="J320" s="112">
        <f>IFERROR(H320/G320,0)</f>
        <v>0</v>
      </c>
      <c r="K320" s="110">
        <v>0.1</v>
      </c>
      <c r="L320" s="110">
        <v>0.1</v>
      </c>
      <c r="M320" s="111"/>
      <c r="N320" s="111"/>
      <c r="O320" s="111"/>
      <c r="P320" s="111"/>
      <c r="Q320" s="111"/>
      <c r="R320" s="111"/>
      <c r="S320" s="103" t="s">
        <v>37</v>
      </c>
      <c r="T320" s="39"/>
      <c r="U320" s="39"/>
      <c r="V320" s="39"/>
      <c r="W320" s="39"/>
      <c r="X320" s="33" t="s">
        <v>31</v>
      </c>
      <c r="Y320" s="40">
        <v>0</v>
      </c>
      <c r="Z320" s="40">
        <v>0</v>
      </c>
      <c r="AA320" s="40">
        <v>0</v>
      </c>
      <c r="AB320" s="40">
        <v>0</v>
      </c>
      <c r="AC320" s="40">
        <v>0</v>
      </c>
      <c r="AD320" s="40">
        <v>0</v>
      </c>
      <c r="AE320" s="40">
        <v>0</v>
      </c>
      <c r="AF320" s="40">
        <v>0</v>
      </c>
      <c r="AG320" s="40">
        <v>0</v>
      </c>
      <c r="AH320" s="40">
        <v>0</v>
      </c>
      <c r="AI320" s="40">
        <v>0</v>
      </c>
      <c r="AJ320" s="40">
        <v>0</v>
      </c>
      <c r="AK320" s="40">
        <v>0</v>
      </c>
      <c r="AL320" s="40">
        <v>0</v>
      </c>
      <c r="AM320" s="40">
        <v>0</v>
      </c>
      <c r="AN320" s="40">
        <v>0</v>
      </c>
      <c r="AO320" s="40">
        <v>0</v>
      </c>
      <c r="AP320" s="40">
        <v>0</v>
      </c>
      <c r="AQ320" s="40">
        <v>0</v>
      </c>
      <c r="AR320" s="40">
        <v>0</v>
      </c>
      <c r="AS320" s="40">
        <v>0</v>
      </c>
      <c r="AT320" s="40">
        <v>0</v>
      </c>
      <c r="AU320" s="40">
        <v>0</v>
      </c>
      <c r="AV320" s="40">
        <v>0</v>
      </c>
      <c r="AW320" s="40">
        <v>0</v>
      </c>
      <c r="AX320" s="40">
        <v>0</v>
      </c>
      <c r="AY320" s="40">
        <v>0</v>
      </c>
      <c r="AZ320" s="40">
        <v>0</v>
      </c>
      <c r="BA320" s="40">
        <v>0</v>
      </c>
      <c r="BB320" s="40">
        <v>0</v>
      </c>
      <c r="BC320" s="40">
        <v>0</v>
      </c>
      <c r="BD320" s="40">
        <v>0</v>
      </c>
      <c r="BE320" s="40">
        <v>0</v>
      </c>
      <c r="BF320" s="10">
        <f>SUM(Y320:BE320)</f>
        <v>0</v>
      </c>
    </row>
    <row r="321" spans="2:58" ht="22" customHeight="1">
      <c r="B321" s="101"/>
      <c r="C321" s="101"/>
      <c r="D321" s="101"/>
      <c r="E321" s="101"/>
      <c r="F321" s="101"/>
      <c r="G321" s="101"/>
      <c r="H321" s="101"/>
      <c r="I321" s="101"/>
      <c r="J321" s="101"/>
      <c r="K321" s="101"/>
      <c r="L321" s="101"/>
      <c r="M321" s="101"/>
      <c r="N321" s="101"/>
      <c r="O321" s="101"/>
      <c r="P321" s="101"/>
      <c r="Q321" s="101"/>
      <c r="R321" s="101"/>
      <c r="S321" s="101"/>
      <c r="T321" s="39"/>
      <c r="U321" s="39"/>
      <c r="V321" s="39"/>
      <c r="W321" s="39"/>
      <c r="X321" s="33" t="s">
        <v>10</v>
      </c>
      <c r="Y321" s="41"/>
      <c r="Z321" s="41"/>
      <c r="AA321" s="41"/>
      <c r="AB321" s="41"/>
      <c r="AC321" s="41"/>
      <c r="AD321" s="41"/>
      <c r="AE321" s="41"/>
      <c r="AF321" s="41"/>
      <c r="AG321" s="41"/>
      <c r="AH321" s="41"/>
      <c r="AI321" s="41"/>
      <c r="AJ321" s="41"/>
      <c r="AK321" s="41"/>
      <c r="AL321" s="41"/>
      <c r="AM321" s="41"/>
      <c r="AN321" s="41"/>
      <c r="AO321" s="41"/>
      <c r="AP321" s="41"/>
      <c r="AQ321" s="41"/>
      <c r="AR321" s="41"/>
      <c r="AS321" s="41"/>
      <c r="AT321" s="41"/>
      <c r="AU321" s="41"/>
      <c r="AV321" s="41"/>
      <c r="AW321" s="41"/>
      <c r="AX321" s="41"/>
      <c r="AY321" s="41"/>
      <c r="AZ321" s="41"/>
      <c r="BA321" s="41"/>
      <c r="BB321" s="41"/>
      <c r="BC321" s="41"/>
      <c r="BD321" s="41"/>
      <c r="BE321" s="41"/>
      <c r="BF321" s="10">
        <f>SUM(Y321:BE321)</f>
        <v>0</v>
      </c>
    </row>
    <row r="322" spans="2:58" ht="22" customHeight="1">
      <c r="B322" s="101"/>
      <c r="C322" s="101"/>
      <c r="D322" s="101"/>
      <c r="E322" s="101"/>
      <c r="F322" s="101"/>
      <c r="G322" s="101"/>
      <c r="H322" s="101"/>
      <c r="I322" s="101"/>
      <c r="J322" s="101"/>
      <c r="K322" s="101"/>
      <c r="L322" s="101"/>
      <c r="M322" s="101"/>
      <c r="N322" s="101"/>
      <c r="O322" s="101"/>
      <c r="P322" s="101"/>
      <c r="Q322" s="101"/>
      <c r="R322" s="101"/>
      <c r="S322" s="101"/>
      <c r="T322" s="39"/>
      <c r="U322" s="39"/>
      <c r="V322" s="39"/>
      <c r="W322" s="39"/>
      <c r="X322" s="42" t="s">
        <v>38</v>
      </c>
      <c r="Y322" s="43">
        <v>9000</v>
      </c>
      <c r="Z322" s="43">
        <v>9000</v>
      </c>
      <c r="AA322" s="43">
        <v>9000</v>
      </c>
      <c r="AB322" s="43">
        <v>9000</v>
      </c>
      <c r="AC322" s="43">
        <v>9000</v>
      </c>
      <c r="AD322" s="43">
        <v>9000</v>
      </c>
      <c r="AE322" s="43">
        <v>9000</v>
      </c>
      <c r="AF322" s="43">
        <v>9000</v>
      </c>
      <c r="AG322" s="43">
        <v>9000</v>
      </c>
      <c r="AH322" s="43">
        <v>9000</v>
      </c>
      <c r="AI322" s="43">
        <v>9000</v>
      </c>
      <c r="AJ322" s="43">
        <v>9000</v>
      </c>
      <c r="AK322" s="43">
        <v>9000</v>
      </c>
      <c r="AL322" s="43">
        <v>9000</v>
      </c>
      <c r="AM322" s="43">
        <v>9000</v>
      </c>
      <c r="AN322" s="43">
        <v>9000</v>
      </c>
      <c r="AO322" s="43">
        <v>9000</v>
      </c>
      <c r="AP322" s="43">
        <v>9000</v>
      </c>
      <c r="AQ322" s="43">
        <v>9000</v>
      </c>
      <c r="AR322" s="43">
        <v>9000</v>
      </c>
      <c r="AS322" s="43">
        <v>9000</v>
      </c>
      <c r="AT322" s="43">
        <v>9000</v>
      </c>
      <c r="AU322" s="43">
        <v>9000</v>
      </c>
      <c r="AV322" s="43">
        <v>9000</v>
      </c>
      <c r="AW322" s="43">
        <v>9000</v>
      </c>
      <c r="AX322" s="43">
        <v>9000</v>
      </c>
      <c r="AY322" s="43">
        <v>9000</v>
      </c>
      <c r="AZ322" s="43">
        <v>9000</v>
      </c>
      <c r="BA322" s="43">
        <v>9000</v>
      </c>
      <c r="BB322" s="43">
        <v>9000</v>
      </c>
      <c r="BC322" s="43">
        <v>9000</v>
      </c>
      <c r="BD322" s="43">
        <v>9000</v>
      </c>
      <c r="BE322" s="43">
        <v>9000</v>
      </c>
      <c r="BF322" s="12">
        <f>SUM(Y322:BE322)</f>
        <v>297000</v>
      </c>
    </row>
    <row r="323" spans="2:58" ht="22" customHeight="1">
      <c r="B323" s="102"/>
      <c r="C323" s="102"/>
      <c r="D323" s="102"/>
      <c r="E323" s="102"/>
      <c r="F323" s="102"/>
      <c r="G323" s="102"/>
      <c r="H323" s="102"/>
      <c r="I323" s="102"/>
      <c r="J323" s="102"/>
      <c r="K323" s="102"/>
      <c r="L323" s="102"/>
      <c r="M323" s="102"/>
      <c r="N323" s="102"/>
      <c r="O323" s="102"/>
      <c r="P323" s="102"/>
      <c r="Q323" s="102"/>
      <c r="R323" s="102"/>
      <c r="S323" s="102"/>
      <c r="T323" s="39"/>
      <c r="U323" s="39"/>
      <c r="V323" s="39"/>
      <c r="W323" s="39"/>
      <c r="X323" s="33" t="s">
        <v>11</v>
      </c>
      <c r="Y323" s="36">
        <f t="shared" ref="Y323:BF323" si="106">Y321-Y320</f>
        <v>0</v>
      </c>
      <c r="Z323" s="36">
        <f t="shared" si="106"/>
        <v>0</v>
      </c>
      <c r="AA323" s="36">
        <f t="shared" si="106"/>
        <v>0</v>
      </c>
      <c r="AB323" s="36">
        <f t="shared" si="106"/>
        <v>0</v>
      </c>
      <c r="AC323" s="36">
        <f t="shared" si="106"/>
        <v>0</v>
      </c>
      <c r="AD323" s="36">
        <f t="shared" si="106"/>
        <v>0</v>
      </c>
      <c r="AE323" s="36">
        <f t="shared" si="106"/>
        <v>0</v>
      </c>
      <c r="AF323" s="36">
        <f t="shared" si="106"/>
        <v>0</v>
      </c>
      <c r="AG323" s="36">
        <f t="shared" si="106"/>
        <v>0</v>
      </c>
      <c r="AH323" s="36">
        <f t="shared" si="106"/>
        <v>0</v>
      </c>
      <c r="AI323" s="36">
        <f t="shared" si="106"/>
        <v>0</v>
      </c>
      <c r="AJ323" s="36">
        <f t="shared" si="106"/>
        <v>0</v>
      </c>
      <c r="AK323" s="36">
        <f t="shared" si="106"/>
        <v>0</v>
      </c>
      <c r="AL323" s="36">
        <f t="shared" si="106"/>
        <v>0</v>
      </c>
      <c r="AM323" s="36">
        <f t="shared" si="106"/>
        <v>0</v>
      </c>
      <c r="AN323" s="36">
        <f t="shared" si="106"/>
        <v>0</v>
      </c>
      <c r="AO323" s="36">
        <f t="shared" si="106"/>
        <v>0</v>
      </c>
      <c r="AP323" s="36">
        <f t="shared" si="106"/>
        <v>0</v>
      </c>
      <c r="AQ323" s="36">
        <f t="shared" si="106"/>
        <v>0</v>
      </c>
      <c r="AR323" s="36">
        <f t="shared" si="106"/>
        <v>0</v>
      </c>
      <c r="AS323" s="36">
        <f t="shared" si="106"/>
        <v>0</v>
      </c>
      <c r="AT323" s="36">
        <f t="shared" si="106"/>
        <v>0</v>
      </c>
      <c r="AU323" s="36">
        <f t="shared" si="106"/>
        <v>0</v>
      </c>
      <c r="AV323" s="36">
        <f t="shared" si="106"/>
        <v>0</v>
      </c>
      <c r="AW323" s="36">
        <f t="shared" si="106"/>
        <v>0</v>
      </c>
      <c r="AX323" s="36">
        <f t="shared" si="106"/>
        <v>0</v>
      </c>
      <c r="AY323" s="36">
        <f t="shared" si="106"/>
        <v>0</v>
      </c>
      <c r="AZ323" s="36">
        <f t="shared" si="106"/>
        <v>0</v>
      </c>
      <c r="BA323" s="36">
        <f t="shared" si="106"/>
        <v>0</v>
      </c>
      <c r="BB323" s="36">
        <f t="shared" si="106"/>
        <v>0</v>
      </c>
      <c r="BC323" s="36">
        <f t="shared" si="106"/>
        <v>0</v>
      </c>
      <c r="BD323" s="36">
        <f t="shared" si="106"/>
        <v>0</v>
      </c>
      <c r="BE323" s="36">
        <f t="shared" si="106"/>
        <v>0</v>
      </c>
      <c r="BF323" s="10">
        <f t="shared" si="106"/>
        <v>0</v>
      </c>
    </row>
    <row r="324" spans="2:58" ht="22" customHeight="1">
      <c r="B324" s="104">
        <v>87</v>
      </c>
      <c r="C324" s="118" t="s">
        <v>39</v>
      </c>
      <c r="D324" s="105" t="s">
        <v>190</v>
      </c>
      <c r="E324" s="115"/>
      <c r="F324" s="119"/>
      <c r="G324" s="114">
        <f>SUM(Y324:AZ324)</f>
        <v>29</v>
      </c>
      <c r="H324" s="114">
        <f>SUM(Y325:AZ325)</f>
        <v>0</v>
      </c>
      <c r="I324" s="100"/>
      <c r="J324" s="116">
        <f>IFERROR(H324/G324,0)</f>
        <v>0</v>
      </c>
      <c r="K324" s="113">
        <v>0.19538461538461541</v>
      </c>
      <c r="L324" s="113">
        <v>0.19538461538461541</v>
      </c>
      <c r="M324" s="100"/>
      <c r="N324" s="100"/>
      <c r="O324" s="100"/>
      <c r="P324" s="100"/>
      <c r="Q324" s="100"/>
      <c r="R324" s="100"/>
      <c r="S324" s="115" t="s">
        <v>37</v>
      </c>
      <c r="T324" s="9"/>
      <c r="U324" s="9"/>
      <c r="V324" s="9"/>
      <c r="W324" s="9"/>
      <c r="X324" s="7" t="s">
        <v>31</v>
      </c>
      <c r="Y324" s="29">
        <v>1</v>
      </c>
      <c r="Z324" s="29">
        <v>2</v>
      </c>
      <c r="AA324" s="29">
        <v>1</v>
      </c>
      <c r="AB324" s="29">
        <v>1</v>
      </c>
      <c r="AC324" s="29">
        <v>1</v>
      </c>
      <c r="AD324" s="29">
        <v>1</v>
      </c>
      <c r="AE324" s="29">
        <v>1</v>
      </c>
      <c r="AF324" s="29">
        <v>1</v>
      </c>
      <c r="AG324" s="29">
        <v>1</v>
      </c>
      <c r="AH324" s="29">
        <v>1</v>
      </c>
      <c r="AI324" s="29">
        <v>1</v>
      </c>
      <c r="AJ324" s="29">
        <v>1</v>
      </c>
      <c r="AK324" s="29">
        <v>1</v>
      </c>
      <c r="AL324" s="29">
        <v>1</v>
      </c>
      <c r="AM324" s="29">
        <v>1</v>
      </c>
      <c r="AN324" s="29">
        <v>1</v>
      </c>
      <c r="AO324" s="29">
        <v>1</v>
      </c>
      <c r="AP324" s="29">
        <v>1</v>
      </c>
      <c r="AQ324" s="29">
        <v>1</v>
      </c>
      <c r="AR324" s="29">
        <v>1</v>
      </c>
      <c r="AS324" s="29">
        <v>1</v>
      </c>
      <c r="AT324" s="29">
        <v>1</v>
      </c>
      <c r="AU324" s="29">
        <v>1</v>
      </c>
      <c r="AV324" s="29">
        <v>1</v>
      </c>
      <c r="AW324" s="29">
        <v>1</v>
      </c>
      <c r="AX324" s="29">
        <v>1</v>
      </c>
      <c r="AY324" s="29">
        <v>1</v>
      </c>
      <c r="AZ324" s="29">
        <v>1</v>
      </c>
      <c r="BA324" s="29">
        <v>1</v>
      </c>
      <c r="BB324" s="29">
        <v>1</v>
      </c>
      <c r="BC324" s="29">
        <v>2</v>
      </c>
      <c r="BD324" s="29">
        <v>1</v>
      </c>
      <c r="BE324" s="29">
        <v>1</v>
      </c>
      <c r="BF324" s="10">
        <f>SUM(Y324:BE324)</f>
        <v>35</v>
      </c>
    </row>
    <row r="325" spans="2:58" ht="22" customHeight="1">
      <c r="B325" s="101"/>
      <c r="C325" s="101"/>
      <c r="D325" s="101"/>
      <c r="E325" s="101"/>
      <c r="F325" s="101"/>
      <c r="G325" s="101"/>
      <c r="H325" s="101"/>
      <c r="I325" s="101"/>
      <c r="J325" s="101"/>
      <c r="K325" s="101"/>
      <c r="L325" s="101"/>
      <c r="M325" s="101"/>
      <c r="N325" s="101"/>
      <c r="O325" s="101"/>
      <c r="P325" s="101"/>
      <c r="Q325" s="101"/>
      <c r="R325" s="101"/>
      <c r="S325" s="101"/>
      <c r="T325" s="9"/>
      <c r="U325" s="9"/>
      <c r="V325" s="9"/>
      <c r="W325" s="9"/>
      <c r="X325" s="7" t="s">
        <v>10</v>
      </c>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0">
        <f>SUM(Y325:BE325)</f>
        <v>0</v>
      </c>
    </row>
    <row r="326" spans="2:58" ht="22" customHeight="1">
      <c r="B326" s="101"/>
      <c r="C326" s="101"/>
      <c r="D326" s="101"/>
      <c r="E326" s="101"/>
      <c r="F326" s="101"/>
      <c r="G326" s="101"/>
      <c r="H326" s="101"/>
      <c r="I326" s="101"/>
      <c r="J326" s="101"/>
      <c r="K326" s="101"/>
      <c r="L326" s="101"/>
      <c r="M326" s="101"/>
      <c r="N326" s="101"/>
      <c r="O326" s="101"/>
      <c r="P326" s="101"/>
      <c r="Q326" s="101"/>
      <c r="R326" s="101"/>
      <c r="S326" s="101"/>
      <c r="T326" s="9"/>
      <c r="U326" s="9"/>
      <c r="V326" s="9"/>
      <c r="W326" s="9"/>
      <c r="X326" s="30" t="s">
        <v>38</v>
      </c>
      <c r="Y326" s="31">
        <v>9000</v>
      </c>
      <c r="Z326" s="31">
        <v>9000</v>
      </c>
      <c r="AA326" s="31">
        <v>9000</v>
      </c>
      <c r="AB326" s="31">
        <v>9000</v>
      </c>
      <c r="AC326" s="31">
        <v>9000</v>
      </c>
      <c r="AD326" s="31">
        <v>9000</v>
      </c>
      <c r="AE326" s="31">
        <v>9000</v>
      </c>
      <c r="AF326" s="31">
        <v>9000</v>
      </c>
      <c r="AG326" s="31">
        <v>9000</v>
      </c>
      <c r="AH326" s="31">
        <v>9000</v>
      </c>
      <c r="AI326" s="31">
        <v>9000</v>
      </c>
      <c r="AJ326" s="31">
        <v>9000</v>
      </c>
      <c r="AK326" s="31">
        <v>9000</v>
      </c>
      <c r="AL326" s="31">
        <v>9000</v>
      </c>
      <c r="AM326" s="31">
        <v>9000</v>
      </c>
      <c r="AN326" s="31">
        <v>9000</v>
      </c>
      <c r="AO326" s="31">
        <v>9000</v>
      </c>
      <c r="AP326" s="31">
        <v>9000</v>
      </c>
      <c r="AQ326" s="31">
        <v>9000</v>
      </c>
      <c r="AR326" s="31">
        <v>9000</v>
      </c>
      <c r="AS326" s="31">
        <v>9000</v>
      </c>
      <c r="AT326" s="31">
        <v>9000</v>
      </c>
      <c r="AU326" s="31">
        <v>9000</v>
      </c>
      <c r="AV326" s="31">
        <v>9000</v>
      </c>
      <c r="AW326" s="31">
        <v>9000</v>
      </c>
      <c r="AX326" s="31">
        <v>9000</v>
      </c>
      <c r="AY326" s="31">
        <v>9000</v>
      </c>
      <c r="AZ326" s="31">
        <v>9000</v>
      </c>
      <c r="BA326" s="31">
        <v>9000</v>
      </c>
      <c r="BB326" s="31">
        <v>9000</v>
      </c>
      <c r="BC326" s="31">
        <v>9000</v>
      </c>
      <c r="BD326" s="31">
        <v>9000</v>
      </c>
      <c r="BE326" s="31">
        <v>9000</v>
      </c>
      <c r="BF326" s="12">
        <f>SUM(Y326:BE326)</f>
        <v>297000</v>
      </c>
    </row>
    <row r="327" spans="2:58" ht="22" customHeight="1">
      <c r="B327" s="102"/>
      <c r="C327" s="102"/>
      <c r="D327" s="102"/>
      <c r="E327" s="102"/>
      <c r="F327" s="102"/>
      <c r="G327" s="102"/>
      <c r="H327" s="102"/>
      <c r="I327" s="102"/>
      <c r="J327" s="102"/>
      <c r="K327" s="102"/>
      <c r="L327" s="102"/>
      <c r="M327" s="102"/>
      <c r="N327" s="102"/>
      <c r="O327" s="102"/>
      <c r="P327" s="102"/>
      <c r="Q327" s="102"/>
      <c r="R327" s="102"/>
      <c r="S327" s="102"/>
      <c r="T327" s="9"/>
      <c r="U327" s="9"/>
      <c r="V327" s="9"/>
      <c r="W327" s="9"/>
      <c r="X327" s="7" t="s">
        <v>11</v>
      </c>
      <c r="Y327" s="3">
        <f t="shared" ref="Y327:BF327" si="107">Y325-Y324</f>
        <v>-1</v>
      </c>
      <c r="Z327" s="3">
        <f t="shared" si="107"/>
        <v>-2</v>
      </c>
      <c r="AA327" s="3">
        <f t="shared" si="107"/>
        <v>-1</v>
      </c>
      <c r="AB327" s="3">
        <f t="shared" si="107"/>
        <v>-1</v>
      </c>
      <c r="AC327" s="3">
        <f t="shared" si="107"/>
        <v>-1</v>
      </c>
      <c r="AD327" s="3">
        <f t="shared" si="107"/>
        <v>-1</v>
      </c>
      <c r="AE327" s="3">
        <f t="shared" si="107"/>
        <v>-1</v>
      </c>
      <c r="AF327" s="3">
        <f t="shared" si="107"/>
        <v>-1</v>
      </c>
      <c r="AG327" s="3">
        <f t="shared" si="107"/>
        <v>-1</v>
      </c>
      <c r="AH327" s="3">
        <f t="shared" si="107"/>
        <v>-1</v>
      </c>
      <c r="AI327" s="3">
        <f t="shared" si="107"/>
        <v>-1</v>
      </c>
      <c r="AJ327" s="3">
        <f t="shared" si="107"/>
        <v>-1</v>
      </c>
      <c r="AK327" s="3">
        <f t="shared" si="107"/>
        <v>-1</v>
      </c>
      <c r="AL327" s="3">
        <f t="shared" si="107"/>
        <v>-1</v>
      </c>
      <c r="AM327" s="3">
        <f t="shared" si="107"/>
        <v>-1</v>
      </c>
      <c r="AN327" s="3">
        <f t="shared" si="107"/>
        <v>-1</v>
      </c>
      <c r="AO327" s="3">
        <f t="shared" si="107"/>
        <v>-1</v>
      </c>
      <c r="AP327" s="3">
        <f t="shared" si="107"/>
        <v>-1</v>
      </c>
      <c r="AQ327" s="3">
        <f t="shared" si="107"/>
        <v>-1</v>
      </c>
      <c r="AR327" s="3">
        <f t="shared" si="107"/>
        <v>-1</v>
      </c>
      <c r="AS327" s="3">
        <f t="shared" si="107"/>
        <v>-1</v>
      </c>
      <c r="AT327" s="3">
        <f t="shared" si="107"/>
        <v>-1</v>
      </c>
      <c r="AU327" s="3">
        <f t="shared" si="107"/>
        <v>-1</v>
      </c>
      <c r="AV327" s="3">
        <f t="shared" si="107"/>
        <v>-1</v>
      </c>
      <c r="AW327" s="3">
        <f t="shared" si="107"/>
        <v>-1</v>
      </c>
      <c r="AX327" s="3">
        <f t="shared" si="107"/>
        <v>-1</v>
      </c>
      <c r="AY327" s="3">
        <f t="shared" si="107"/>
        <v>-1</v>
      </c>
      <c r="AZ327" s="3">
        <f t="shared" si="107"/>
        <v>-1</v>
      </c>
      <c r="BA327" s="3">
        <f t="shared" si="107"/>
        <v>-1</v>
      </c>
      <c r="BB327" s="3">
        <f t="shared" si="107"/>
        <v>-1</v>
      </c>
      <c r="BC327" s="3">
        <f t="shared" si="107"/>
        <v>-2</v>
      </c>
      <c r="BD327" s="3">
        <f t="shared" si="107"/>
        <v>-1</v>
      </c>
      <c r="BE327" s="3">
        <f t="shared" si="107"/>
        <v>-1</v>
      </c>
      <c r="BF327" s="10">
        <f t="shared" si="107"/>
        <v>-35</v>
      </c>
    </row>
    <row r="328" spans="2:58" ht="22" customHeight="1">
      <c r="B328" s="107">
        <v>88</v>
      </c>
      <c r="C328" s="117" t="s">
        <v>35</v>
      </c>
      <c r="D328" s="108" t="s">
        <v>191</v>
      </c>
      <c r="E328" s="103"/>
      <c r="F328" s="109"/>
      <c r="G328" s="106">
        <f>SUM(Y328:AZ328)</f>
        <v>29</v>
      </c>
      <c r="H328" s="106">
        <f>SUM(Y329:AZ329)</f>
        <v>0</v>
      </c>
      <c r="I328" s="111"/>
      <c r="J328" s="112">
        <f>IFERROR(H328/G328,0)</f>
        <v>0</v>
      </c>
      <c r="K328" s="110">
        <v>0.1125541125541126</v>
      </c>
      <c r="L328" s="110">
        <v>0.1125541125541126</v>
      </c>
      <c r="M328" s="111"/>
      <c r="N328" s="111"/>
      <c r="O328" s="111"/>
      <c r="P328" s="111"/>
      <c r="Q328" s="111"/>
      <c r="R328" s="111"/>
      <c r="S328" s="103" t="s">
        <v>37</v>
      </c>
      <c r="T328" s="39"/>
      <c r="U328" s="39"/>
      <c r="V328" s="39"/>
      <c r="W328" s="39"/>
      <c r="X328" s="33" t="s">
        <v>31</v>
      </c>
      <c r="Y328" s="40">
        <v>1</v>
      </c>
      <c r="Z328" s="40">
        <v>2</v>
      </c>
      <c r="AA328" s="40">
        <v>1</v>
      </c>
      <c r="AB328" s="40">
        <v>1</v>
      </c>
      <c r="AC328" s="40">
        <v>1</v>
      </c>
      <c r="AD328" s="40">
        <v>1</v>
      </c>
      <c r="AE328" s="40">
        <v>1</v>
      </c>
      <c r="AF328" s="40">
        <v>1</v>
      </c>
      <c r="AG328" s="40">
        <v>1</v>
      </c>
      <c r="AH328" s="40">
        <v>1</v>
      </c>
      <c r="AI328" s="40">
        <v>1</v>
      </c>
      <c r="AJ328" s="40">
        <v>1</v>
      </c>
      <c r="AK328" s="40">
        <v>1</v>
      </c>
      <c r="AL328" s="40">
        <v>1</v>
      </c>
      <c r="AM328" s="40">
        <v>1</v>
      </c>
      <c r="AN328" s="40">
        <v>1</v>
      </c>
      <c r="AO328" s="40">
        <v>1</v>
      </c>
      <c r="AP328" s="40">
        <v>1</v>
      </c>
      <c r="AQ328" s="40">
        <v>1</v>
      </c>
      <c r="AR328" s="40">
        <v>1</v>
      </c>
      <c r="AS328" s="40">
        <v>1</v>
      </c>
      <c r="AT328" s="40">
        <v>1</v>
      </c>
      <c r="AU328" s="40">
        <v>1</v>
      </c>
      <c r="AV328" s="40">
        <v>1</v>
      </c>
      <c r="AW328" s="40">
        <v>1</v>
      </c>
      <c r="AX328" s="40">
        <v>1</v>
      </c>
      <c r="AY328" s="40">
        <v>1</v>
      </c>
      <c r="AZ328" s="40">
        <v>1</v>
      </c>
      <c r="BA328" s="40">
        <v>1</v>
      </c>
      <c r="BB328" s="40">
        <v>1</v>
      </c>
      <c r="BC328" s="40">
        <v>2</v>
      </c>
      <c r="BD328" s="40">
        <v>1</v>
      </c>
      <c r="BE328" s="40">
        <v>1</v>
      </c>
      <c r="BF328" s="10">
        <f>SUM(Y328:BE328)</f>
        <v>35</v>
      </c>
    </row>
    <row r="329" spans="2:58" ht="22" customHeight="1">
      <c r="B329" s="101"/>
      <c r="C329" s="101"/>
      <c r="D329" s="101"/>
      <c r="E329" s="101"/>
      <c r="F329" s="101"/>
      <c r="G329" s="101"/>
      <c r="H329" s="101"/>
      <c r="I329" s="101"/>
      <c r="J329" s="101"/>
      <c r="K329" s="101"/>
      <c r="L329" s="101"/>
      <c r="M329" s="101"/>
      <c r="N329" s="101"/>
      <c r="O329" s="101"/>
      <c r="P329" s="101"/>
      <c r="Q329" s="101"/>
      <c r="R329" s="101"/>
      <c r="S329" s="101"/>
      <c r="T329" s="39"/>
      <c r="U329" s="39"/>
      <c r="V329" s="39"/>
      <c r="W329" s="39"/>
      <c r="X329" s="33" t="s">
        <v>10</v>
      </c>
      <c r="Y329" s="41"/>
      <c r="Z329" s="41"/>
      <c r="AA329" s="41"/>
      <c r="AB329" s="41"/>
      <c r="AC329" s="41"/>
      <c r="AD329" s="41"/>
      <c r="AE329" s="41"/>
      <c r="AF329" s="41"/>
      <c r="AG329" s="41"/>
      <c r="AH329" s="41"/>
      <c r="AI329" s="41"/>
      <c r="AJ329" s="41"/>
      <c r="AK329" s="41"/>
      <c r="AL329" s="41"/>
      <c r="AM329" s="41"/>
      <c r="AN329" s="41"/>
      <c r="AO329" s="41"/>
      <c r="AP329" s="41"/>
      <c r="AQ329" s="41"/>
      <c r="AR329" s="41"/>
      <c r="AS329" s="41"/>
      <c r="AT329" s="41"/>
      <c r="AU329" s="41"/>
      <c r="AV329" s="41"/>
      <c r="AW329" s="41"/>
      <c r="AX329" s="41"/>
      <c r="AY329" s="41"/>
      <c r="AZ329" s="41"/>
      <c r="BA329" s="41"/>
      <c r="BB329" s="41"/>
      <c r="BC329" s="41"/>
      <c r="BD329" s="41"/>
      <c r="BE329" s="41"/>
      <c r="BF329" s="10">
        <f>SUM(Y329:BE329)</f>
        <v>0</v>
      </c>
    </row>
    <row r="330" spans="2:58" ht="22" customHeight="1">
      <c r="B330" s="101"/>
      <c r="C330" s="101"/>
      <c r="D330" s="101"/>
      <c r="E330" s="101"/>
      <c r="F330" s="101"/>
      <c r="G330" s="101"/>
      <c r="H330" s="101"/>
      <c r="I330" s="101"/>
      <c r="J330" s="101"/>
      <c r="K330" s="101"/>
      <c r="L330" s="101"/>
      <c r="M330" s="101"/>
      <c r="N330" s="101"/>
      <c r="O330" s="101"/>
      <c r="P330" s="101"/>
      <c r="Q330" s="101"/>
      <c r="R330" s="101"/>
      <c r="S330" s="101"/>
      <c r="T330" s="39"/>
      <c r="U330" s="39"/>
      <c r="V330" s="39"/>
      <c r="W330" s="39"/>
      <c r="X330" s="42" t="s">
        <v>38</v>
      </c>
      <c r="Y330" s="43">
        <v>9000</v>
      </c>
      <c r="Z330" s="43">
        <v>9000</v>
      </c>
      <c r="AA330" s="43">
        <v>9000</v>
      </c>
      <c r="AB330" s="43">
        <v>9000</v>
      </c>
      <c r="AC330" s="43">
        <v>9000</v>
      </c>
      <c r="AD330" s="43">
        <v>9000</v>
      </c>
      <c r="AE330" s="43">
        <v>9000</v>
      </c>
      <c r="AF330" s="43">
        <v>9000</v>
      </c>
      <c r="AG330" s="43">
        <v>9000</v>
      </c>
      <c r="AH330" s="43">
        <v>9000</v>
      </c>
      <c r="AI330" s="43">
        <v>9000</v>
      </c>
      <c r="AJ330" s="43">
        <v>9000</v>
      </c>
      <c r="AK330" s="43">
        <v>9000</v>
      </c>
      <c r="AL330" s="43">
        <v>9000</v>
      </c>
      <c r="AM330" s="43">
        <v>9000</v>
      </c>
      <c r="AN330" s="43">
        <v>9000</v>
      </c>
      <c r="AO330" s="43">
        <v>9000</v>
      </c>
      <c r="AP330" s="43">
        <v>9000</v>
      </c>
      <c r="AQ330" s="43">
        <v>9000</v>
      </c>
      <c r="AR330" s="43">
        <v>9000</v>
      </c>
      <c r="AS330" s="43">
        <v>9000</v>
      </c>
      <c r="AT330" s="43">
        <v>9000</v>
      </c>
      <c r="AU330" s="43">
        <v>9000</v>
      </c>
      <c r="AV330" s="43">
        <v>9000</v>
      </c>
      <c r="AW330" s="43">
        <v>9000</v>
      </c>
      <c r="AX330" s="43">
        <v>9000</v>
      </c>
      <c r="AY330" s="43">
        <v>9000</v>
      </c>
      <c r="AZ330" s="43">
        <v>9000</v>
      </c>
      <c r="BA330" s="43">
        <v>9000</v>
      </c>
      <c r="BB330" s="43">
        <v>9000</v>
      </c>
      <c r="BC330" s="43">
        <v>9000</v>
      </c>
      <c r="BD330" s="43">
        <v>9000</v>
      </c>
      <c r="BE330" s="43">
        <v>9000</v>
      </c>
      <c r="BF330" s="12">
        <f>SUM(Y330:BE330)</f>
        <v>297000</v>
      </c>
    </row>
    <row r="331" spans="2:58" ht="22" customHeight="1">
      <c r="B331" s="102"/>
      <c r="C331" s="102"/>
      <c r="D331" s="102"/>
      <c r="E331" s="102"/>
      <c r="F331" s="102"/>
      <c r="G331" s="102"/>
      <c r="H331" s="102"/>
      <c r="I331" s="102"/>
      <c r="J331" s="102"/>
      <c r="K331" s="102"/>
      <c r="L331" s="102"/>
      <c r="M331" s="102"/>
      <c r="N331" s="102"/>
      <c r="O331" s="102"/>
      <c r="P331" s="102"/>
      <c r="Q331" s="102"/>
      <c r="R331" s="102"/>
      <c r="S331" s="102"/>
      <c r="T331" s="39"/>
      <c r="U331" s="39"/>
      <c r="V331" s="39"/>
      <c r="W331" s="39"/>
      <c r="X331" s="33" t="s">
        <v>11</v>
      </c>
      <c r="Y331" s="36">
        <f t="shared" ref="Y331:BF331" si="108">Y329-Y328</f>
        <v>-1</v>
      </c>
      <c r="Z331" s="36">
        <f t="shared" si="108"/>
        <v>-2</v>
      </c>
      <c r="AA331" s="36">
        <f t="shared" si="108"/>
        <v>-1</v>
      </c>
      <c r="AB331" s="36">
        <f t="shared" si="108"/>
        <v>-1</v>
      </c>
      <c r="AC331" s="36">
        <f t="shared" si="108"/>
        <v>-1</v>
      </c>
      <c r="AD331" s="36">
        <f t="shared" si="108"/>
        <v>-1</v>
      </c>
      <c r="AE331" s="36">
        <f t="shared" si="108"/>
        <v>-1</v>
      </c>
      <c r="AF331" s="36">
        <f t="shared" si="108"/>
        <v>-1</v>
      </c>
      <c r="AG331" s="36">
        <f t="shared" si="108"/>
        <v>-1</v>
      </c>
      <c r="AH331" s="36">
        <f t="shared" si="108"/>
        <v>-1</v>
      </c>
      <c r="AI331" s="36">
        <f t="shared" si="108"/>
        <v>-1</v>
      </c>
      <c r="AJ331" s="36">
        <f t="shared" si="108"/>
        <v>-1</v>
      </c>
      <c r="AK331" s="36">
        <f t="shared" si="108"/>
        <v>-1</v>
      </c>
      <c r="AL331" s="36">
        <f t="shared" si="108"/>
        <v>-1</v>
      </c>
      <c r="AM331" s="36">
        <f t="shared" si="108"/>
        <v>-1</v>
      </c>
      <c r="AN331" s="36">
        <f t="shared" si="108"/>
        <v>-1</v>
      </c>
      <c r="AO331" s="36">
        <f t="shared" si="108"/>
        <v>-1</v>
      </c>
      <c r="AP331" s="36">
        <f t="shared" si="108"/>
        <v>-1</v>
      </c>
      <c r="AQ331" s="36">
        <f t="shared" si="108"/>
        <v>-1</v>
      </c>
      <c r="AR331" s="36">
        <f t="shared" si="108"/>
        <v>-1</v>
      </c>
      <c r="AS331" s="36">
        <f t="shared" si="108"/>
        <v>-1</v>
      </c>
      <c r="AT331" s="36">
        <f t="shared" si="108"/>
        <v>-1</v>
      </c>
      <c r="AU331" s="36">
        <f t="shared" si="108"/>
        <v>-1</v>
      </c>
      <c r="AV331" s="36">
        <f t="shared" si="108"/>
        <v>-1</v>
      </c>
      <c r="AW331" s="36">
        <f t="shared" si="108"/>
        <v>-1</v>
      </c>
      <c r="AX331" s="36">
        <f t="shared" si="108"/>
        <v>-1</v>
      </c>
      <c r="AY331" s="36">
        <f t="shared" si="108"/>
        <v>-1</v>
      </c>
      <c r="AZ331" s="36">
        <f t="shared" si="108"/>
        <v>-1</v>
      </c>
      <c r="BA331" s="36">
        <f t="shared" si="108"/>
        <v>-1</v>
      </c>
      <c r="BB331" s="36">
        <f t="shared" si="108"/>
        <v>-1</v>
      </c>
      <c r="BC331" s="36">
        <f t="shared" si="108"/>
        <v>-2</v>
      </c>
      <c r="BD331" s="36">
        <f t="shared" si="108"/>
        <v>-1</v>
      </c>
      <c r="BE331" s="36">
        <f t="shared" si="108"/>
        <v>-1</v>
      </c>
      <c r="BF331" s="10">
        <f t="shared" si="108"/>
        <v>-35</v>
      </c>
    </row>
    <row r="332" spans="2:58" ht="22" customHeight="1">
      <c r="B332" s="104">
        <v>89</v>
      </c>
      <c r="C332" s="118" t="s">
        <v>82</v>
      </c>
      <c r="D332" s="105" t="s">
        <v>192</v>
      </c>
      <c r="E332" s="115"/>
      <c r="F332" s="119"/>
      <c r="G332" s="114">
        <f>SUM(Y332:AZ332)</f>
        <v>0</v>
      </c>
      <c r="H332" s="114">
        <f>SUM(Y333:AZ333)</f>
        <v>0</v>
      </c>
      <c r="I332" s="100"/>
      <c r="J332" s="116">
        <f>IFERROR(H332/G332,0)</f>
        <v>0</v>
      </c>
      <c r="K332" s="113">
        <v>0.1</v>
      </c>
      <c r="L332" s="113">
        <v>0.1</v>
      </c>
      <c r="M332" s="100"/>
      <c r="N332" s="100"/>
      <c r="O332" s="100"/>
      <c r="P332" s="100"/>
      <c r="Q332" s="100"/>
      <c r="R332" s="100"/>
      <c r="S332" s="115" t="s">
        <v>37</v>
      </c>
      <c r="T332" s="9"/>
      <c r="U332" s="9"/>
      <c r="V332" s="9"/>
      <c r="W332" s="9"/>
      <c r="X332" s="7" t="s">
        <v>31</v>
      </c>
      <c r="Y332" s="29">
        <v>0</v>
      </c>
      <c r="Z332" s="29">
        <v>0</v>
      </c>
      <c r="AA332" s="29">
        <v>0</v>
      </c>
      <c r="AB332" s="29">
        <v>0</v>
      </c>
      <c r="AC332" s="29">
        <v>0</v>
      </c>
      <c r="AD332" s="29">
        <v>0</v>
      </c>
      <c r="AE332" s="29">
        <v>0</v>
      </c>
      <c r="AF332" s="29">
        <v>0</v>
      </c>
      <c r="AG332" s="29">
        <v>0</v>
      </c>
      <c r="AH332" s="29">
        <v>0</v>
      </c>
      <c r="AI332" s="29">
        <v>0</v>
      </c>
      <c r="AJ332" s="29">
        <v>0</v>
      </c>
      <c r="AK332" s="29">
        <v>0</v>
      </c>
      <c r="AL332" s="29">
        <v>0</v>
      </c>
      <c r="AM332" s="29">
        <v>0</v>
      </c>
      <c r="AN332" s="29">
        <v>0</v>
      </c>
      <c r="AO332" s="29">
        <v>0</v>
      </c>
      <c r="AP332" s="29">
        <v>0</v>
      </c>
      <c r="AQ332" s="29">
        <v>0</v>
      </c>
      <c r="AR332" s="29">
        <v>0</v>
      </c>
      <c r="AS332" s="29">
        <v>0</v>
      </c>
      <c r="AT332" s="29">
        <v>0</v>
      </c>
      <c r="AU332" s="29">
        <v>0</v>
      </c>
      <c r="AV332" s="29">
        <v>0</v>
      </c>
      <c r="AW332" s="29">
        <v>0</v>
      </c>
      <c r="AX332" s="29">
        <v>0</v>
      </c>
      <c r="AY332" s="29">
        <v>0</v>
      </c>
      <c r="AZ332" s="29">
        <v>0</v>
      </c>
      <c r="BA332" s="29">
        <v>0</v>
      </c>
      <c r="BB332" s="29">
        <v>0</v>
      </c>
      <c r="BC332" s="29">
        <v>0</v>
      </c>
      <c r="BD332" s="29">
        <v>0</v>
      </c>
      <c r="BE332" s="29">
        <v>0</v>
      </c>
      <c r="BF332" s="10">
        <f>SUM(Y332:BE332)</f>
        <v>0</v>
      </c>
    </row>
    <row r="333" spans="2:58" ht="22" customHeight="1">
      <c r="B333" s="101"/>
      <c r="C333" s="101"/>
      <c r="D333" s="101"/>
      <c r="E333" s="101"/>
      <c r="F333" s="101"/>
      <c r="G333" s="101"/>
      <c r="H333" s="101"/>
      <c r="I333" s="101"/>
      <c r="J333" s="101"/>
      <c r="K333" s="101"/>
      <c r="L333" s="101"/>
      <c r="M333" s="101"/>
      <c r="N333" s="101"/>
      <c r="O333" s="101"/>
      <c r="P333" s="101"/>
      <c r="Q333" s="101"/>
      <c r="R333" s="101"/>
      <c r="S333" s="101"/>
      <c r="T333" s="9"/>
      <c r="U333" s="9"/>
      <c r="V333" s="9"/>
      <c r="W333" s="9"/>
      <c r="X333" s="7" t="s">
        <v>10</v>
      </c>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0">
        <f>SUM(Y333:BE333)</f>
        <v>0</v>
      </c>
    </row>
    <row r="334" spans="2:58" ht="22" customHeight="1">
      <c r="B334" s="101"/>
      <c r="C334" s="101"/>
      <c r="D334" s="101"/>
      <c r="E334" s="101"/>
      <c r="F334" s="101"/>
      <c r="G334" s="101"/>
      <c r="H334" s="101"/>
      <c r="I334" s="101"/>
      <c r="J334" s="101"/>
      <c r="K334" s="101"/>
      <c r="L334" s="101"/>
      <c r="M334" s="101"/>
      <c r="N334" s="101"/>
      <c r="O334" s="101"/>
      <c r="P334" s="101"/>
      <c r="Q334" s="101"/>
      <c r="R334" s="101"/>
      <c r="S334" s="101"/>
      <c r="T334" s="9"/>
      <c r="U334" s="9"/>
      <c r="V334" s="9"/>
      <c r="W334" s="9"/>
      <c r="X334" s="30" t="s">
        <v>38</v>
      </c>
      <c r="Y334" s="31">
        <v>9000</v>
      </c>
      <c r="Z334" s="31">
        <v>9000</v>
      </c>
      <c r="AA334" s="31">
        <v>9000</v>
      </c>
      <c r="AB334" s="31">
        <v>9000</v>
      </c>
      <c r="AC334" s="31">
        <v>9000</v>
      </c>
      <c r="AD334" s="31">
        <v>9000</v>
      </c>
      <c r="AE334" s="31">
        <v>9000</v>
      </c>
      <c r="AF334" s="31">
        <v>9000</v>
      </c>
      <c r="AG334" s="31">
        <v>9000</v>
      </c>
      <c r="AH334" s="31">
        <v>9000</v>
      </c>
      <c r="AI334" s="31">
        <v>9000</v>
      </c>
      <c r="AJ334" s="31">
        <v>9000</v>
      </c>
      <c r="AK334" s="31">
        <v>9000</v>
      </c>
      <c r="AL334" s="31">
        <v>9000</v>
      </c>
      <c r="AM334" s="31">
        <v>9000</v>
      </c>
      <c r="AN334" s="31">
        <v>9000</v>
      </c>
      <c r="AO334" s="31">
        <v>9000</v>
      </c>
      <c r="AP334" s="31">
        <v>9000</v>
      </c>
      <c r="AQ334" s="31">
        <v>9000</v>
      </c>
      <c r="AR334" s="31">
        <v>9000</v>
      </c>
      <c r="AS334" s="31">
        <v>9000</v>
      </c>
      <c r="AT334" s="31">
        <v>9000</v>
      </c>
      <c r="AU334" s="31">
        <v>9000</v>
      </c>
      <c r="AV334" s="31">
        <v>9000</v>
      </c>
      <c r="AW334" s="31">
        <v>9000</v>
      </c>
      <c r="AX334" s="31">
        <v>9000</v>
      </c>
      <c r="AY334" s="31">
        <v>9000</v>
      </c>
      <c r="AZ334" s="31">
        <v>9000</v>
      </c>
      <c r="BA334" s="31">
        <v>9000</v>
      </c>
      <c r="BB334" s="31">
        <v>9000</v>
      </c>
      <c r="BC334" s="31">
        <v>9000</v>
      </c>
      <c r="BD334" s="31">
        <v>9000</v>
      </c>
      <c r="BE334" s="31">
        <v>9000</v>
      </c>
      <c r="BF334" s="12">
        <f>SUM(Y334:BE334)</f>
        <v>297000</v>
      </c>
    </row>
    <row r="335" spans="2:58" ht="22" customHeight="1">
      <c r="B335" s="102"/>
      <c r="C335" s="102"/>
      <c r="D335" s="102"/>
      <c r="E335" s="102"/>
      <c r="F335" s="102"/>
      <c r="G335" s="102"/>
      <c r="H335" s="102"/>
      <c r="I335" s="102"/>
      <c r="J335" s="102"/>
      <c r="K335" s="102"/>
      <c r="L335" s="102"/>
      <c r="M335" s="102"/>
      <c r="N335" s="102"/>
      <c r="O335" s="102"/>
      <c r="P335" s="102"/>
      <c r="Q335" s="102"/>
      <c r="R335" s="102"/>
      <c r="S335" s="102"/>
      <c r="T335" s="9"/>
      <c r="U335" s="9"/>
      <c r="V335" s="9"/>
      <c r="W335" s="9"/>
      <c r="X335" s="7" t="s">
        <v>11</v>
      </c>
      <c r="Y335" s="3">
        <f t="shared" ref="Y335:BF335" si="109">Y333-Y332</f>
        <v>0</v>
      </c>
      <c r="Z335" s="3">
        <f t="shared" si="109"/>
        <v>0</v>
      </c>
      <c r="AA335" s="3">
        <f t="shared" si="109"/>
        <v>0</v>
      </c>
      <c r="AB335" s="3">
        <f t="shared" si="109"/>
        <v>0</v>
      </c>
      <c r="AC335" s="3">
        <f t="shared" si="109"/>
        <v>0</v>
      </c>
      <c r="AD335" s="3">
        <f t="shared" si="109"/>
        <v>0</v>
      </c>
      <c r="AE335" s="3">
        <f t="shared" si="109"/>
        <v>0</v>
      </c>
      <c r="AF335" s="3">
        <f t="shared" si="109"/>
        <v>0</v>
      </c>
      <c r="AG335" s="3">
        <f t="shared" si="109"/>
        <v>0</v>
      </c>
      <c r="AH335" s="3">
        <f t="shared" si="109"/>
        <v>0</v>
      </c>
      <c r="AI335" s="3">
        <f t="shared" si="109"/>
        <v>0</v>
      </c>
      <c r="AJ335" s="3">
        <f t="shared" si="109"/>
        <v>0</v>
      </c>
      <c r="AK335" s="3">
        <f t="shared" si="109"/>
        <v>0</v>
      </c>
      <c r="AL335" s="3">
        <f t="shared" si="109"/>
        <v>0</v>
      </c>
      <c r="AM335" s="3">
        <f t="shared" si="109"/>
        <v>0</v>
      </c>
      <c r="AN335" s="3">
        <f t="shared" si="109"/>
        <v>0</v>
      </c>
      <c r="AO335" s="3">
        <f t="shared" si="109"/>
        <v>0</v>
      </c>
      <c r="AP335" s="3">
        <f t="shared" si="109"/>
        <v>0</v>
      </c>
      <c r="AQ335" s="3">
        <f t="shared" si="109"/>
        <v>0</v>
      </c>
      <c r="AR335" s="3">
        <f t="shared" si="109"/>
        <v>0</v>
      </c>
      <c r="AS335" s="3">
        <f t="shared" si="109"/>
        <v>0</v>
      </c>
      <c r="AT335" s="3">
        <f t="shared" si="109"/>
        <v>0</v>
      </c>
      <c r="AU335" s="3">
        <f t="shared" si="109"/>
        <v>0</v>
      </c>
      <c r="AV335" s="3">
        <f t="shared" si="109"/>
        <v>0</v>
      </c>
      <c r="AW335" s="3">
        <f t="shared" si="109"/>
        <v>0</v>
      </c>
      <c r="AX335" s="3">
        <f t="shared" si="109"/>
        <v>0</v>
      </c>
      <c r="AY335" s="3">
        <f t="shared" si="109"/>
        <v>0</v>
      </c>
      <c r="AZ335" s="3">
        <f t="shared" si="109"/>
        <v>0</v>
      </c>
      <c r="BA335" s="3">
        <f t="shared" si="109"/>
        <v>0</v>
      </c>
      <c r="BB335" s="3">
        <f t="shared" si="109"/>
        <v>0</v>
      </c>
      <c r="BC335" s="3">
        <f t="shared" si="109"/>
        <v>0</v>
      </c>
      <c r="BD335" s="3">
        <f t="shared" si="109"/>
        <v>0</v>
      </c>
      <c r="BE335" s="3">
        <f t="shared" si="109"/>
        <v>0</v>
      </c>
      <c r="BF335" s="10">
        <f t="shared" si="109"/>
        <v>0</v>
      </c>
    </row>
    <row r="336" spans="2:58" ht="22" customHeight="1">
      <c r="B336" s="107">
        <v>90</v>
      </c>
      <c r="C336" s="117" t="s">
        <v>148</v>
      </c>
      <c r="D336" s="108" t="s">
        <v>193</v>
      </c>
      <c r="E336" s="103"/>
      <c r="F336" s="109"/>
      <c r="G336" s="106">
        <f>SUM(Y336:AZ336)</f>
        <v>0</v>
      </c>
      <c r="H336" s="106">
        <f>SUM(Y337:AZ337)</f>
        <v>0</v>
      </c>
      <c r="I336" s="111"/>
      <c r="J336" s="112">
        <f>IFERROR(H336/G336,0)</f>
        <v>0</v>
      </c>
      <c r="K336" s="110">
        <v>0.1</v>
      </c>
      <c r="L336" s="110">
        <v>0.1</v>
      </c>
      <c r="M336" s="111"/>
      <c r="N336" s="111"/>
      <c r="O336" s="111"/>
      <c r="P336" s="111"/>
      <c r="Q336" s="111"/>
      <c r="R336" s="111"/>
      <c r="S336" s="103" t="s">
        <v>37</v>
      </c>
      <c r="T336" s="39"/>
      <c r="U336" s="39"/>
      <c r="V336" s="39"/>
      <c r="W336" s="39"/>
      <c r="X336" s="33" t="s">
        <v>31</v>
      </c>
      <c r="Y336" s="40">
        <v>0</v>
      </c>
      <c r="Z336" s="40">
        <v>0</v>
      </c>
      <c r="AA336" s="40">
        <v>0</v>
      </c>
      <c r="AB336" s="40">
        <v>0</v>
      </c>
      <c r="AC336" s="40">
        <v>0</v>
      </c>
      <c r="AD336" s="40">
        <v>0</v>
      </c>
      <c r="AE336" s="40">
        <v>0</v>
      </c>
      <c r="AF336" s="40">
        <v>0</v>
      </c>
      <c r="AG336" s="40">
        <v>0</v>
      </c>
      <c r="AH336" s="40">
        <v>0</v>
      </c>
      <c r="AI336" s="40">
        <v>0</v>
      </c>
      <c r="AJ336" s="40">
        <v>0</v>
      </c>
      <c r="AK336" s="40">
        <v>0</v>
      </c>
      <c r="AL336" s="40">
        <v>0</v>
      </c>
      <c r="AM336" s="40">
        <v>0</v>
      </c>
      <c r="AN336" s="40">
        <v>0</v>
      </c>
      <c r="AO336" s="40">
        <v>0</v>
      </c>
      <c r="AP336" s="40">
        <v>0</v>
      </c>
      <c r="AQ336" s="40">
        <v>0</v>
      </c>
      <c r="AR336" s="40">
        <v>0</v>
      </c>
      <c r="AS336" s="40">
        <v>0</v>
      </c>
      <c r="AT336" s="40">
        <v>0</v>
      </c>
      <c r="AU336" s="40">
        <v>0</v>
      </c>
      <c r="AV336" s="40">
        <v>0</v>
      </c>
      <c r="AW336" s="40">
        <v>0</v>
      </c>
      <c r="AX336" s="40">
        <v>0</v>
      </c>
      <c r="AY336" s="40">
        <v>0</v>
      </c>
      <c r="AZ336" s="40">
        <v>0</v>
      </c>
      <c r="BA336" s="40">
        <v>0</v>
      </c>
      <c r="BB336" s="40">
        <v>0</v>
      </c>
      <c r="BC336" s="40">
        <v>0</v>
      </c>
      <c r="BD336" s="40">
        <v>0</v>
      </c>
      <c r="BE336" s="40">
        <v>0</v>
      </c>
      <c r="BF336" s="10">
        <f>SUM(Y336:BE336)</f>
        <v>0</v>
      </c>
    </row>
    <row r="337" spans="2:58" ht="22" customHeight="1">
      <c r="B337" s="101"/>
      <c r="C337" s="101"/>
      <c r="D337" s="101"/>
      <c r="E337" s="101"/>
      <c r="F337" s="101"/>
      <c r="G337" s="101"/>
      <c r="H337" s="101"/>
      <c r="I337" s="101"/>
      <c r="J337" s="101"/>
      <c r="K337" s="101"/>
      <c r="L337" s="101"/>
      <c r="M337" s="101"/>
      <c r="N337" s="101"/>
      <c r="O337" s="101"/>
      <c r="P337" s="101"/>
      <c r="Q337" s="101"/>
      <c r="R337" s="101"/>
      <c r="S337" s="101"/>
      <c r="T337" s="39"/>
      <c r="U337" s="39"/>
      <c r="V337" s="39"/>
      <c r="W337" s="39"/>
      <c r="X337" s="33" t="s">
        <v>10</v>
      </c>
      <c r="Y337" s="41"/>
      <c r="Z337" s="41"/>
      <c r="AA337" s="41"/>
      <c r="AB337" s="41"/>
      <c r="AC337" s="41"/>
      <c r="AD337" s="41"/>
      <c r="AE337" s="41"/>
      <c r="AF337" s="41"/>
      <c r="AG337" s="41"/>
      <c r="AH337" s="41"/>
      <c r="AI337" s="41"/>
      <c r="AJ337" s="41"/>
      <c r="AK337" s="41"/>
      <c r="AL337" s="41"/>
      <c r="AM337" s="41"/>
      <c r="AN337" s="41"/>
      <c r="AO337" s="41"/>
      <c r="AP337" s="41"/>
      <c r="AQ337" s="41"/>
      <c r="AR337" s="41"/>
      <c r="AS337" s="41"/>
      <c r="AT337" s="41"/>
      <c r="AU337" s="41"/>
      <c r="AV337" s="41"/>
      <c r="AW337" s="41"/>
      <c r="AX337" s="41"/>
      <c r="AY337" s="41"/>
      <c r="AZ337" s="41"/>
      <c r="BA337" s="41"/>
      <c r="BB337" s="41"/>
      <c r="BC337" s="41"/>
      <c r="BD337" s="41"/>
      <c r="BE337" s="41"/>
      <c r="BF337" s="10">
        <f>SUM(Y337:BE337)</f>
        <v>0</v>
      </c>
    </row>
    <row r="338" spans="2:58" ht="22" customHeight="1">
      <c r="B338" s="101"/>
      <c r="C338" s="101"/>
      <c r="D338" s="101"/>
      <c r="E338" s="101"/>
      <c r="F338" s="101"/>
      <c r="G338" s="101"/>
      <c r="H338" s="101"/>
      <c r="I338" s="101"/>
      <c r="J338" s="101"/>
      <c r="K338" s="101"/>
      <c r="L338" s="101"/>
      <c r="M338" s="101"/>
      <c r="N338" s="101"/>
      <c r="O338" s="101"/>
      <c r="P338" s="101"/>
      <c r="Q338" s="101"/>
      <c r="R338" s="101"/>
      <c r="S338" s="101"/>
      <c r="T338" s="39"/>
      <c r="U338" s="39"/>
      <c r="V338" s="39"/>
      <c r="W338" s="39"/>
      <c r="X338" s="42" t="s">
        <v>38</v>
      </c>
      <c r="Y338" s="43">
        <v>9000</v>
      </c>
      <c r="Z338" s="43">
        <v>9000</v>
      </c>
      <c r="AA338" s="43">
        <v>9000</v>
      </c>
      <c r="AB338" s="43">
        <v>9000</v>
      </c>
      <c r="AC338" s="43">
        <v>9000</v>
      </c>
      <c r="AD338" s="43">
        <v>9000</v>
      </c>
      <c r="AE338" s="43">
        <v>9000</v>
      </c>
      <c r="AF338" s="43">
        <v>9000</v>
      </c>
      <c r="AG338" s="43">
        <v>9000</v>
      </c>
      <c r="AH338" s="43">
        <v>9000</v>
      </c>
      <c r="AI338" s="43">
        <v>9000</v>
      </c>
      <c r="AJ338" s="43">
        <v>9000</v>
      </c>
      <c r="AK338" s="43">
        <v>9000</v>
      </c>
      <c r="AL338" s="43">
        <v>9000</v>
      </c>
      <c r="AM338" s="43">
        <v>9000</v>
      </c>
      <c r="AN338" s="43">
        <v>9000</v>
      </c>
      <c r="AO338" s="43">
        <v>9000</v>
      </c>
      <c r="AP338" s="43">
        <v>9000</v>
      </c>
      <c r="AQ338" s="43">
        <v>9000</v>
      </c>
      <c r="AR338" s="43">
        <v>9000</v>
      </c>
      <c r="AS338" s="43">
        <v>9000</v>
      </c>
      <c r="AT338" s="43">
        <v>9000</v>
      </c>
      <c r="AU338" s="43">
        <v>9000</v>
      </c>
      <c r="AV338" s="43">
        <v>9000</v>
      </c>
      <c r="AW338" s="43">
        <v>9000</v>
      </c>
      <c r="AX338" s="43">
        <v>9000</v>
      </c>
      <c r="AY338" s="43">
        <v>9000</v>
      </c>
      <c r="AZ338" s="43">
        <v>9000</v>
      </c>
      <c r="BA338" s="43">
        <v>9000</v>
      </c>
      <c r="BB338" s="43">
        <v>9000</v>
      </c>
      <c r="BC338" s="43">
        <v>9000</v>
      </c>
      <c r="BD338" s="43">
        <v>9000</v>
      </c>
      <c r="BE338" s="43">
        <v>9000</v>
      </c>
      <c r="BF338" s="12">
        <f>SUM(Y338:BE338)</f>
        <v>297000</v>
      </c>
    </row>
    <row r="339" spans="2:58" ht="22" customHeight="1">
      <c r="B339" s="102"/>
      <c r="C339" s="102"/>
      <c r="D339" s="102"/>
      <c r="E339" s="102"/>
      <c r="F339" s="102"/>
      <c r="G339" s="102"/>
      <c r="H339" s="102"/>
      <c r="I339" s="102"/>
      <c r="J339" s="102"/>
      <c r="K339" s="102"/>
      <c r="L339" s="102"/>
      <c r="M339" s="102"/>
      <c r="N339" s="102"/>
      <c r="O339" s="102"/>
      <c r="P339" s="102"/>
      <c r="Q339" s="102"/>
      <c r="R339" s="102"/>
      <c r="S339" s="102"/>
      <c r="T339" s="39"/>
      <c r="U339" s="39"/>
      <c r="V339" s="39"/>
      <c r="W339" s="39"/>
      <c r="X339" s="33" t="s">
        <v>11</v>
      </c>
      <c r="Y339" s="36">
        <f t="shared" ref="Y339:BF339" si="110">Y337-Y336</f>
        <v>0</v>
      </c>
      <c r="Z339" s="36">
        <f t="shared" si="110"/>
        <v>0</v>
      </c>
      <c r="AA339" s="36">
        <f t="shared" si="110"/>
        <v>0</v>
      </c>
      <c r="AB339" s="36">
        <f t="shared" si="110"/>
        <v>0</v>
      </c>
      <c r="AC339" s="36">
        <f t="shared" si="110"/>
        <v>0</v>
      </c>
      <c r="AD339" s="36">
        <f t="shared" si="110"/>
        <v>0</v>
      </c>
      <c r="AE339" s="36">
        <f t="shared" si="110"/>
        <v>0</v>
      </c>
      <c r="AF339" s="36">
        <f t="shared" si="110"/>
        <v>0</v>
      </c>
      <c r="AG339" s="36">
        <f t="shared" si="110"/>
        <v>0</v>
      </c>
      <c r="AH339" s="36">
        <f t="shared" si="110"/>
        <v>0</v>
      </c>
      <c r="AI339" s="36">
        <f t="shared" si="110"/>
        <v>0</v>
      </c>
      <c r="AJ339" s="36">
        <f t="shared" si="110"/>
        <v>0</v>
      </c>
      <c r="AK339" s="36">
        <f t="shared" si="110"/>
        <v>0</v>
      </c>
      <c r="AL339" s="36">
        <f t="shared" si="110"/>
        <v>0</v>
      </c>
      <c r="AM339" s="36">
        <f t="shared" si="110"/>
        <v>0</v>
      </c>
      <c r="AN339" s="36">
        <f t="shared" si="110"/>
        <v>0</v>
      </c>
      <c r="AO339" s="36">
        <f t="shared" si="110"/>
        <v>0</v>
      </c>
      <c r="AP339" s="36">
        <f t="shared" si="110"/>
        <v>0</v>
      </c>
      <c r="AQ339" s="36">
        <f t="shared" si="110"/>
        <v>0</v>
      </c>
      <c r="AR339" s="36">
        <f t="shared" si="110"/>
        <v>0</v>
      </c>
      <c r="AS339" s="36">
        <f t="shared" si="110"/>
        <v>0</v>
      </c>
      <c r="AT339" s="36">
        <f t="shared" si="110"/>
        <v>0</v>
      </c>
      <c r="AU339" s="36">
        <f t="shared" si="110"/>
        <v>0</v>
      </c>
      <c r="AV339" s="36">
        <f t="shared" si="110"/>
        <v>0</v>
      </c>
      <c r="AW339" s="36">
        <f t="shared" si="110"/>
        <v>0</v>
      </c>
      <c r="AX339" s="36">
        <f t="shared" si="110"/>
        <v>0</v>
      </c>
      <c r="AY339" s="36">
        <f t="shared" si="110"/>
        <v>0</v>
      </c>
      <c r="AZ339" s="36">
        <f t="shared" si="110"/>
        <v>0</v>
      </c>
      <c r="BA339" s="36">
        <f t="shared" si="110"/>
        <v>0</v>
      </c>
      <c r="BB339" s="36">
        <f t="shared" si="110"/>
        <v>0</v>
      </c>
      <c r="BC339" s="36">
        <f t="shared" si="110"/>
        <v>0</v>
      </c>
      <c r="BD339" s="36">
        <f t="shared" si="110"/>
        <v>0</v>
      </c>
      <c r="BE339" s="36">
        <f t="shared" si="110"/>
        <v>0</v>
      </c>
      <c r="BF339" s="10">
        <f t="shared" si="110"/>
        <v>0</v>
      </c>
    </row>
    <row r="340" spans="2:58" ht="22" customHeight="1">
      <c r="B340" s="104">
        <v>91</v>
      </c>
      <c r="C340" s="118" t="s">
        <v>150</v>
      </c>
      <c r="D340" s="105" t="s">
        <v>194</v>
      </c>
      <c r="E340" s="115"/>
      <c r="F340" s="119"/>
      <c r="G340" s="114">
        <f>SUM(Y340:AZ340)</f>
        <v>0</v>
      </c>
      <c r="H340" s="114">
        <f>SUM(Y341:AZ341)</f>
        <v>0</v>
      </c>
      <c r="I340" s="100"/>
      <c r="J340" s="116">
        <f>IFERROR(H340/G340,0)</f>
        <v>0</v>
      </c>
      <c r="K340" s="113">
        <v>0.1</v>
      </c>
      <c r="L340" s="113">
        <v>0.1</v>
      </c>
      <c r="M340" s="100"/>
      <c r="N340" s="100"/>
      <c r="O340" s="100"/>
      <c r="P340" s="100"/>
      <c r="Q340" s="100"/>
      <c r="R340" s="100"/>
      <c r="S340" s="115" t="s">
        <v>37</v>
      </c>
      <c r="T340" s="9"/>
      <c r="U340" s="9"/>
      <c r="V340" s="9"/>
      <c r="W340" s="9"/>
      <c r="X340" s="7" t="s">
        <v>31</v>
      </c>
      <c r="Y340" s="29">
        <v>0</v>
      </c>
      <c r="Z340" s="29">
        <v>0</v>
      </c>
      <c r="AA340" s="29">
        <v>0</v>
      </c>
      <c r="AB340" s="29">
        <v>0</v>
      </c>
      <c r="AC340" s="29">
        <v>0</v>
      </c>
      <c r="AD340" s="29">
        <v>0</v>
      </c>
      <c r="AE340" s="29">
        <v>0</v>
      </c>
      <c r="AF340" s="29">
        <v>0</v>
      </c>
      <c r="AG340" s="29">
        <v>0</v>
      </c>
      <c r="AH340" s="29">
        <v>0</v>
      </c>
      <c r="AI340" s="29">
        <v>0</v>
      </c>
      <c r="AJ340" s="29">
        <v>0</v>
      </c>
      <c r="AK340" s="29">
        <v>0</v>
      </c>
      <c r="AL340" s="29">
        <v>0</v>
      </c>
      <c r="AM340" s="29">
        <v>0</v>
      </c>
      <c r="AN340" s="29">
        <v>0</v>
      </c>
      <c r="AO340" s="29">
        <v>0</v>
      </c>
      <c r="AP340" s="29">
        <v>0</v>
      </c>
      <c r="AQ340" s="29">
        <v>0</v>
      </c>
      <c r="AR340" s="29">
        <v>0</v>
      </c>
      <c r="AS340" s="29">
        <v>0</v>
      </c>
      <c r="AT340" s="29">
        <v>0</v>
      </c>
      <c r="AU340" s="29">
        <v>0</v>
      </c>
      <c r="AV340" s="29">
        <v>0</v>
      </c>
      <c r="AW340" s="29">
        <v>0</v>
      </c>
      <c r="AX340" s="29">
        <v>0</v>
      </c>
      <c r="AY340" s="29">
        <v>0</v>
      </c>
      <c r="AZ340" s="29">
        <v>0</v>
      </c>
      <c r="BA340" s="29">
        <v>0</v>
      </c>
      <c r="BB340" s="29">
        <v>0</v>
      </c>
      <c r="BC340" s="29">
        <v>0</v>
      </c>
      <c r="BD340" s="29">
        <v>0</v>
      </c>
      <c r="BE340" s="29">
        <v>0</v>
      </c>
      <c r="BF340" s="10">
        <f>SUM(Y340:BE340)</f>
        <v>0</v>
      </c>
    </row>
    <row r="341" spans="2:58" ht="22" customHeight="1">
      <c r="B341" s="101"/>
      <c r="C341" s="101"/>
      <c r="D341" s="101"/>
      <c r="E341" s="101"/>
      <c r="F341" s="101"/>
      <c r="G341" s="101"/>
      <c r="H341" s="101"/>
      <c r="I341" s="101"/>
      <c r="J341" s="101"/>
      <c r="K341" s="101"/>
      <c r="L341" s="101"/>
      <c r="M341" s="101"/>
      <c r="N341" s="101"/>
      <c r="O341" s="101"/>
      <c r="P341" s="101"/>
      <c r="Q341" s="101"/>
      <c r="R341" s="101"/>
      <c r="S341" s="101"/>
      <c r="T341" s="9"/>
      <c r="U341" s="9"/>
      <c r="V341" s="9"/>
      <c r="W341" s="9"/>
      <c r="X341" s="7" t="s">
        <v>10</v>
      </c>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0">
        <f>SUM(Y341:BE341)</f>
        <v>0</v>
      </c>
    </row>
    <row r="342" spans="2:58" ht="22" customHeight="1">
      <c r="B342" s="101"/>
      <c r="C342" s="101"/>
      <c r="D342" s="101"/>
      <c r="E342" s="101"/>
      <c r="F342" s="101"/>
      <c r="G342" s="101"/>
      <c r="H342" s="101"/>
      <c r="I342" s="101"/>
      <c r="J342" s="101"/>
      <c r="K342" s="101"/>
      <c r="L342" s="101"/>
      <c r="M342" s="101"/>
      <c r="N342" s="101"/>
      <c r="O342" s="101"/>
      <c r="P342" s="101"/>
      <c r="Q342" s="101"/>
      <c r="R342" s="101"/>
      <c r="S342" s="101"/>
      <c r="T342" s="9"/>
      <c r="U342" s="9"/>
      <c r="V342" s="9"/>
      <c r="W342" s="9"/>
      <c r="X342" s="30" t="s">
        <v>38</v>
      </c>
      <c r="Y342" s="31">
        <v>9000</v>
      </c>
      <c r="Z342" s="31">
        <v>9000</v>
      </c>
      <c r="AA342" s="31">
        <v>9000</v>
      </c>
      <c r="AB342" s="31">
        <v>9000</v>
      </c>
      <c r="AC342" s="31">
        <v>9000</v>
      </c>
      <c r="AD342" s="31">
        <v>9000</v>
      </c>
      <c r="AE342" s="31">
        <v>9000</v>
      </c>
      <c r="AF342" s="31">
        <v>9000</v>
      </c>
      <c r="AG342" s="31">
        <v>9000</v>
      </c>
      <c r="AH342" s="31">
        <v>9000</v>
      </c>
      <c r="AI342" s="31">
        <v>9000</v>
      </c>
      <c r="AJ342" s="31">
        <v>9000</v>
      </c>
      <c r="AK342" s="31">
        <v>9000</v>
      </c>
      <c r="AL342" s="31">
        <v>9000</v>
      </c>
      <c r="AM342" s="31">
        <v>9000</v>
      </c>
      <c r="AN342" s="31">
        <v>9000</v>
      </c>
      <c r="AO342" s="31">
        <v>9000</v>
      </c>
      <c r="AP342" s="31">
        <v>9000</v>
      </c>
      <c r="AQ342" s="31">
        <v>9000</v>
      </c>
      <c r="AR342" s="31">
        <v>9000</v>
      </c>
      <c r="AS342" s="31">
        <v>9000</v>
      </c>
      <c r="AT342" s="31">
        <v>9000</v>
      </c>
      <c r="AU342" s="31">
        <v>9000</v>
      </c>
      <c r="AV342" s="31">
        <v>9000</v>
      </c>
      <c r="AW342" s="31">
        <v>9000</v>
      </c>
      <c r="AX342" s="31">
        <v>9000</v>
      </c>
      <c r="AY342" s="31">
        <v>9000</v>
      </c>
      <c r="AZ342" s="31">
        <v>9000</v>
      </c>
      <c r="BA342" s="31">
        <v>9000</v>
      </c>
      <c r="BB342" s="31">
        <v>9000</v>
      </c>
      <c r="BC342" s="31">
        <v>9000</v>
      </c>
      <c r="BD342" s="31">
        <v>9000</v>
      </c>
      <c r="BE342" s="31">
        <v>9000</v>
      </c>
      <c r="BF342" s="12">
        <f>SUM(Y342:BE342)</f>
        <v>297000</v>
      </c>
    </row>
    <row r="343" spans="2:58" ht="22" customHeight="1">
      <c r="B343" s="102"/>
      <c r="C343" s="102"/>
      <c r="D343" s="102"/>
      <c r="E343" s="102"/>
      <c r="F343" s="102"/>
      <c r="G343" s="102"/>
      <c r="H343" s="102"/>
      <c r="I343" s="102"/>
      <c r="J343" s="102"/>
      <c r="K343" s="102"/>
      <c r="L343" s="102"/>
      <c r="M343" s="102"/>
      <c r="N343" s="102"/>
      <c r="O343" s="102"/>
      <c r="P343" s="102"/>
      <c r="Q343" s="102"/>
      <c r="R343" s="102"/>
      <c r="S343" s="102"/>
      <c r="T343" s="9"/>
      <c r="U343" s="9"/>
      <c r="V343" s="9"/>
      <c r="W343" s="9"/>
      <c r="X343" s="7" t="s">
        <v>11</v>
      </c>
      <c r="Y343" s="3">
        <f t="shared" ref="Y343:BF343" si="111">Y341-Y340</f>
        <v>0</v>
      </c>
      <c r="Z343" s="3">
        <f t="shared" si="111"/>
        <v>0</v>
      </c>
      <c r="AA343" s="3">
        <f t="shared" si="111"/>
        <v>0</v>
      </c>
      <c r="AB343" s="3">
        <f t="shared" si="111"/>
        <v>0</v>
      </c>
      <c r="AC343" s="3">
        <f t="shared" si="111"/>
        <v>0</v>
      </c>
      <c r="AD343" s="3">
        <f t="shared" si="111"/>
        <v>0</v>
      </c>
      <c r="AE343" s="3">
        <f t="shared" si="111"/>
        <v>0</v>
      </c>
      <c r="AF343" s="3">
        <f t="shared" si="111"/>
        <v>0</v>
      </c>
      <c r="AG343" s="3">
        <f t="shared" si="111"/>
        <v>0</v>
      </c>
      <c r="AH343" s="3">
        <f t="shared" si="111"/>
        <v>0</v>
      </c>
      <c r="AI343" s="3">
        <f t="shared" si="111"/>
        <v>0</v>
      </c>
      <c r="AJ343" s="3">
        <f t="shared" si="111"/>
        <v>0</v>
      </c>
      <c r="AK343" s="3">
        <f t="shared" si="111"/>
        <v>0</v>
      </c>
      <c r="AL343" s="3">
        <f t="shared" si="111"/>
        <v>0</v>
      </c>
      <c r="AM343" s="3">
        <f t="shared" si="111"/>
        <v>0</v>
      </c>
      <c r="AN343" s="3">
        <f t="shared" si="111"/>
        <v>0</v>
      </c>
      <c r="AO343" s="3">
        <f t="shared" si="111"/>
        <v>0</v>
      </c>
      <c r="AP343" s="3">
        <f t="shared" si="111"/>
        <v>0</v>
      </c>
      <c r="AQ343" s="3">
        <f t="shared" si="111"/>
        <v>0</v>
      </c>
      <c r="AR343" s="3">
        <f t="shared" si="111"/>
        <v>0</v>
      </c>
      <c r="AS343" s="3">
        <f t="shared" si="111"/>
        <v>0</v>
      </c>
      <c r="AT343" s="3">
        <f t="shared" si="111"/>
        <v>0</v>
      </c>
      <c r="AU343" s="3">
        <f t="shared" si="111"/>
        <v>0</v>
      </c>
      <c r="AV343" s="3">
        <f t="shared" si="111"/>
        <v>0</v>
      </c>
      <c r="AW343" s="3">
        <f t="shared" si="111"/>
        <v>0</v>
      </c>
      <c r="AX343" s="3">
        <f t="shared" si="111"/>
        <v>0</v>
      </c>
      <c r="AY343" s="3">
        <f t="shared" si="111"/>
        <v>0</v>
      </c>
      <c r="AZ343" s="3">
        <f t="shared" si="111"/>
        <v>0</v>
      </c>
      <c r="BA343" s="3">
        <f t="shared" si="111"/>
        <v>0</v>
      </c>
      <c r="BB343" s="3">
        <f t="shared" si="111"/>
        <v>0</v>
      </c>
      <c r="BC343" s="3">
        <f t="shared" si="111"/>
        <v>0</v>
      </c>
      <c r="BD343" s="3">
        <f t="shared" si="111"/>
        <v>0</v>
      </c>
      <c r="BE343" s="3">
        <f t="shared" si="111"/>
        <v>0</v>
      </c>
      <c r="BF343" s="10">
        <f t="shared" si="111"/>
        <v>0</v>
      </c>
    </row>
    <row r="344" spans="2:58" ht="22" customHeight="1">
      <c r="B344" s="107">
        <v>92</v>
      </c>
      <c r="C344" s="117" t="s">
        <v>100</v>
      </c>
      <c r="D344" s="108" t="s">
        <v>195</v>
      </c>
      <c r="E344" s="103"/>
      <c r="F344" s="109"/>
      <c r="G344" s="106">
        <f>SUM(Y344:AZ344)</f>
        <v>9</v>
      </c>
      <c r="H344" s="106">
        <f>SUM(Y345:AZ345)</f>
        <v>0</v>
      </c>
      <c r="I344" s="111"/>
      <c r="J344" s="112">
        <f>IFERROR(H344/G344,0)</f>
        <v>0</v>
      </c>
      <c r="K344" s="110">
        <v>0.1</v>
      </c>
      <c r="L344" s="110">
        <v>0.1</v>
      </c>
      <c r="M344" s="111"/>
      <c r="N344" s="111"/>
      <c r="O344" s="111"/>
      <c r="P344" s="111"/>
      <c r="Q344" s="111"/>
      <c r="R344" s="111"/>
      <c r="S344" s="103" t="s">
        <v>37</v>
      </c>
      <c r="T344" s="39"/>
      <c r="U344" s="39"/>
      <c r="V344" s="39"/>
      <c r="W344" s="39"/>
      <c r="X344" s="33" t="s">
        <v>31</v>
      </c>
      <c r="Y344" s="40">
        <v>0</v>
      </c>
      <c r="Z344" s="40">
        <v>1</v>
      </c>
      <c r="AA344" s="40">
        <v>1</v>
      </c>
      <c r="AB344" s="40">
        <v>0</v>
      </c>
      <c r="AC344" s="40">
        <v>0</v>
      </c>
      <c r="AD344" s="40">
        <v>0</v>
      </c>
      <c r="AE344" s="40">
        <v>0</v>
      </c>
      <c r="AF344" s="40">
        <v>0</v>
      </c>
      <c r="AG344" s="40">
        <v>1</v>
      </c>
      <c r="AH344" s="40">
        <v>1</v>
      </c>
      <c r="AI344" s="40">
        <v>0</v>
      </c>
      <c r="AJ344" s="40">
        <v>0</v>
      </c>
      <c r="AK344" s="40">
        <v>0</v>
      </c>
      <c r="AL344" s="40">
        <v>0</v>
      </c>
      <c r="AM344" s="40">
        <v>0</v>
      </c>
      <c r="AN344" s="40">
        <v>1</v>
      </c>
      <c r="AO344" s="40">
        <v>1</v>
      </c>
      <c r="AP344" s="40">
        <v>0</v>
      </c>
      <c r="AQ344" s="40">
        <v>0</v>
      </c>
      <c r="AR344" s="40">
        <v>0</v>
      </c>
      <c r="AS344" s="40">
        <v>0</v>
      </c>
      <c r="AT344" s="40">
        <v>0</v>
      </c>
      <c r="AU344" s="40">
        <v>1</v>
      </c>
      <c r="AV344" s="40">
        <v>1</v>
      </c>
      <c r="AW344" s="40">
        <v>1</v>
      </c>
      <c r="AX344" s="40">
        <v>0</v>
      </c>
      <c r="AY344" s="40">
        <v>0</v>
      </c>
      <c r="AZ344" s="40">
        <v>0</v>
      </c>
      <c r="BA344" s="40">
        <v>0</v>
      </c>
      <c r="BB344" s="40">
        <v>1</v>
      </c>
      <c r="BC344" s="40">
        <v>1</v>
      </c>
      <c r="BD344" s="40">
        <v>0</v>
      </c>
      <c r="BE344" s="40">
        <v>0</v>
      </c>
      <c r="BF344" s="10">
        <f>SUM(Y344:BE344)</f>
        <v>11</v>
      </c>
    </row>
    <row r="345" spans="2:58" ht="22" customHeight="1">
      <c r="B345" s="101"/>
      <c r="C345" s="101"/>
      <c r="D345" s="101"/>
      <c r="E345" s="101"/>
      <c r="F345" s="101"/>
      <c r="G345" s="101"/>
      <c r="H345" s="101"/>
      <c r="I345" s="101"/>
      <c r="J345" s="101"/>
      <c r="K345" s="101"/>
      <c r="L345" s="101"/>
      <c r="M345" s="101"/>
      <c r="N345" s="101"/>
      <c r="O345" s="101"/>
      <c r="P345" s="101"/>
      <c r="Q345" s="101"/>
      <c r="R345" s="101"/>
      <c r="S345" s="101"/>
      <c r="T345" s="39"/>
      <c r="U345" s="39"/>
      <c r="V345" s="39"/>
      <c r="W345" s="39"/>
      <c r="X345" s="33" t="s">
        <v>10</v>
      </c>
      <c r="Y345" s="41"/>
      <c r="Z345" s="41"/>
      <c r="AA345" s="41"/>
      <c r="AB345" s="41"/>
      <c r="AC345" s="41"/>
      <c r="AD345" s="41"/>
      <c r="AE345" s="41"/>
      <c r="AF345" s="41"/>
      <c r="AG345" s="41"/>
      <c r="AH345" s="41"/>
      <c r="AI345" s="41"/>
      <c r="AJ345" s="41"/>
      <c r="AK345" s="41"/>
      <c r="AL345" s="41"/>
      <c r="AM345" s="41"/>
      <c r="AN345" s="41"/>
      <c r="AO345" s="41"/>
      <c r="AP345" s="41"/>
      <c r="AQ345" s="41"/>
      <c r="AR345" s="41"/>
      <c r="AS345" s="41"/>
      <c r="AT345" s="41"/>
      <c r="AU345" s="41"/>
      <c r="AV345" s="41"/>
      <c r="AW345" s="41"/>
      <c r="AX345" s="41"/>
      <c r="AY345" s="41"/>
      <c r="AZ345" s="41"/>
      <c r="BA345" s="41"/>
      <c r="BB345" s="41"/>
      <c r="BC345" s="41"/>
      <c r="BD345" s="41"/>
      <c r="BE345" s="41"/>
      <c r="BF345" s="10">
        <f>SUM(Y345:BE345)</f>
        <v>0</v>
      </c>
    </row>
    <row r="346" spans="2:58" ht="22" customHeight="1">
      <c r="B346" s="101"/>
      <c r="C346" s="101"/>
      <c r="D346" s="101"/>
      <c r="E346" s="101"/>
      <c r="F346" s="101"/>
      <c r="G346" s="101"/>
      <c r="H346" s="101"/>
      <c r="I346" s="101"/>
      <c r="J346" s="101"/>
      <c r="K346" s="101"/>
      <c r="L346" s="101"/>
      <c r="M346" s="101"/>
      <c r="N346" s="101"/>
      <c r="O346" s="101"/>
      <c r="P346" s="101"/>
      <c r="Q346" s="101"/>
      <c r="R346" s="101"/>
      <c r="S346" s="101"/>
      <c r="T346" s="39"/>
      <c r="U346" s="39"/>
      <c r="V346" s="39"/>
      <c r="W346" s="39"/>
      <c r="X346" s="42" t="s">
        <v>38</v>
      </c>
      <c r="Y346" s="43">
        <v>9000</v>
      </c>
      <c r="Z346" s="43">
        <v>9000</v>
      </c>
      <c r="AA346" s="43">
        <v>9000</v>
      </c>
      <c r="AB346" s="43">
        <v>9000</v>
      </c>
      <c r="AC346" s="43">
        <v>9000</v>
      </c>
      <c r="AD346" s="43">
        <v>9000</v>
      </c>
      <c r="AE346" s="43">
        <v>9000</v>
      </c>
      <c r="AF346" s="43">
        <v>9000</v>
      </c>
      <c r="AG346" s="43">
        <v>9000</v>
      </c>
      <c r="AH346" s="43">
        <v>9000</v>
      </c>
      <c r="AI346" s="43">
        <v>9000</v>
      </c>
      <c r="AJ346" s="43">
        <v>9000</v>
      </c>
      <c r="AK346" s="43">
        <v>9000</v>
      </c>
      <c r="AL346" s="43">
        <v>9000</v>
      </c>
      <c r="AM346" s="43">
        <v>9000</v>
      </c>
      <c r="AN346" s="43">
        <v>9000</v>
      </c>
      <c r="AO346" s="43">
        <v>9000</v>
      </c>
      <c r="AP346" s="43">
        <v>9000</v>
      </c>
      <c r="AQ346" s="43">
        <v>9000</v>
      </c>
      <c r="AR346" s="43">
        <v>9000</v>
      </c>
      <c r="AS346" s="43">
        <v>9000</v>
      </c>
      <c r="AT346" s="43">
        <v>9000</v>
      </c>
      <c r="AU346" s="43">
        <v>9000</v>
      </c>
      <c r="AV346" s="43">
        <v>9000</v>
      </c>
      <c r="AW346" s="43">
        <v>9000</v>
      </c>
      <c r="AX346" s="43">
        <v>9000</v>
      </c>
      <c r="AY346" s="43">
        <v>9000</v>
      </c>
      <c r="AZ346" s="43">
        <v>9000</v>
      </c>
      <c r="BA346" s="43">
        <v>9000</v>
      </c>
      <c r="BB346" s="43">
        <v>9000</v>
      </c>
      <c r="BC346" s="43">
        <v>9000</v>
      </c>
      <c r="BD346" s="43">
        <v>9000</v>
      </c>
      <c r="BE346" s="43">
        <v>9000</v>
      </c>
      <c r="BF346" s="12">
        <f>SUM(Y346:BE346)</f>
        <v>297000</v>
      </c>
    </row>
    <row r="347" spans="2:58" ht="22" customHeight="1">
      <c r="B347" s="102"/>
      <c r="C347" s="102"/>
      <c r="D347" s="102"/>
      <c r="E347" s="102"/>
      <c r="F347" s="102"/>
      <c r="G347" s="102"/>
      <c r="H347" s="102"/>
      <c r="I347" s="102"/>
      <c r="J347" s="102"/>
      <c r="K347" s="102"/>
      <c r="L347" s="102"/>
      <c r="M347" s="102"/>
      <c r="N347" s="102"/>
      <c r="O347" s="102"/>
      <c r="P347" s="102"/>
      <c r="Q347" s="102"/>
      <c r="R347" s="102"/>
      <c r="S347" s="102"/>
      <c r="T347" s="39"/>
      <c r="U347" s="39"/>
      <c r="V347" s="39"/>
      <c r="W347" s="39"/>
      <c r="X347" s="33" t="s">
        <v>11</v>
      </c>
      <c r="Y347" s="36">
        <f t="shared" ref="Y347:BF347" si="112">Y345-Y344</f>
        <v>0</v>
      </c>
      <c r="Z347" s="36">
        <f t="shared" si="112"/>
        <v>-1</v>
      </c>
      <c r="AA347" s="36">
        <f t="shared" si="112"/>
        <v>-1</v>
      </c>
      <c r="AB347" s="36">
        <f t="shared" si="112"/>
        <v>0</v>
      </c>
      <c r="AC347" s="36">
        <f t="shared" si="112"/>
        <v>0</v>
      </c>
      <c r="AD347" s="36">
        <f t="shared" si="112"/>
        <v>0</v>
      </c>
      <c r="AE347" s="36">
        <f t="shared" si="112"/>
        <v>0</v>
      </c>
      <c r="AF347" s="36">
        <f t="shared" si="112"/>
        <v>0</v>
      </c>
      <c r="AG347" s="36">
        <f t="shared" si="112"/>
        <v>-1</v>
      </c>
      <c r="AH347" s="36">
        <f t="shared" si="112"/>
        <v>-1</v>
      </c>
      <c r="AI347" s="36">
        <f t="shared" si="112"/>
        <v>0</v>
      </c>
      <c r="AJ347" s="36">
        <f t="shared" si="112"/>
        <v>0</v>
      </c>
      <c r="AK347" s="36">
        <f t="shared" si="112"/>
        <v>0</v>
      </c>
      <c r="AL347" s="36">
        <f t="shared" si="112"/>
        <v>0</v>
      </c>
      <c r="AM347" s="36">
        <f t="shared" si="112"/>
        <v>0</v>
      </c>
      <c r="AN347" s="36">
        <f t="shared" si="112"/>
        <v>-1</v>
      </c>
      <c r="AO347" s="36">
        <f t="shared" si="112"/>
        <v>-1</v>
      </c>
      <c r="AP347" s="36">
        <f t="shared" si="112"/>
        <v>0</v>
      </c>
      <c r="AQ347" s="36">
        <f t="shared" si="112"/>
        <v>0</v>
      </c>
      <c r="AR347" s="36">
        <f t="shared" si="112"/>
        <v>0</v>
      </c>
      <c r="AS347" s="36">
        <f t="shared" si="112"/>
        <v>0</v>
      </c>
      <c r="AT347" s="36">
        <f t="shared" si="112"/>
        <v>0</v>
      </c>
      <c r="AU347" s="36">
        <f t="shared" si="112"/>
        <v>-1</v>
      </c>
      <c r="AV347" s="36">
        <f t="shared" si="112"/>
        <v>-1</v>
      </c>
      <c r="AW347" s="36">
        <f t="shared" si="112"/>
        <v>-1</v>
      </c>
      <c r="AX347" s="36">
        <f t="shared" si="112"/>
        <v>0</v>
      </c>
      <c r="AY347" s="36">
        <f t="shared" si="112"/>
        <v>0</v>
      </c>
      <c r="AZ347" s="36">
        <f t="shared" si="112"/>
        <v>0</v>
      </c>
      <c r="BA347" s="36">
        <f t="shared" si="112"/>
        <v>0</v>
      </c>
      <c r="BB347" s="36">
        <f t="shared" si="112"/>
        <v>-1</v>
      </c>
      <c r="BC347" s="36">
        <f t="shared" si="112"/>
        <v>-1</v>
      </c>
      <c r="BD347" s="36">
        <f t="shared" si="112"/>
        <v>0</v>
      </c>
      <c r="BE347" s="36">
        <f t="shared" si="112"/>
        <v>0</v>
      </c>
      <c r="BF347" s="10">
        <f t="shared" si="112"/>
        <v>-11</v>
      </c>
    </row>
    <row r="348" spans="2:58" ht="22" customHeight="1">
      <c r="B348" s="104">
        <v>93</v>
      </c>
      <c r="C348" s="118" t="s">
        <v>58</v>
      </c>
      <c r="D348" s="105" t="s">
        <v>196</v>
      </c>
      <c r="E348" s="115"/>
      <c r="F348" s="119"/>
      <c r="G348" s="114">
        <f>SUM(Y348:AZ348)</f>
        <v>9</v>
      </c>
      <c r="H348" s="114">
        <f>SUM(Y349:AZ349)</f>
        <v>0</v>
      </c>
      <c r="I348" s="100"/>
      <c r="J348" s="116">
        <f>IFERROR(H348/G348,0)</f>
        <v>0</v>
      </c>
      <c r="K348" s="113">
        <v>3.0303030303030299E-3</v>
      </c>
      <c r="L348" s="113">
        <v>3.0303030303030299E-3</v>
      </c>
      <c r="M348" s="100"/>
      <c r="N348" s="100"/>
      <c r="O348" s="100"/>
      <c r="P348" s="100"/>
      <c r="Q348" s="100"/>
      <c r="R348" s="100"/>
      <c r="S348" s="115" t="s">
        <v>37</v>
      </c>
      <c r="T348" s="9"/>
      <c r="U348" s="9"/>
      <c r="V348" s="9"/>
      <c r="W348" s="9"/>
      <c r="X348" s="7" t="s">
        <v>31</v>
      </c>
      <c r="Y348" s="29">
        <v>0</v>
      </c>
      <c r="Z348" s="29">
        <v>1</v>
      </c>
      <c r="AA348" s="29">
        <v>1</v>
      </c>
      <c r="AB348" s="29">
        <v>0</v>
      </c>
      <c r="AC348" s="29">
        <v>0</v>
      </c>
      <c r="AD348" s="29">
        <v>0</v>
      </c>
      <c r="AE348" s="29">
        <v>0</v>
      </c>
      <c r="AF348" s="29">
        <v>0</v>
      </c>
      <c r="AG348" s="29">
        <v>1</v>
      </c>
      <c r="AH348" s="29">
        <v>1</v>
      </c>
      <c r="AI348" s="29">
        <v>0</v>
      </c>
      <c r="AJ348" s="29">
        <v>0</v>
      </c>
      <c r="AK348" s="29">
        <v>0</v>
      </c>
      <c r="AL348" s="29">
        <v>0</v>
      </c>
      <c r="AM348" s="29">
        <v>0</v>
      </c>
      <c r="AN348" s="29">
        <v>1</v>
      </c>
      <c r="AO348" s="29">
        <v>1</v>
      </c>
      <c r="AP348" s="29">
        <v>0</v>
      </c>
      <c r="AQ348" s="29">
        <v>0</v>
      </c>
      <c r="AR348" s="29">
        <v>0</v>
      </c>
      <c r="AS348" s="29">
        <v>0</v>
      </c>
      <c r="AT348" s="29">
        <v>0</v>
      </c>
      <c r="AU348" s="29">
        <v>1</v>
      </c>
      <c r="AV348" s="29">
        <v>1</v>
      </c>
      <c r="AW348" s="29">
        <v>1</v>
      </c>
      <c r="AX348" s="29">
        <v>0</v>
      </c>
      <c r="AY348" s="29">
        <v>0</v>
      </c>
      <c r="AZ348" s="29">
        <v>0</v>
      </c>
      <c r="BA348" s="29">
        <v>0</v>
      </c>
      <c r="BB348" s="29">
        <v>1</v>
      </c>
      <c r="BC348" s="29">
        <v>1</v>
      </c>
      <c r="BD348" s="29">
        <v>0</v>
      </c>
      <c r="BE348" s="29">
        <v>0</v>
      </c>
      <c r="BF348" s="10">
        <f>SUM(Y348:BE348)</f>
        <v>11</v>
      </c>
    </row>
    <row r="349" spans="2:58" ht="22" customHeight="1">
      <c r="B349" s="101"/>
      <c r="C349" s="101"/>
      <c r="D349" s="101"/>
      <c r="E349" s="101"/>
      <c r="F349" s="101"/>
      <c r="G349" s="101"/>
      <c r="H349" s="101"/>
      <c r="I349" s="101"/>
      <c r="J349" s="101"/>
      <c r="K349" s="101"/>
      <c r="L349" s="101"/>
      <c r="M349" s="101"/>
      <c r="N349" s="101"/>
      <c r="O349" s="101"/>
      <c r="P349" s="101"/>
      <c r="Q349" s="101"/>
      <c r="R349" s="101"/>
      <c r="S349" s="101"/>
      <c r="T349" s="9"/>
      <c r="U349" s="9"/>
      <c r="V349" s="9"/>
      <c r="W349" s="9"/>
      <c r="X349" s="7" t="s">
        <v>10</v>
      </c>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0">
        <f>SUM(Y349:BE349)</f>
        <v>0</v>
      </c>
    </row>
    <row r="350" spans="2:58" ht="22" customHeight="1">
      <c r="B350" s="101"/>
      <c r="C350" s="101"/>
      <c r="D350" s="101"/>
      <c r="E350" s="101"/>
      <c r="F350" s="101"/>
      <c r="G350" s="101"/>
      <c r="H350" s="101"/>
      <c r="I350" s="101"/>
      <c r="J350" s="101"/>
      <c r="K350" s="101"/>
      <c r="L350" s="101"/>
      <c r="M350" s="101"/>
      <c r="N350" s="101"/>
      <c r="O350" s="101"/>
      <c r="P350" s="101"/>
      <c r="Q350" s="101"/>
      <c r="R350" s="101"/>
      <c r="S350" s="101"/>
      <c r="T350" s="9"/>
      <c r="U350" s="9"/>
      <c r="V350" s="9"/>
      <c r="W350" s="9"/>
      <c r="X350" s="30" t="s">
        <v>38</v>
      </c>
      <c r="Y350" s="31">
        <v>9000</v>
      </c>
      <c r="Z350" s="31">
        <v>9000</v>
      </c>
      <c r="AA350" s="31">
        <v>9000</v>
      </c>
      <c r="AB350" s="31">
        <v>9000</v>
      </c>
      <c r="AC350" s="31">
        <v>9000</v>
      </c>
      <c r="AD350" s="31">
        <v>9000</v>
      </c>
      <c r="AE350" s="31">
        <v>9000</v>
      </c>
      <c r="AF350" s="31">
        <v>9000</v>
      </c>
      <c r="AG350" s="31">
        <v>9000</v>
      </c>
      <c r="AH350" s="31">
        <v>9000</v>
      </c>
      <c r="AI350" s="31">
        <v>9000</v>
      </c>
      <c r="AJ350" s="31">
        <v>9000</v>
      </c>
      <c r="AK350" s="31">
        <v>9000</v>
      </c>
      <c r="AL350" s="31">
        <v>9000</v>
      </c>
      <c r="AM350" s="31">
        <v>9000</v>
      </c>
      <c r="AN350" s="31">
        <v>9000</v>
      </c>
      <c r="AO350" s="31">
        <v>9000</v>
      </c>
      <c r="AP350" s="31">
        <v>9000</v>
      </c>
      <c r="AQ350" s="31">
        <v>9000</v>
      </c>
      <c r="AR350" s="31">
        <v>9000</v>
      </c>
      <c r="AS350" s="31">
        <v>9000</v>
      </c>
      <c r="AT350" s="31">
        <v>9000</v>
      </c>
      <c r="AU350" s="31">
        <v>9000</v>
      </c>
      <c r="AV350" s="31">
        <v>9000</v>
      </c>
      <c r="AW350" s="31">
        <v>9000</v>
      </c>
      <c r="AX350" s="31">
        <v>9000</v>
      </c>
      <c r="AY350" s="31">
        <v>9000</v>
      </c>
      <c r="AZ350" s="31">
        <v>9000</v>
      </c>
      <c r="BA350" s="31">
        <v>9000</v>
      </c>
      <c r="BB350" s="31">
        <v>9000</v>
      </c>
      <c r="BC350" s="31">
        <v>9000</v>
      </c>
      <c r="BD350" s="31">
        <v>9000</v>
      </c>
      <c r="BE350" s="31">
        <v>9000</v>
      </c>
      <c r="BF350" s="12">
        <f>SUM(Y350:BE350)</f>
        <v>297000</v>
      </c>
    </row>
    <row r="351" spans="2:58" ht="22" customHeight="1">
      <c r="B351" s="102"/>
      <c r="C351" s="102"/>
      <c r="D351" s="102"/>
      <c r="E351" s="102"/>
      <c r="F351" s="102"/>
      <c r="G351" s="102"/>
      <c r="H351" s="102"/>
      <c r="I351" s="102"/>
      <c r="J351" s="102"/>
      <c r="K351" s="102"/>
      <c r="L351" s="102"/>
      <c r="M351" s="102"/>
      <c r="N351" s="102"/>
      <c r="O351" s="102"/>
      <c r="P351" s="102"/>
      <c r="Q351" s="102"/>
      <c r="R351" s="102"/>
      <c r="S351" s="102"/>
      <c r="T351" s="9"/>
      <c r="U351" s="9"/>
      <c r="V351" s="9"/>
      <c r="W351" s="9"/>
      <c r="X351" s="7" t="s">
        <v>11</v>
      </c>
      <c r="Y351" s="3">
        <f t="shared" ref="Y351:BF351" si="113">Y349-Y348</f>
        <v>0</v>
      </c>
      <c r="Z351" s="3">
        <f t="shared" si="113"/>
        <v>-1</v>
      </c>
      <c r="AA351" s="3">
        <f t="shared" si="113"/>
        <v>-1</v>
      </c>
      <c r="AB351" s="3">
        <f t="shared" si="113"/>
        <v>0</v>
      </c>
      <c r="AC351" s="3">
        <f t="shared" si="113"/>
        <v>0</v>
      </c>
      <c r="AD351" s="3">
        <f t="shared" si="113"/>
        <v>0</v>
      </c>
      <c r="AE351" s="3">
        <f t="shared" si="113"/>
        <v>0</v>
      </c>
      <c r="AF351" s="3">
        <f t="shared" si="113"/>
        <v>0</v>
      </c>
      <c r="AG351" s="3">
        <f t="shared" si="113"/>
        <v>-1</v>
      </c>
      <c r="AH351" s="3">
        <f t="shared" si="113"/>
        <v>-1</v>
      </c>
      <c r="AI351" s="3">
        <f t="shared" si="113"/>
        <v>0</v>
      </c>
      <c r="AJ351" s="3">
        <f t="shared" si="113"/>
        <v>0</v>
      </c>
      <c r="AK351" s="3">
        <f t="shared" si="113"/>
        <v>0</v>
      </c>
      <c r="AL351" s="3">
        <f t="shared" si="113"/>
        <v>0</v>
      </c>
      <c r="AM351" s="3">
        <f t="shared" si="113"/>
        <v>0</v>
      </c>
      <c r="AN351" s="3">
        <f t="shared" si="113"/>
        <v>-1</v>
      </c>
      <c r="AO351" s="3">
        <f t="shared" si="113"/>
        <v>-1</v>
      </c>
      <c r="AP351" s="3">
        <f t="shared" si="113"/>
        <v>0</v>
      </c>
      <c r="AQ351" s="3">
        <f t="shared" si="113"/>
        <v>0</v>
      </c>
      <c r="AR351" s="3">
        <f t="shared" si="113"/>
        <v>0</v>
      </c>
      <c r="AS351" s="3">
        <f t="shared" si="113"/>
        <v>0</v>
      </c>
      <c r="AT351" s="3">
        <f t="shared" si="113"/>
        <v>0</v>
      </c>
      <c r="AU351" s="3">
        <f t="shared" si="113"/>
        <v>-1</v>
      </c>
      <c r="AV351" s="3">
        <f t="shared" si="113"/>
        <v>-1</v>
      </c>
      <c r="AW351" s="3">
        <f t="shared" si="113"/>
        <v>-1</v>
      </c>
      <c r="AX351" s="3">
        <f t="shared" si="113"/>
        <v>0</v>
      </c>
      <c r="AY351" s="3">
        <f t="shared" si="113"/>
        <v>0</v>
      </c>
      <c r="AZ351" s="3">
        <f t="shared" si="113"/>
        <v>0</v>
      </c>
      <c r="BA351" s="3">
        <f t="shared" si="113"/>
        <v>0</v>
      </c>
      <c r="BB351" s="3">
        <f t="shared" si="113"/>
        <v>-1</v>
      </c>
      <c r="BC351" s="3">
        <f t="shared" si="113"/>
        <v>-1</v>
      </c>
      <c r="BD351" s="3">
        <f t="shared" si="113"/>
        <v>0</v>
      </c>
      <c r="BE351" s="3">
        <f t="shared" si="113"/>
        <v>0</v>
      </c>
      <c r="BF351" s="10">
        <f t="shared" si="113"/>
        <v>-11</v>
      </c>
    </row>
    <row r="352" spans="2:58" ht="22" customHeight="1">
      <c r="B352" s="107">
        <v>94</v>
      </c>
      <c r="C352" s="117" t="s">
        <v>48</v>
      </c>
      <c r="D352" s="108" t="s">
        <v>197</v>
      </c>
      <c r="E352" s="103"/>
      <c r="F352" s="109"/>
      <c r="G352" s="106">
        <f>SUM(Y352:AZ352)</f>
        <v>7</v>
      </c>
      <c r="H352" s="106">
        <f>SUM(Y353:AZ353)</f>
        <v>0</v>
      </c>
      <c r="I352" s="111"/>
      <c r="J352" s="112">
        <f>IFERROR(H352/G352,0)</f>
        <v>0</v>
      </c>
      <c r="K352" s="110">
        <v>0.1</v>
      </c>
      <c r="L352" s="110">
        <v>0.1</v>
      </c>
      <c r="M352" s="111"/>
      <c r="N352" s="111"/>
      <c r="O352" s="111"/>
      <c r="P352" s="111"/>
      <c r="Q352" s="111"/>
      <c r="R352" s="111"/>
      <c r="S352" s="103" t="s">
        <v>37</v>
      </c>
      <c r="T352" s="39"/>
      <c r="U352" s="39"/>
      <c r="V352" s="39"/>
      <c r="W352" s="39"/>
      <c r="X352" s="33" t="s">
        <v>31</v>
      </c>
      <c r="Y352" s="40">
        <v>0</v>
      </c>
      <c r="Z352" s="40">
        <v>0</v>
      </c>
      <c r="AA352" s="40">
        <v>2</v>
      </c>
      <c r="AB352" s="40">
        <v>0</v>
      </c>
      <c r="AC352" s="40">
        <v>0</v>
      </c>
      <c r="AD352" s="40">
        <v>0</v>
      </c>
      <c r="AE352" s="40">
        <v>0</v>
      </c>
      <c r="AF352" s="40">
        <v>0</v>
      </c>
      <c r="AG352" s="40">
        <v>0</v>
      </c>
      <c r="AH352" s="40">
        <v>2</v>
      </c>
      <c r="AI352" s="40">
        <v>0</v>
      </c>
      <c r="AJ352" s="40">
        <v>0</v>
      </c>
      <c r="AK352" s="40">
        <v>0</v>
      </c>
      <c r="AL352" s="40">
        <v>0</v>
      </c>
      <c r="AM352" s="40">
        <v>0</v>
      </c>
      <c r="AN352" s="40">
        <v>0</v>
      </c>
      <c r="AO352" s="40">
        <v>1</v>
      </c>
      <c r="AP352" s="40">
        <v>0</v>
      </c>
      <c r="AQ352" s="40">
        <v>0</v>
      </c>
      <c r="AR352" s="40">
        <v>0</v>
      </c>
      <c r="AS352" s="40">
        <v>0</v>
      </c>
      <c r="AT352" s="40">
        <v>0</v>
      </c>
      <c r="AU352" s="40">
        <v>0</v>
      </c>
      <c r="AV352" s="40">
        <v>1</v>
      </c>
      <c r="AW352" s="40">
        <v>1</v>
      </c>
      <c r="AX352" s="40">
        <v>0</v>
      </c>
      <c r="AY352" s="40">
        <v>0</v>
      </c>
      <c r="AZ352" s="40">
        <v>0</v>
      </c>
      <c r="BA352" s="40">
        <v>0</v>
      </c>
      <c r="BB352" s="40">
        <v>1</v>
      </c>
      <c r="BC352" s="40">
        <v>1</v>
      </c>
      <c r="BD352" s="40">
        <v>0</v>
      </c>
      <c r="BE352" s="40">
        <v>0</v>
      </c>
      <c r="BF352" s="10">
        <f>SUM(Y352:BE352)</f>
        <v>9</v>
      </c>
    </row>
    <row r="353" spans="2:58" ht="22" customHeight="1">
      <c r="B353" s="101"/>
      <c r="C353" s="101"/>
      <c r="D353" s="101"/>
      <c r="E353" s="101"/>
      <c r="F353" s="101"/>
      <c r="G353" s="101"/>
      <c r="H353" s="101"/>
      <c r="I353" s="101"/>
      <c r="J353" s="101"/>
      <c r="K353" s="101"/>
      <c r="L353" s="101"/>
      <c r="M353" s="101"/>
      <c r="N353" s="101"/>
      <c r="O353" s="101"/>
      <c r="P353" s="101"/>
      <c r="Q353" s="101"/>
      <c r="R353" s="101"/>
      <c r="S353" s="101"/>
      <c r="T353" s="39"/>
      <c r="U353" s="39"/>
      <c r="V353" s="39"/>
      <c r="W353" s="39"/>
      <c r="X353" s="33" t="s">
        <v>10</v>
      </c>
      <c r="Y353" s="41"/>
      <c r="Z353" s="41"/>
      <c r="AA353" s="41"/>
      <c r="AB353" s="41"/>
      <c r="AC353" s="41"/>
      <c r="AD353" s="41"/>
      <c r="AE353" s="41"/>
      <c r="AF353" s="41"/>
      <c r="AG353" s="41"/>
      <c r="AH353" s="41"/>
      <c r="AI353" s="41"/>
      <c r="AJ353" s="41"/>
      <c r="AK353" s="41"/>
      <c r="AL353" s="41"/>
      <c r="AM353" s="41"/>
      <c r="AN353" s="41"/>
      <c r="AO353" s="41"/>
      <c r="AP353" s="41"/>
      <c r="AQ353" s="41"/>
      <c r="AR353" s="41"/>
      <c r="AS353" s="41"/>
      <c r="AT353" s="41"/>
      <c r="AU353" s="41"/>
      <c r="AV353" s="41"/>
      <c r="AW353" s="41"/>
      <c r="AX353" s="41"/>
      <c r="AY353" s="41"/>
      <c r="AZ353" s="41"/>
      <c r="BA353" s="41"/>
      <c r="BB353" s="41"/>
      <c r="BC353" s="41"/>
      <c r="BD353" s="41"/>
      <c r="BE353" s="41"/>
      <c r="BF353" s="10">
        <f>SUM(Y353:BE353)</f>
        <v>0</v>
      </c>
    </row>
    <row r="354" spans="2:58" ht="22" customHeight="1">
      <c r="B354" s="101"/>
      <c r="C354" s="101"/>
      <c r="D354" s="101"/>
      <c r="E354" s="101"/>
      <c r="F354" s="101"/>
      <c r="G354" s="101"/>
      <c r="H354" s="101"/>
      <c r="I354" s="101"/>
      <c r="J354" s="101"/>
      <c r="K354" s="101"/>
      <c r="L354" s="101"/>
      <c r="M354" s="101"/>
      <c r="N354" s="101"/>
      <c r="O354" s="101"/>
      <c r="P354" s="101"/>
      <c r="Q354" s="101"/>
      <c r="R354" s="101"/>
      <c r="S354" s="101"/>
      <c r="T354" s="39"/>
      <c r="U354" s="39"/>
      <c r="V354" s="39"/>
      <c r="W354" s="39"/>
      <c r="X354" s="42" t="s">
        <v>38</v>
      </c>
      <c r="Y354" s="43">
        <v>9000</v>
      </c>
      <c r="Z354" s="43">
        <v>9000</v>
      </c>
      <c r="AA354" s="43">
        <v>9000</v>
      </c>
      <c r="AB354" s="43">
        <v>9000</v>
      </c>
      <c r="AC354" s="43">
        <v>9000</v>
      </c>
      <c r="AD354" s="43">
        <v>9000</v>
      </c>
      <c r="AE354" s="43">
        <v>9000</v>
      </c>
      <c r="AF354" s="43">
        <v>9000</v>
      </c>
      <c r="AG354" s="43">
        <v>9000</v>
      </c>
      <c r="AH354" s="43">
        <v>9000</v>
      </c>
      <c r="AI354" s="43">
        <v>9000</v>
      </c>
      <c r="AJ354" s="43">
        <v>9000</v>
      </c>
      <c r="AK354" s="43">
        <v>9000</v>
      </c>
      <c r="AL354" s="43">
        <v>9000</v>
      </c>
      <c r="AM354" s="43">
        <v>9000</v>
      </c>
      <c r="AN354" s="43">
        <v>9000</v>
      </c>
      <c r="AO354" s="43">
        <v>9000</v>
      </c>
      <c r="AP354" s="43">
        <v>9000</v>
      </c>
      <c r="AQ354" s="43">
        <v>9000</v>
      </c>
      <c r="AR354" s="43">
        <v>9000</v>
      </c>
      <c r="AS354" s="43">
        <v>9000</v>
      </c>
      <c r="AT354" s="43">
        <v>9000</v>
      </c>
      <c r="AU354" s="43">
        <v>9000</v>
      </c>
      <c r="AV354" s="43">
        <v>9000</v>
      </c>
      <c r="AW354" s="43">
        <v>9000</v>
      </c>
      <c r="AX354" s="43">
        <v>9000</v>
      </c>
      <c r="AY354" s="43">
        <v>9000</v>
      </c>
      <c r="AZ354" s="43">
        <v>9000</v>
      </c>
      <c r="BA354" s="43">
        <v>9000</v>
      </c>
      <c r="BB354" s="43">
        <v>9000</v>
      </c>
      <c r="BC354" s="43">
        <v>9000</v>
      </c>
      <c r="BD354" s="43">
        <v>9000</v>
      </c>
      <c r="BE354" s="43">
        <v>9000</v>
      </c>
      <c r="BF354" s="12">
        <f>SUM(Y354:BE354)</f>
        <v>297000</v>
      </c>
    </row>
    <row r="355" spans="2:58" ht="22" customHeight="1">
      <c r="B355" s="102"/>
      <c r="C355" s="102"/>
      <c r="D355" s="102"/>
      <c r="E355" s="102"/>
      <c r="F355" s="102"/>
      <c r="G355" s="102"/>
      <c r="H355" s="102"/>
      <c r="I355" s="102"/>
      <c r="J355" s="102"/>
      <c r="K355" s="102"/>
      <c r="L355" s="102"/>
      <c r="M355" s="102"/>
      <c r="N355" s="102"/>
      <c r="O355" s="102"/>
      <c r="P355" s="102"/>
      <c r="Q355" s="102"/>
      <c r="R355" s="102"/>
      <c r="S355" s="102"/>
      <c r="T355" s="39"/>
      <c r="U355" s="39"/>
      <c r="V355" s="39"/>
      <c r="W355" s="39"/>
      <c r="X355" s="33" t="s">
        <v>11</v>
      </c>
      <c r="Y355" s="36">
        <f t="shared" ref="Y355:BF355" si="114">Y353-Y352</f>
        <v>0</v>
      </c>
      <c r="Z355" s="36">
        <f t="shared" si="114"/>
        <v>0</v>
      </c>
      <c r="AA355" s="36">
        <f t="shared" si="114"/>
        <v>-2</v>
      </c>
      <c r="AB355" s="36">
        <f t="shared" si="114"/>
        <v>0</v>
      </c>
      <c r="AC355" s="36">
        <f t="shared" si="114"/>
        <v>0</v>
      </c>
      <c r="AD355" s="36">
        <f t="shared" si="114"/>
        <v>0</v>
      </c>
      <c r="AE355" s="36">
        <f t="shared" si="114"/>
        <v>0</v>
      </c>
      <c r="AF355" s="36">
        <f t="shared" si="114"/>
        <v>0</v>
      </c>
      <c r="AG355" s="36">
        <f t="shared" si="114"/>
        <v>0</v>
      </c>
      <c r="AH355" s="36">
        <f t="shared" si="114"/>
        <v>-2</v>
      </c>
      <c r="AI355" s="36">
        <f t="shared" si="114"/>
        <v>0</v>
      </c>
      <c r="AJ355" s="36">
        <f t="shared" si="114"/>
        <v>0</v>
      </c>
      <c r="AK355" s="36">
        <f t="shared" si="114"/>
        <v>0</v>
      </c>
      <c r="AL355" s="36">
        <f t="shared" si="114"/>
        <v>0</v>
      </c>
      <c r="AM355" s="36">
        <f t="shared" si="114"/>
        <v>0</v>
      </c>
      <c r="AN355" s="36">
        <f t="shared" si="114"/>
        <v>0</v>
      </c>
      <c r="AO355" s="36">
        <f t="shared" si="114"/>
        <v>-1</v>
      </c>
      <c r="AP355" s="36">
        <f t="shared" si="114"/>
        <v>0</v>
      </c>
      <c r="AQ355" s="36">
        <f t="shared" si="114"/>
        <v>0</v>
      </c>
      <c r="AR355" s="36">
        <f t="shared" si="114"/>
        <v>0</v>
      </c>
      <c r="AS355" s="36">
        <f t="shared" si="114"/>
        <v>0</v>
      </c>
      <c r="AT355" s="36">
        <f t="shared" si="114"/>
        <v>0</v>
      </c>
      <c r="AU355" s="36">
        <f t="shared" si="114"/>
        <v>0</v>
      </c>
      <c r="AV355" s="36">
        <f t="shared" si="114"/>
        <v>-1</v>
      </c>
      <c r="AW355" s="36">
        <f t="shared" si="114"/>
        <v>-1</v>
      </c>
      <c r="AX355" s="36">
        <f t="shared" si="114"/>
        <v>0</v>
      </c>
      <c r="AY355" s="36">
        <f t="shared" si="114"/>
        <v>0</v>
      </c>
      <c r="AZ355" s="36">
        <f t="shared" si="114"/>
        <v>0</v>
      </c>
      <c r="BA355" s="36">
        <f t="shared" si="114"/>
        <v>0</v>
      </c>
      <c r="BB355" s="36">
        <f t="shared" si="114"/>
        <v>-1</v>
      </c>
      <c r="BC355" s="36">
        <f t="shared" si="114"/>
        <v>-1</v>
      </c>
      <c r="BD355" s="36">
        <f t="shared" si="114"/>
        <v>0</v>
      </c>
      <c r="BE355" s="36">
        <f t="shared" si="114"/>
        <v>0</v>
      </c>
      <c r="BF355" s="10">
        <f t="shared" si="114"/>
        <v>-9</v>
      </c>
    </row>
    <row r="356" spans="2:58" ht="22" customHeight="1">
      <c r="B356" s="104">
        <v>95</v>
      </c>
      <c r="C356" s="118" t="s">
        <v>102</v>
      </c>
      <c r="D356" s="105" t="s">
        <v>198</v>
      </c>
      <c r="E356" s="115"/>
      <c r="F356" s="119"/>
      <c r="G356" s="114">
        <f>SUM(Y356:AZ356)</f>
        <v>9</v>
      </c>
      <c r="H356" s="114">
        <f>SUM(Y357:AZ357)</f>
        <v>0</v>
      </c>
      <c r="I356" s="100"/>
      <c r="J356" s="116">
        <f>IFERROR(H356/G356,0)</f>
        <v>0</v>
      </c>
      <c r="K356" s="113">
        <v>0.1</v>
      </c>
      <c r="L356" s="113">
        <v>0.1</v>
      </c>
      <c r="M356" s="100"/>
      <c r="N356" s="100"/>
      <c r="O356" s="100"/>
      <c r="P356" s="100"/>
      <c r="Q356" s="100"/>
      <c r="R356" s="100"/>
      <c r="S356" s="115" t="s">
        <v>47</v>
      </c>
      <c r="T356" s="9"/>
      <c r="U356" s="9"/>
      <c r="V356" s="9"/>
      <c r="W356" s="9"/>
      <c r="X356" s="7" t="s">
        <v>31</v>
      </c>
      <c r="Y356" s="29">
        <v>0</v>
      </c>
      <c r="Z356" s="29">
        <v>1</v>
      </c>
      <c r="AA356" s="29">
        <v>1</v>
      </c>
      <c r="AB356" s="29">
        <v>0</v>
      </c>
      <c r="AC356" s="29">
        <v>0</v>
      </c>
      <c r="AD356" s="29">
        <v>0</v>
      </c>
      <c r="AE356" s="29">
        <v>0</v>
      </c>
      <c r="AF356" s="29">
        <v>0</v>
      </c>
      <c r="AG356" s="29">
        <v>1</v>
      </c>
      <c r="AH356" s="29">
        <v>1</v>
      </c>
      <c r="AI356" s="29">
        <v>0</v>
      </c>
      <c r="AJ356" s="29">
        <v>0</v>
      </c>
      <c r="AK356" s="29">
        <v>0</v>
      </c>
      <c r="AL356" s="29">
        <v>0</v>
      </c>
      <c r="AM356" s="29">
        <v>0</v>
      </c>
      <c r="AN356" s="29">
        <v>1</v>
      </c>
      <c r="AO356" s="29">
        <v>1</v>
      </c>
      <c r="AP356" s="29">
        <v>0</v>
      </c>
      <c r="AQ356" s="29">
        <v>0</v>
      </c>
      <c r="AR356" s="29">
        <v>0</v>
      </c>
      <c r="AS356" s="29">
        <v>0</v>
      </c>
      <c r="AT356" s="29">
        <v>0</v>
      </c>
      <c r="AU356" s="29">
        <v>1</v>
      </c>
      <c r="AV356" s="29">
        <v>1</v>
      </c>
      <c r="AW356" s="29">
        <v>1</v>
      </c>
      <c r="AX356" s="29">
        <v>0</v>
      </c>
      <c r="AY356" s="29">
        <v>0</v>
      </c>
      <c r="AZ356" s="29">
        <v>0</v>
      </c>
      <c r="BA356" s="29">
        <v>0</v>
      </c>
      <c r="BB356" s="29">
        <v>1</v>
      </c>
      <c r="BC356" s="29">
        <v>1</v>
      </c>
      <c r="BD356" s="29">
        <v>0</v>
      </c>
      <c r="BE356" s="29">
        <v>0</v>
      </c>
      <c r="BF356" s="10">
        <f>SUM(Y356:BE356)</f>
        <v>11</v>
      </c>
    </row>
    <row r="357" spans="2:58" ht="22" customHeight="1">
      <c r="B357" s="101"/>
      <c r="C357" s="101"/>
      <c r="D357" s="101"/>
      <c r="E357" s="101"/>
      <c r="F357" s="101"/>
      <c r="G357" s="101"/>
      <c r="H357" s="101"/>
      <c r="I357" s="101"/>
      <c r="J357" s="101"/>
      <c r="K357" s="101"/>
      <c r="L357" s="101"/>
      <c r="M357" s="101"/>
      <c r="N357" s="101"/>
      <c r="O357" s="101"/>
      <c r="P357" s="101"/>
      <c r="Q357" s="101"/>
      <c r="R357" s="101"/>
      <c r="S357" s="101"/>
      <c r="T357" s="9"/>
      <c r="U357" s="9"/>
      <c r="V357" s="9"/>
      <c r="W357" s="9"/>
      <c r="X357" s="7" t="s">
        <v>10</v>
      </c>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0">
        <f>SUM(Y357:BE357)</f>
        <v>0</v>
      </c>
    </row>
    <row r="358" spans="2:58" ht="22" customHeight="1">
      <c r="B358" s="102"/>
      <c r="C358" s="102"/>
      <c r="D358" s="102"/>
      <c r="E358" s="102"/>
      <c r="F358" s="102"/>
      <c r="G358" s="102"/>
      <c r="H358" s="102"/>
      <c r="I358" s="102"/>
      <c r="J358" s="102"/>
      <c r="K358" s="102"/>
      <c r="L358" s="102"/>
      <c r="M358" s="102"/>
      <c r="N358" s="102"/>
      <c r="O358" s="102"/>
      <c r="P358" s="102"/>
      <c r="Q358" s="102"/>
      <c r="R358" s="102"/>
      <c r="S358" s="102"/>
      <c r="T358" s="9"/>
      <c r="U358" s="9"/>
      <c r="V358" s="9"/>
      <c r="W358" s="9"/>
      <c r="X358" s="7" t="s">
        <v>11</v>
      </c>
      <c r="Y358" s="3">
        <f t="shared" ref="Y358:BF358" si="115">Y357-Y356</f>
        <v>0</v>
      </c>
      <c r="Z358" s="3">
        <f t="shared" si="115"/>
        <v>-1</v>
      </c>
      <c r="AA358" s="3">
        <f t="shared" si="115"/>
        <v>-1</v>
      </c>
      <c r="AB358" s="3">
        <f t="shared" si="115"/>
        <v>0</v>
      </c>
      <c r="AC358" s="3">
        <f t="shared" si="115"/>
        <v>0</v>
      </c>
      <c r="AD358" s="3">
        <f t="shared" si="115"/>
        <v>0</v>
      </c>
      <c r="AE358" s="3">
        <f t="shared" si="115"/>
        <v>0</v>
      </c>
      <c r="AF358" s="3">
        <f t="shared" si="115"/>
        <v>0</v>
      </c>
      <c r="AG358" s="3">
        <f t="shared" si="115"/>
        <v>-1</v>
      </c>
      <c r="AH358" s="3">
        <f t="shared" si="115"/>
        <v>-1</v>
      </c>
      <c r="AI358" s="3">
        <f t="shared" si="115"/>
        <v>0</v>
      </c>
      <c r="AJ358" s="3">
        <f t="shared" si="115"/>
        <v>0</v>
      </c>
      <c r="AK358" s="3">
        <f t="shared" si="115"/>
        <v>0</v>
      </c>
      <c r="AL358" s="3">
        <f t="shared" si="115"/>
        <v>0</v>
      </c>
      <c r="AM358" s="3">
        <f t="shared" si="115"/>
        <v>0</v>
      </c>
      <c r="AN358" s="3">
        <f t="shared" si="115"/>
        <v>-1</v>
      </c>
      <c r="AO358" s="3">
        <f t="shared" si="115"/>
        <v>-1</v>
      </c>
      <c r="AP358" s="3">
        <f t="shared" si="115"/>
        <v>0</v>
      </c>
      <c r="AQ358" s="3">
        <f t="shared" si="115"/>
        <v>0</v>
      </c>
      <c r="AR358" s="3">
        <f t="shared" si="115"/>
        <v>0</v>
      </c>
      <c r="AS358" s="3">
        <f t="shared" si="115"/>
        <v>0</v>
      </c>
      <c r="AT358" s="3">
        <f t="shared" si="115"/>
        <v>0</v>
      </c>
      <c r="AU358" s="3">
        <f t="shared" si="115"/>
        <v>-1</v>
      </c>
      <c r="AV358" s="3">
        <f t="shared" si="115"/>
        <v>-1</v>
      </c>
      <c r="AW358" s="3">
        <f t="shared" si="115"/>
        <v>-1</v>
      </c>
      <c r="AX358" s="3">
        <f t="shared" si="115"/>
        <v>0</v>
      </c>
      <c r="AY358" s="3">
        <f t="shared" si="115"/>
        <v>0</v>
      </c>
      <c r="AZ358" s="3">
        <f t="shared" si="115"/>
        <v>0</v>
      </c>
      <c r="BA358" s="3">
        <f t="shared" si="115"/>
        <v>0</v>
      </c>
      <c r="BB358" s="3">
        <f t="shared" si="115"/>
        <v>-1</v>
      </c>
      <c r="BC358" s="3">
        <f t="shared" si="115"/>
        <v>-1</v>
      </c>
      <c r="BD358" s="3">
        <f t="shared" si="115"/>
        <v>0</v>
      </c>
      <c r="BE358" s="3">
        <f t="shared" si="115"/>
        <v>0</v>
      </c>
      <c r="BF358" s="10">
        <f t="shared" si="115"/>
        <v>-11</v>
      </c>
    </row>
    <row r="359" spans="2:58" ht="22" customHeight="1">
      <c r="B359" s="107">
        <v>96</v>
      </c>
      <c r="C359" s="117" t="s">
        <v>50</v>
      </c>
      <c r="D359" s="108" t="s">
        <v>199</v>
      </c>
      <c r="E359" s="103"/>
      <c r="F359" s="109"/>
      <c r="G359" s="106">
        <f>SUM(Y359:AZ359)</f>
        <v>2</v>
      </c>
      <c r="H359" s="106">
        <f>SUM(Y360:AZ360)</f>
        <v>0</v>
      </c>
      <c r="I359" s="111"/>
      <c r="J359" s="112">
        <f>IFERROR(H359/G359,0)</f>
        <v>0</v>
      </c>
      <c r="K359" s="110">
        <v>0.1</v>
      </c>
      <c r="L359" s="110">
        <v>0.1</v>
      </c>
      <c r="M359" s="111"/>
      <c r="N359" s="111"/>
      <c r="O359" s="111"/>
      <c r="P359" s="111"/>
      <c r="Q359" s="111"/>
      <c r="R359" s="111"/>
      <c r="S359" s="103" t="s">
        <v>37</v>
      </c>
      <c r="T359" s="39"/>
      <c r="U359" s="39"/>
      <c r="V359" s="39"/>
      <c r="W359" s="39"/>
      <c r="X359" s="33" t="s">
        <v>31</v>
      </c>
      <c r="Y359" s="40">
        <v>0</v>
      </c>
      <c r="Z359" s="40">
        <v>0</v>
      </c>
      <c r="AA359" s="40">
        <v>0</v>
      </c>
      <c r="AB359" s="40">
        <v>0</v>
      </c>
      <c r="AC359" s="40">
        <v>0</v>
      </c>
      <c r="AD359" s="40">
        <v>0</v>
      </c>
      <c r="AE359" s="40">
        <v>0</v>
      </c>
      <c r="AF359" s="40">
        <v>0</v>
      </c>
      <c r="AG359" s="40">
        <v>0</v>
      </c>
      <c r="AH359" s="40">
        <v>0</v>
      </c>
      <c r="AI359" s="40">
        <v>0</v>
      </c>
      <c r="AJ359" s="40">
        <v>0</v>
      </c>
      <c r="AK359" s="40">
        <v>0</v>
      </c>
      <c r="AL359" s="40">
        <v>0</v>
      </c>
      <c r="AM359" s="40">
        <v>0</v>
      </c>
      <c r="AN359" s="40">
        <v>0</v>
      </c>
      <c r="AO359" s="40">
        <v>1</v>
      </c>
      <c r="AP359" s="40">
        <v>0</v>
      </c>
      <c r="AQ359" s="40">
        <v>0</v>
      </c>
      <c r="AR359" s="40">
        <v>0</v>
      </c>
      <c r="AS359" s="40">
        <v>0</v>
      </c>
      <c r="AT359" s="40">
        <v>0</v>
      </c>
      <c r="AU359" s="40">
        <v>0</v>
      </c>
      <c r="AV359" s="40">
        <v>0</v>
      </c>
      <c r="AW359" s="40">
        <v>1</v>
      </c>
      <c r="AX359" s="40">
        <v>0</v>
      </c>
      <c r="AY359" s="40">
        <v>0</v>
      </c>
      <c r="AZ359" s="40">
        <v>0</v>
      </c>
      <c r="BA359" s="40">
        <v>0</v>
      </c>
      <c r="BB359" s="40">
        <v>0</v>
      </c>
      <c r="BC359" s="40">
        <v>1</v>
      </c>
      <c r="BD359" s="40">
        <v>0</v>
      </c>
      <c r="BE359" s="40">
        <v>0</v>
      </c>
      <c r="BF359" s="10">
        <f>SUM(Y359:BE359)</f>
        <v>3</v>
      </c>
    </row>
    <row r="360" spans="2:58" ht="22" customHeight="1">
      <c r="B360" s="101"/>
      <c r="C360" s="101"/>
      <c r="D360" s="101"/>
      <c r="E360" s="101"/>
      <c r="F360" s="101"/>
      <c r="G360" s="101"/>
      <c r="H360" s="101"/>
      <c r="I360" s="101"/>
      <c r="J360" s="101"/>
      <c r="K360" s="101"/>
      <c r="L360" s="101"/>
      <c r="M360" s="101"/>
      <c r="N360" s="101"/>
      <c r="O360" s="101"/>
      <c r="P360" s="101"/>
      <c r="Q360" s="101"/>
      <c r="R360" s="101"/>
      <c r="S360" s="101"/>
      <c r="T360" s="39"/>
      <c r="U360" s="39"/>
      <c r="V360" s="39"/>
      <c r="W360" s="39"/>
      <c r="X360" s="33" t="s">
        <v>10</v>
      </c>
      <c r="Y360" s="41"/>
      <c r="Z360" s="41"/>
      <c r="AA360" s="41"/>
      <c r="AB360" s="41"/>
      <c r="AC360" s="41"/>
      <c r="AD360" s="41"/>
      <c r="AE360" s="41"/>
      <c r="AF360" s="41"/>
      <c r="AG360" s="41"/>
      <c r="AH360" s="41"/>
      <c r="AI360" s="41"/>
      <c r="AJ360" s="41"/>
      <c r="AK360" s="41"/>
      <c r="AL360" s="41"/>
      <c r="AM360" s="41"/>
      <c r="AN360" s="41"/>
      <c r="AO360" s="41"/>
      <c r="AP360" s="41"/>
      <c r="AQ360" s="41"/>
      <c r="AR360" s="41"/>
      <c r="AS360" s="41"/>
      <c r="AT360" s="41"/>
      <c r="AU360" s="41"/>
      <c r="AV360" s="41"/>
      <c r="AW360" s="41"/>
      <c r="AX360" s="41"/>
      <c r="AY360" s="41"/>
      <c r="AZ360" s="41"/>
      <c r="BA360" s="41"/>
      <c r="BB360" s="41"/>
      <c r="BC360" s="41"/>
      <c r="BD360" s="41"/>
      <c r="BE360" s="41"/>
      <c r="BF360" s="10">
        <f>SUM(Y360:BE360)</f>
        <v>0</v>
      </c>
    </row>
    <row r="361" spans="2:58" ht="22" customHeight="1">
      <c r="B361" s="101"/>
      <c r="C361" s="101"/>
      <c r="D361" s="101"/>
      <c r="E361" s="101"/>
      <c r="F361" s="101"/>
      <c r="G361" s="101"/>
      <c r="H361" s="101"/>
      <c r="I361" s="101"/>
      <c r="J361" s="101"/>
      <c r="K361" s="101"/>
      <c r="L361" s="101"/>
      <c r="M361" s="101"/>
      <c r="N361" s="101"/>
      <c r="O361" s="101"/>
      <c r="P361" s="101"/>
      <c r="Q361" s="101"/>
      <c r="R361" s="101"/>
      <c r="S361" s="101"/>
      <c r="T361" s="39"/>
      <c r="U361" s="39"/>
      <c r="V361" s="39"/>
      <c r="W361" s="39"/>
      <c r="X361" s="42" t="s">
        <v>38</v>
      </c>
      <c r="Y361" s="43">
        <v>9000</v>
      </c>
      <c r="Z361" s="43">
        <v>9000</v>
      </c>
      <c r="AA361" s="43">
        <v>9000</v>
      </c>
      <c r="AB361" s="43">
        <v>9000</v>
      </c>
      <c r="AC361" s="43">
        <v>9000</v>
      </c>
      <c r="AD361" s="43">
        <v>9000</v>
      </c>
      <c r="AE361" s="43">
        <v>9000</v>
      </c>
      <c r="AF361" s="43">
        <v>9000</v>
      </c>
      <c r="AG361" s="43">
        <v>9000</v>
      </c>
      <c r="AH361" s="43">
        <v>9000</v>
      </c>
      <c r="AI361" s="43">
        <v>9000</v>
      </c>
      <c r="AJ361" s="43">
        <v>9000</v>
      </c>
      <c r="AK361" s="43">
        <v>9000</v>
      </c>
      <c r="AL361" s="43">
        <v>9000</v>
      </c>
      <c r="AM361" s="43">
        <v>9000</v>
      </c>
      <c r="AN361" s="43">
        <v>9000</v>
      </c>
      <c r="AO361" s="43">
        <v>9000</v>
      </c>
      <c r="AP361" s="43">
        <v>9000</v>
      </c>
      <c r="AQ361" s="43">
        <v>9000</v>
      </c>
      <c r="AR361" s="43">
        <v>9000</v>
      </c>
      <c r="AS361" s="43">
        <v>9000</v>
      </c>
      <c r="AT361" s="43">
        <v>9000</v>
      </c>
      <c r="AU361" s="43">
        <v>9000</v>
      </c>
      <c r="AV361" s="43">
        <v>9000</v>
      </c>
      <c r="AW361" s="43">
        <v>9000</v>
      </c>
      <c r="AX361" s="43">
        <v>9000</v>
      </c>
      <c r="AY361" s="43">
        <v>9000</v>
      </c>
      <c r="AZ361" s="43">
        <v>9000</v>
      </c>
      <c r="BA361" s="43">
        <v>9000</v>
      </c>
      <c r="BB361" s="43">
        <v>9000</v>
      </c>
      <c r="BC361" s="43">
        <v>9000</v>
      </c>
      <c r="BD361" s="43">
        <v>9000</v>
      </c>
      <c r="BE361" s="43">
        <v>9000</v>
      </c>
      <c r="BF361" s="12">
        <f>SUM(Y361:BE361)</f>
        <v>297000</v>
      </c>
    </row>
    <row r="362" spans="2:58" ht="22" customHeight="1">
      <c r="B362" s="102"/>
      <c r="C362" s="102"/>
      <c r="D362" s="102"/>
      <c r="E362" s="102"/>
      <c r="F362" s="102"/>
      <c r="G362" s="102"/>
      <c r="H362" s="102"/>
      <c r="I362" s="102"/>
      <c r="J362" s="102"/>
      <c r="K362" s="102"/>
      <c r="L362" s="102"/>
      <c r="M362" s="102"/>
      <c r="N362" s="102"/>
      <c r="O362" s="102"/>
      <c r="P362" s="102"/>
      <c r="Q362" s="102"/>
      <c r="R362" s="102"/>
      <c r="S362" s="102"/>
      <c r="T362" s="39"/>
      <c r="U362" s="39"/>
      <c r="V362" s="39"/>
      <c r="W362" s="39"/>
      <c r="X362" s="33" t="s">
        <v>11</v>
      </c>
      <c r="Y362" s="36">
        <f t="shared" ref="Y362:BF362" si="116">Y360-Y359</f>
        <v>0</v>
      </c>
      <c r="Z362" s="36">
        <f t="shared" si="116"/>
        <v>0</v>
      </c>
      <c r="AA362" s="36">
        <f t="shared" si="116"/>
        <v>0</v>
      </c>
      <c r="AB362" s="36">
        <f t="shared" si="116"/>
        <v>0</v>
      </c>
      <c r="AC362" s="36">
        <f t="shared" si="116"/>
        <v>0</v>
      </c>
      <c r="AD362" s="36">
        <f t="shared" si="116"/>
        <v>0</v>
      </c>
      <c r="AE362" s="36">
        <f t="shared" si="116"/>
        <v>0</v>
      </c>
      <c r="AF362" s="36">
        <f t="shared" si="116"/>
        <v>0</v>
      </c>
      <c r="AG362" s="36">
        <f t="shared" si="116"/>
        <v>0</v>
      </c>
      <c r="AH362" s="36">
        <f t="shared" si="116"/>
        <v>0</v>
      </c>
      <c r="AI362" s="36">
        <f t="shared" si="116"/>
        <v>0</v>
      </c>
      <c r="AJ362" s="36">
        <f t="shared" si="116"/>
        <v>0</v>
      </c>
      <c r="AK362" s="36">
        <f t="shared" si="116"/>
        <v>0</v>
      </c>
      <c r="AL362" s="36">
        <f t="shared" si="116"/>
        <v>0</v>
      </c>
      <c r="AM362" s="36">
        <f t="shared" si="116"/>
        <v>0</v>
      </c>
      <c r="AN362" s="36">
        <f t="shared" si="116"/>
        <v>0</v>
      </c>
      <c r="AO362" s="36">
        <f t="shared" si="116"/>
        <v>-1</v>
      </c>
      <c r="AP362" s="36">
        <f t="shared" si="116"/>
        <v>0</v>
      </c>
      <c r="AQ362" s="36">
        <f t="shared" si="116"/>
        <v>0</v>
      </c>
      <c r="AR362" s="36">
        <f t="shared" si="116"/>
        <v>0</v>
      </c>
      <c r="AS362" s="36">
        <f t="shared" si="116"/>
        <v>0</v>
      </c>
      <c r="AT362" s="36">
        <f t="shared" si="116"/>
        <v>0</v>
      </c>
      <c r="AU362" s="36">
        <f t="shared" si="116"/>
        <v>0</v>
      </c>
      <c r="AV362" s="36">
        <f t="shared" si="116"/>
        <v>0</v>
      </c>
      <c r="AW362" s="36">
        <f t="shared" si="116"/>
        <v>-1</v>
      </c>
      <c r="AX362" s="36">
        <f t="shared" si="116"/>
        <v>0</v>
      </c>
      <c r="AY362" s="36">
        <f t="shared" si="116"/>
        <v>0</v>
      </c>
      <c r="AZ362" s="36">
        <f t="shared" si="116"/>
        <v>0</v>
      </c>
      <c r="BA362" s="36">
        <f t="shared" si="116"/>
        <v>0</v>
      </c>
      <c r="BB362" s="36">
        <f t="shared" si="116"/>
        <v>0</v>
      </c>
      <c r="BC362" s="36">
        <f t="shared" si="116"/>
        <v>-1</v>
      </c>
      <c r="BD362" s="36">
        <f t="shared" si="116"/>
        <v>0</v>
      </c>
      <c r="BE362" s="36">
        <f t="shared" si="116"/>
        <v>0</v>
      </c>
      <c r="BF362" s="10">
        <f t="shared" si="116"/>
        <v>-3</v>
      </c>
    </row>
    <row r="363" spans="2:58" ht="22" customHeight="1"/>
    <row r="364" spans="2:58" ht="22" customHeight="1">
      <c r="B364" s="9"/>
      <c r="C364" s="9"/>
      <c r="D364" s="105" t="s">
        <v>200</v>
      </c>
      <c r="E364" s="9"/>
      <c r="F364" s="9"/>
      <c r="G364" s="3">
        <f>SUM(Y364:AZ364)</f>
        <v>4033</v>
      </c>
      <c r="H364" s="9"/>
      <c r="I364" s="9"/>
      <c r="J364" s="9"/>
      <c r="K364" s="9"/>
      <c r="L364" s="9"/>
      <c r="M364" s="9"/>
      <c r="N364" s="9"/>
      <c r="O364" s="9"/>
      <c r="P364" s="9"/>
      <c r="Q364" s="9"/>
      <c r="R364" s="9"/>
      <c r="S364" s="9"/>
      <c r="T364" s="9"/>
      <c r="U364" s="9"/>
      <c r="V364" s="9"/>
      <c r="W364" s="9"/>
      <c r="X364" s="7" t="s">
        <v>31</v>
      </c>
      <c r="Y364" s="3">
        <f t="shared" ref="Y364:BD365" si="117">SUM(Y37,Y48,Y63,Y78,Y81,Y84,Y87,Y98,Y109,Y112,Y115,Y118,Y129,Y136,Y139,Y142,Y145,Y148,Y151,Y154,Y157,Y168,Y171,Y174,Y177,Y188,Y195,Y198,Y201,Y204,Y207,Y218,Y221,Y224,Y227,Y230,Y241,Y244,Y259,Y298,Y317,Y356)</f>
        <v>193</v>
      </c>
      <c r="Z364" s="3">
        <f t="shared" si="117"/>
        <v>214</v>
      </c>
      <c r="AA364" s="3">
        <f t="shared" si="117"/>
        <v>232</v>
      </c>
      <c r="AB364" s="3">
        <f t="shared" si="117"/>
        <v>210</v>
      </c>
      <c r="AC364" s="3">
        <f t="shared" si="117"/>
        <v>239</v>
      </c>
      <c r="AD364" s="3">
        <f t="shared" si="117"/>
        <v>218</v>
      </c>
      <c r="AE364" s="3">
        <f t="shared" si="117"/>
        <v>207</v>
      </c>
      <c r="AF364" s="3">
        <f t="shared" si="117"/>
        <v>218</v>
      </c>
      <c r="AG364" s="3">
        <f t="shared" si="117"/>
        <v>225</v>
      </c>
      <c r="AH364" s="3">
        <f t="shared" si="117"/>
        <v>227</v>
      </c>
      <c r="AI364" s="3">
        <f t="shared" si="117"/>
        <v>182</v>
      </c>
      <c r="AJ364" s="3">
        <f t="shared" si="117"/>
        <v>101</v>
      </c>
      <c r="AK364" s="3">
        <f t="shared" si="117"/>
        <v>101</v>
      </c>
      <c r="AL364" s="3">
        <f t="shared" si="117"/>
        <v>101</v>
      </c>
      <c r="AM364" s="3">
        <f t="shared" si="117"/>
        <v>101</v>
      </c>
      <c r="AN364" s="3">
        <f t="shared" si="117"/>
        <v>110</v>
      </c>
      <c r="AO364" s="3">
        <f t="shared" si="117"/>
        <v>108</v>
      </c>
      <c r="AP364" s="3">
        <f t="shared" si="117"/>
        <v>96</v>
      </c>
      <c r="AQ364" s="3">
        <f t="shared" si="117"/>
        <v>99</v>
      </c>
      <c r="AR364" s="3">
        <f t="shared" si="117"/>
        <v>96</v>
      </c>
      <c r="AS364" s="3">
        <f t="shared" si="117"/>
        <v>94</v>
      </c>
      <c r="AT364" s="3">
        <f t="shared" si="117"/>
        <v>91</v>
      </c>
      <c r="AU364" s="3">
        <f t="shared" si="117"/>
        <v>98</v>
      </c>
      <c r="AV364" s="3">
        <f t="shared" si="117"/>
        <v>96</v>
      </c>
      <c r="AW364" s="3">
        <f t="shared" si="117"/>
        <v>95</v>
      </c>
      <c r="AX364" s="3">
        <f t="shared" si="117"/>
        <v>95</v>
      </c>
      <c r="AY364" s="3">
        <f t="shared" si="117"/>
        <v>93</v>
      </c>
      <c r="AZ364" s="3">
        <f t="shared" si="117"/>
        <v>93</v>
      </c>
      <c r="BA364" s="3">
        <f t="shared" si="117"/>
        <v>93</v>
      </c>
      <c r="BB364" s="3">
        <f t="shared" si="117"/>
        <v>105</v>
      </c>
      <c r="BC364" s="3">
        <f t="shared" si="117"/>
        <v>111</v>
      </c>
      <c r="BD364" s="3">
        <f t="shared" si="117"/>
        <v>92</v>
      </c>
      <c r="BE364" s="3">
        <f t="shared" ref="BE364:BE365" si="118">SUM(BE37,BE48,BE63,BE78,BE81,BE84,BE87,BE98,BE109,BE112,BE115,BE118,BE129,BE136,BE139,BE142,BE145,BE148,BE151,BE154,BE157,BE168,BE171,BE174,BE177,BE188,BE195,BE198,BE201,BE204,BE207,BE218,BE221,BE224,BE227,BE230,BE241,BE244,BE259,BE298,BE317,BE356)</f>
        <v>92</v>
      </c>
      <c r="BF364" s="10">
        <f>SUM(Y364:BE364)</f>
        <v>4526</v>
      </c>
    </row>
    <row r="365" spans="2:58" ht="22" customHeight="1">
      <c r="B365" s="9"/>
      <c r="C365" s="9"/>
      <c r="D365" s="122"/>
      <c r="E365" s="9"/>
      <c r="F365" s="9"/>
      <c r="G365" s="9"/>
      <c r="H365" s="3">
        <f>SUM(Y365:AZ365)</f>
        <v>0</v>
      </c>
      <c r="I365" s="9"/>
      <c r="J365" s="9"/>
      <c r="K365" s="9"/>
      <c r="L365" s="9"/>
      <c r="M365" s="9"/>
      <c r="N365" s="9"/>
      <c r="O365" s="9"/>
      <c r="P365" s="9"/>
      <c r="Q365" s="9"/>
      <c r="R365" s="9"/>
      <c r="S365" s="9"/>
      <c r="T365" s="9"/>
      <c r="U365" s="9"/>
      <c r="V365" s="9"/>
      <c r="W365" s="9"/>
      <c r="X365" s="7" t="s">
        <v>10</v>
      </c>
      <c r="Y365" s="3">
        <f t="shared" ref="Y365:AI365" si="119">SUM(Y38,Y49,Y64,Y79,Y82,Y85,Y88,Y99,Y110,Y113,Y116,Y119,Y130,Y137,Y140,Y143,Y146,Y149,Y152,Y155,Y158,Y169,Y172,Y175,Y178,Y189,Y196,Y199,Y202,Y205,Y208,Y219,Y222,Y225,Y228,Y231,Y242,Y245,Y260,Y299,Y318,Y357)</f>
        <v>0</v>
      </c>
      <c r="Z365" s="3">
        <f t="shared" si="119"/>
        <v>0</v>
      </c>
      <c r="AA365" s="3">
        <f t="shared" si="119"/>
        <v>0</v>
      </c>
      <c r="AB365" s="3">
        <f t="shared" si="119"/>
        <v>0</v>
      </c>
      <c r="AC365" s="3">
        <f t="shared" si="119"/>
        <v>0</v>
      </c>
      <c r="AD365" s="3">
        <f t="shared" si="119"/>
        <v>0</v>
      </c>
      <c r="AE365" s="3">
        <f t="shared" si="119"/>
        <v>0</v>
      </c>
      <c r="AF365" s="3">
        <f t="shared" si="119"/>
        <v>0</v>
      </c>
      <c r="AG365" s="3">
        <f t="shared" si="119"/>
        <v>0</v>
      </c>
      <c r="AH365" s="3">
        <f t="shared" si="119"/>
        <v>0</v>
      </c>
      <c r="AI365" s="3">
        <f t="shared" si="119"/>
        <v>0</v>
      </c>
      <c r="AJ365" s="3">
        <f t="shared" si="117"/>
        <v>0</v>
      </c>
      <c r="AK365" s="3">
        <f t="shared" si="117"/>
        <v>0</v>
      </c>
      <c r="AL365" s="3">
        <f t="shared" si="117"/>
        <v>0</v>
      </c>
      <c r="AM365" s="3">
        <f t="shared" si="117"/>
        <v>0</v>
      </c>
      <c r="AN365" s="3">
        <f t="shared" si="117"/>
        <v>0</v>
      </c>
      <c r="AO365" s="3">
        <f t="shared" si="117"/>
        <v>0</v>
      </c>
      <c r="AP365" s="3">
        <f t="shared" si="117"/>
        <v>0</v>
      </c>
      <c r="AQ365" s="3">
        <f t="shared" si="117"/>
        <v>0</v>
      </c>
      <c r="AR365" s="3">
        <f t="shared" si="117"/>
        <v>0</v>
      </c>
      <c r="AS365" s="3">
        <f t="shared" si="117"/>
        <v>0</v>
      </c>
      <c r="AT365" s="3">
        <f t="shared" si="117"/>
        <v>0</v>
      </c>
      <c r="AU365" s="3">
        <f t="shared" si="117"/>
        <v>0</v>
      </c>
      <c r="AV365" s="3">
        <f t="shared" si="117"/>
        <v>0</v>
      </c>
      <c r="AW365" s="3">
        <f t="shared" si="117"/>
        <v>0</v>
      </c>
      <c r="AX365" s="3">
        <f t="shared" si="117"/>
        <v>0</v>
      </c>
      <c r="AY365" s="3">
        <f t="shared" si="117"/>
        <v>0</v>
      </c>
      <c r="AZ365" s="3">
        <f t="shared" si="117"/>
        <v>0</v>
      </c>
      <c r="BA365" s="3">
        <f t="shared" si="117"/>
        <v>0</v>
      </c>
      <c r="BB365" s="3">
        <f t="shared" si="117"/>
        <v>0</v>
      </c>
      <c r="BC365" s="3">
        <f t="shared" si="117"/>
        <v>0</v>
      </c>
      <c r="BD365" s="3">
        <f t="shared" si="117"/>
        <v>0</v>
      </c>
      <c r="BE365" s="3">
        <f t="shared" si="118"/>
        <v>0</v>
      </c>
      <c r="BF365" s="10">
        <f>SUM(Y365:BE365)</f>
        <v>0</v>
      </c>
    </row>
    <row r="366" spans="2:58" ht="22" customHeight="1">
      <c r="B366" s="9"/>
      <c r="C366" s="9"/>
      <c r="D366" s="122"/>
      <c r="E366" s="9"/>
      <c r="F366" s="9"/>
      <c r="G366" s="9"/>
      <c r="H366" s="9"/>
      <c r="I366" s="9"/>
      <c r="J366" s="9"/>
      <c r="K366" s="9"/>
      <c r="L366" s="9"/>
      <c r="M366" s="9"/>
      <c r="N366" s="9"/>
      <c r="O366" s="9"/>
      <c r="P366" s="9"/>
      <c r="Q366" s="9"/>
      <c r="R366" s="9"/>
      <c r="S366" s="9"/>
      <c r="T366" s="9"/>
      <c r="U366" s="9"/>
      <c r="V366" s="9"/>
      <c r="W366" s="9"/>
      <c r="X366" s="7" t="s">
        <v>11</v>
      </c>
      <c r="Y366" s="3">
        <f t="shared" ref="Y366:BF366" si="120">Y365-Y364</f>
        <v>-193</v>
      </c>
      <c r="Z366" s="3">
        <f t="shared" si="120"/>
        <v>-214</v>
      </c>
      <c r="AA366" s="3">
        <f t="shared" si="120"/>
        <v>-232</v>
      </c>
      <c r="AB366" s="3">
        <f t="shared" si="120"/>
        <v>-210</v>
      </c>
      <c r="AC366" s="3">
        <f t="shared" si="120"/>
        <v>-239</v>
      </c>
      <c r="AD366" s="3">
        <f t="shared" si="120"/>
        <v>-218</v>
      </c>
      <c r="AE366" s="3">
        <f t="shared" si="120"/>
        <v>-207</v>
      </c>
      <c r="AF366" s="3">
        <f t="shared" si="120"/>
        <v>-218</v>
      </c>
      <c r="AG366" s="3">
        <f t="shared" si="120"/>
        <v>-225</v>
      </c>
      <c r="AH366" s="3">
        <f t="shared" si="120"/>
        <v>-227</v>
      </c>
      <c r="AI366" s="3">
        <f t="shared" si="120"/>
        <v>-182</v>
      </c>
      <c r="AJ366" s="3">
        <f t="shared" si="120"/>
        <v>-101</v>
      </c>
      <c r="AK366" s="3">
        <f t="shared" si="120"/>
        <v>-101</v>
      </c>
      <c r="AL366" s="3">
        <f t="shared" si="120"/>
        <v>-101</v>
      </c>
      <c r="AM366" s="3">
        <f t="shared" si="120"/>
        <v>-101</v>
      </c>
      <c r="AN366" s="3">
        <f t="shared" si="120"/>
        <v>-110</v>
      </c>
      <c r="AO366" s="3">
        <f t="shared" si="120"/>
        <v>-108</v>
      </c>
      <c r="AP366" s="3">
        <f t="shared" si="120"/>
        <v>-96</v>
      </c>
      <c r="AQ366" s="3">
        <f t="shared" si="120"/>
        <v>-99</v>
      </c>
      <c r="AR366" s="3">
        <f t="shared" si="120"/>
        <v>-96</v>
      </c>
      <c r="AS366" s="3">
        <f t="shared" si="120"/>
        <v>-94</v>
      </c>
      <c r="AT366" s="3">
        <f t="shared" si="120"/>
        <v>-91</v>
      </c>
      <c r="AU366" s="3">
        <f t="shared" si="120"/>
        <v>-98</v>
      </c>
      <c r="AV366" s="3">
        <f t="shared" si="120"/>
        <v>-96</v>
      </c>
      <c r="AW366" s="3">
        <f t="shared" si="120"/>
        <v>-95</v>
      </c>
      <c r="AX366" s="3">
        <f t="shared" si="120"/>
        <v>-95</v>
      </c>
      <c r="AY366" s="3">
        <f t="shared" si="120"/>
        <v>-93</v>
      </c>
      <c r="AZ366" s="3">
        <f t="shared" si="120"/>
        <v>-93</v>
      </c>
      <c r="BA366" s="3">
        <f t="shared" si="120"/>
        <v>-93</v>
      </c>
      <c r="BB366" s="3">
        <f t="shared" si="120"/>
        <v>-105</v>
      </c>
      <c r="BC366" s="3">
        <f t="shared" si="120"/>
        <v>-111</v>
      </c>
      <c r="BD366" s="3">
        <f t="shared" si="120"/>
        <v>-92</v>
      </c>
      <c r="BE366" s="3">
        <f t="shared" si="120"/>
        <v>-92</v>
      </c>
      <c r="BF366" s="10">
        <f t="shared" si="120"/>
        <v>-4526</v>
      </c>
    </row>
    <row r="367" spans="2:58" ht="22" customHeight="1">
      <c r="B367" s="9"/>
      <c r="C367" s="9"/>
      <c r="D367" s="105" t="s">
        <v>201</v>
      </c>
      <c r="E367" s="9"/>
      <c r="F367" s="9"/>
      <c r="G367" s="3">
        <f>SUM(Y367:AZ367)</f>
        <v>19997</v>
      </c>
      <c r="H367" s="9"/>
      <c r="I367" s="9"/>
      <c r="J367" s="9"/>
      <c r="K367" s="9"/>
      <c r="L367" s="9"/>
      <c r="M367" s="9"/>
      <c r="N367" s="9"/>
      <c r="O367" s="9"/>
      <c r="P367" s="9"/>
      <c r="Q367" s="9"/>
      <c r="R367" s="9"/>
      <c r="S367" s="9"/>
      <c r="T367" s="9"/>
      <c r="U367" s="9"/>
      <c r="V367" s="9"/>
      <c r="W367" s="9"/>
      <c r="X367" s="7" t="s">
        <v>31</v>
      </c>
      <c r="Y367" s="3">
        <f t="shared" ref="Y367:BD368" si="121">SUM(Y21,Y25,Y29,Y33,Y40,Y44,Y51,Y55,Y59,Y66,Y70,Y74,Y90,Y94,Y101,Y105,Y121,Y125,Y132,Y160,Y164,Y180,Y184,Y191,Y210,Y214,Y233,Y237,Y247,Y251,Y255,Y262,Y266,Y270,Y274,Y278,Y282,Y286,Y290,Y294,Y301,Y305,Y309,Y313,Y320,Y324,Y328,Y332,Y336,Y340,Y344,Y348,Y352,Y359)</f>
        <v>890</v>
      </c>
      <c r="Z367" s="3">
        <f t="shared" si="121"/>
        <v>1644</v>
      </c>
      <c r="AA367" s="3">
        <f t="shared" si="121"/>
        <v>1668</v>
      </c>
      <c r="AB367" s="3">
        <f t="shared" si="121"/>
        <v>1237</v>
      </c>
      <c r="AC367" s="3">
        <f t="shared" si="121"/>
        <v>1207</v>
      </c>
      <c r="AD367" s="3">
        <f t="shared" si="121"/>
        <v>1209</v>
      </c>
      <c r="AE367" s="3">
        <f t="shared" si="121"/>
        <v>1154</v>
      </c>
      <c r="AF367" s="3">
        <f t="shared" si="121"/>
        <v>997</v>
      </c>
      <c r="AG367" s="3">
        <f t="shared" si="121"/>
        <v>1845</v>
      </c>
      <c r="AH367" s="3">
        <f>SUM(AH21,AH25,AH29,AH33,AH40,AH44,AH51,AH55,AH59,AH66,AH70,AH74,AH90,AH94,AH101,AH105,AH121,AH125,AH132,AH160,AH164,AH180,AH184,AH191,AH210,AH214,AH233,AH237,AH247,AH251,AH255,AH262,AH266,AH270,AH274,AH278,AH282,AH286,AH290,AH294,AH301,AH305,AH309,AH313,AH320,AH324,AH328,AH332,AH336,AH340,AH344,AH348,AH352,AH359)</f>
        <v>2691</v>
      </c>
      <c r="AI367" s="3">
        <f t="shared" si="121"/>
        <v>1060</v>
      </c>
      <c r="AJ367" s="3">
        <f t="shared" si="121"/>
        <v>221</v>
      </c>
      <c r="AK367" s="3">
        <f t="shared" si="121"/>
        <v>221</v>
      </c>
      <c r="AL367" s="3">
        <f t="shared" si="121"/>
        <v>221</v>
      </c>
      <c r="AM367" s="3">
        <f t="shared" si="121"/>
        <v>218</v>
      </c>
      <c r="AN367" s="3">
        <f t="shared" si="121"/>
        <v>297</v>
      </c>
      <c r="AO367" s="3">
        <f t="shared" si="121"/>
        <v>372</v>
      </c>
      <c r="AP367" s="3">
        <f t="shared" si="121"/>
        <v>233</v>
      </c>
      <c r="AQ367" s="3">
        <f t="shared" si="121"/>
        <v>237</v>
      </c>
      <c r="AR367" s="3">
        <f t="shared" si="121"/>
        <v>236</v>
      </c>
      <c r="AS367" s="3">
        <f t="shared" si="121"/>
        <v>235</v>
      </c>
      <c r="AT367" s="3">
        <f t="shared" si="121"/>
        <v>232</v>
      </c>
      <c r="AU367" s="3">
        <f t="shared" si="121"/>
        <v>302</v>
      </c>
      <c r="AV367" s="3">
        <f t="shared" si="121"/>
        <v>332</v>
      </c>
      <c r="AW367" s="3">
        <f t="shared" si="121"/>
        <v>342</v>
      </c>
      <c r="AX367" s="3">
        <f t="shared" si="121"/>
        <v>233</v>
      </c>
      <c r="AY367" s="3">
        <f t="shared" si="121"/>
        <v>232</v>
      </c>
      <c r="AZ367" s="3">
        <f t="shared" si="121"/>
        <v>231</v>
      </c>
      <c r="BA367" s="3">
        <f t="shared" si="121"/>
        <v>227</v>
      </c>
      <c r="BB367" s="3">
        <f t="shared" si="121"/>
        <v>304</v>
      </c>
      <c r="BC367" s="3">
        <f t="shared" si="121"/>
        <v>363</v>
      </c>
      <c r="BD367" s="3">
        <f t="shared" si="121"/>
        <v>230</v>
      </c>
      <c r="BE367" s="3">
        <f t="shared" ref="BE367:BE368" si="122">SUM(BE21,BE25,BE29,BE33,BE40,BE44,BE51,BE55,BE59,BE66,BE70,BE74,BE90,BE94,BE101,BE105,BE121,BE125,BE132,BE160,BE164,BE180,BE184,BE191,BE210,BE214,BE233,BE237,BE247,BE251,BE255,BE262,BE266,BE270,BE274,BE278,BE282,BE286,BE290,BE294,BE301,BE305,BE309,BE313,BE320,BE324,BE328,BE332,BE336,BE340,BE344,BE348,BE352,BE359)</f>
        <v>230</v>
      </c>
      <c r="BF367" s="10">
        <f>SUM(Y367:BE367)</f>
        <v>21351</v>
      </c>
    </row>
    <row r="368" spans="2:58" ht="22" customHeight="1">
      <c r="B368" s="9"/>
      <c r="C368" s="9"/>
      <c r="D368" s="122"/>
      <c r="E368" s="9"/>
      <c r="F368" s="9"/>
      <c r="G368" s="9"/>
      <c r="H368" s="3">
        <f>SUM(Y368:AZ368)</f>
        <v>0</v>
      </c>
      <c r="I368" s="9"/>
      <c r="J368" s="9"/>
      <c r="K368" s="9"/>
      <c r="L368" s="9"/>
      <c r="M368" s="9"/>
      <c r="N368" s="9"/>
      <c r="O368" s="9"/>
      <c r="P368" s="9"/>
      <c r="Q368" s="9"/>
      <c r="R368" s="9"/>
      <c r="S368" s="9"/>
      <c r="T368" s="9"/>
      <c r="U368" s="9"/>
      <c r="V368" s="9"/>
      <c r="W368" s="9"/>
      <c r="X368" s="7" t="s">
        <v>10</v>
      </c>
      <c r="Y368" s="3">
        <f t="shared" ref="Y368:AI368" si="123">SUM(Y22,Y26,Y30,Y34,Y41,Y45,Y52,Y56,Y60,Y67,Y71,Y75,Y91,Y95,Y102,Y106,Y122,Y126,Y133,Y161,Y165,Y181,Y185,Y192,Y211,Y215,Y234,Y238,Y248,Y252,Y256,Y263,Y267,Y271,Y275,Y279,Y283,Y287,Y291,Y295,Y302,Y306,Y310,Y314,Y321,Y325,Y329,Y333,Y337,Y341,Y345,Y349,Y353,Y360)</f>
        <v>0</v>
      </c>
      <c r="Z368" s="3">
        <f t="shared" si="123"/>
        <v>0</v>
      </c>
      <c r="AA368" s="3">
        <f t="shared" si="123"/>
        <v>0</v>
      </c>
      <c r="AB368" s="3">
        <f t="shared" si="123"/>
        <v>0</v>
      </c>
      <c r="AC368" s="3">
        <f t="shared" si="123"/>
        <v>0</v>
      </c>
      <c r="AD368" s="3">
        <f t="shared" si="123"/>
        <v>0</v>
      </c>
      <c r="AE368" s="3">
        <f t="shared" si="123"/>
        <v>0</v>
      </c>
      <c r="AF368" s="3">
        <f t="shared" si="123"/>
        <v>0</v>
      </c>
      <c r="AG368" s="3">
        <f t="shared" si="123"/>
        <v>0</v>
      </c>
      <c r="AH368" s="3">
        <f t="shared" si="123"/>
        <v>0</v>
      </c>
      <c r="AI368" s="3">
        <f t="shared" si="123"/>
        <v>0</v>
      </c>
      <c r="AJ368" s="3">
        <f t="shared" si="121"/>
        <v>0</v>
      </c>
      <c r="AK368" s="3">
        <f t="shared" si="121"/>
        <v>0</v>
      </c>
      <c r="AL368" s="3">
        <f t="shared" si="121"/>
        <v>0</v>
      </c>
      <c r="AM368" s="3">
        <f t="shared" si="121"/>
        <v>0</v>
      </c>
      <c r="AN368" s="3">
        <f t="shared" si="121"/>
        <v>0</v>
      </c>
      <c r="AO368" s="3">
        <f t="shared" si="121"/>
        <v>0</v>
      </c>
      <c r="AP368" s="3">
        <f t="shared" si="121"/>
        <v>0</v>
      </c>
      <c r="AQ368" s="3">
        <f t="shared" si="121"/>
        <v>0</v>
      </c>
      <c r="AR368" s="3">
        <f t="shared" si="121"/>
        <v>0</v>
      </c>
      <c r="AS368" s="3">
        <f t="shared" si="121"/>
        <v>0</v>
      </c>
      <c r="AT368" s="3">
        <f t="shared" si="121"/>
        <v>0</v>
      </c>
      <c r="AU368" s="3">
        <f t="shared" si="121"/>
        <v>0</v>
      </c>
      <c r="AV368" s="3">
        <f t="shared" si="121"/>
        <v>0</v>
      </c>
      <c r="AW368" s="3">
        <f t="shared" si="121"/>
        <v>0</v>
      </c>
      <c r="AX368" s="3">
        <f t="shared" si="121"/>
        <v>0</v>
      </c>
      <c r="AY368" s="3">
        <f t="shared" si="121"/>
        <v>0</v>
      </c>
      <c r="AZ368" s="3">
        <f t="shared" si="121"/>
        <v>0</v>
      </c>
      <c r="BA368" s="3">
        <f t="shared" si="121"/>
        <v>0</v>
      </c>
      <c r="BB368" s="3">
        <f t="shared" si="121"/>
        <v>0</v>
      </c>
      <c r="BC368" s="3">
        <f t="shared" si="121"/>
        <v>0</v>
      </c>
      <c r="BD368" s="3">
        <f t="shared" si="121"/>
        <v>0</v>
      </c>
      <c r="BE368" s="3">
        <f t="shared" si="122"/>
        <v>0</v>
      </c>
      <c r="BF368" s="10">
        <f>SUM(Y368:BE368)</f>
        <v>0</v>
      </c>
    </row>
    <row r="369" spans="2:58" ht="22" customHeight="1">
      <c r="B369" s="9"/>
      <c r="C369" s="9"/>
      <c r="D369" s="122"/>
      <c r="E369" s="9"/>
      <c r="F369" s="9"/>
      <c r="G369" s="9"/>
      <c r="H369" s="9"/>
      <c r="I369" s="9"/>
      <c r="J369" s="9"/>
      <c r="K369" s="9"/>
      <c r="L369" s="9"/>
      <c r="M369" s="9"/>
      <c r="N369" s="9"/>
      <c r="O369" s="9"/>
      <c r="P369" s="9"/>
      <c r="Q369" s="9"/>
      <c r="R369" s="9"/>
      <c r="S369" s="9"/>
      <c r="T369" s="9"/>
      <c r="U369" s="9"/>
      <c r="V369" s="9"/>
      <c r="W369" s="9"/>
      <c r="X369" s="7" t="s">
        <v>11</v>
      </c>
      <c r="Y369" s="3">
        <f t="shared" ref="Y369:BF369" si="124">Y368-Y367</f>
        <v>-890</v>
      </c>
      <c r="Z369" s="3">
        <f t="shared" si="124"/>
        <v>-1644</v>
      </c>
      <c r="AA369" s="3">
        <f t="shared" si="124"/>
        <v>-1668</v>
      </c>
      <c r="AB369" s="3">
        <f t="shared" si="124"/>
        <v>-1237</v>
      </c>
      <c r="AC369" s="3">
        <f t="shared" si="124"/>
        <v>-1207</v>
      </c>
      <c r="AD369" s="3">
        <f t="shared" si="124"/>
        <v>-1209</v>
      </c>
      <c r="AE369" s="3">
        <f t="shared" si="124"/>
        <v>-1154</v>
      </c>
      <c r="AF369" s="3">
        <f t="shared" si="124"/>
        <v>-997</v>
      </c>
      <c r="AG369" s="3">
        <f t="shared" si="124"/>
        <v>-1845</v>
      </c>
      <c r="AH369" s="3">
        <f t="shared" si="124"/>
        <v>-2691</v>
      </c>
      <c r="AI369" s="3">
        <f t="shared" si="124"/>
        <v>-1060</v>
      </c>
      <c r="AJ369" s="3">
        <f t="shared" si="124"/>
        <v>-221</v>
      </c>
      <c r="AK369" s="3">
        <f t="shared" si="124"/>
        <v>-221</v>
      </c>
      <c r="AL369" s="3">
        <f t="shared" si="124"/>
        <v>-221</v>
      </c>
      <c r="AM369" s="3">
        <f t="shared" si="124"/>
        <v>-218</v>
      </c>
      <c r="AN369" s="3">
        <f t="shared" si="124"/>
        <v>-297</v>
      </c>
      <c r="AO369" s="3">
        <f t="shared" si="124"/>
        <v>-372</v>
      </c>
      <c r="AP369" s="3">
        <f t="shared" si="124"/>
        <v>-233</v>
      </c>
      <c r="AQ369" s="3">
        <f t="shared" si="124"/>
        <v>-237</v>
      </c>
      <c r="AR369" s="3">
        <f t="shared" si="124"/>
        <v>-236</v>
      </c>
      <c r="AS369" s="3">
        <f t="shared" si="124"/>
        <v>-235</v>
      </c>
      <c r="AT369" s="3">
        <f t="shared" si="124"/>
        <v>-232</v>
      </c>
      <c r="AU369" s="3">
        <f t="shared" si="124"/>
        <v>-302</v>
      </c>
      <c r="AV369" s="3">
        <f t="shared" si="124"/>
        <v>-332</v>
      </c>
      <c r="AW369" s="3">
        <f t="shared" si="124"/>
        <v>-342</v>
      </c>
      <c r="AX369" s="3">
        <f t="shared" si="124"/>
        <v>-233</v>
      </c>
      <c r="AY369" s="3">
        <f t="shared" si="124"/>
        <v>-232</v>
      </c>
      <c r="AZ369" s="3">
        <f t="shared" si="124"/>
        <v>-231</v>
      </c>
      <c r="BA369" s="3">
        <f t="shared" si="124"/>
        <v>-227</v>
      </c>
      <c r="BB369" s="3">
        <f t="shared" si="124"/>
        <v>-304</v>
      </c>
      <c r="BC369" s="3">
        <f t="shared" si="124"/>
        <v>-363</v>
      </c>
      <c r="BD369" s="3">
        <f t="shared" si="124"/>
        <v>-230</v>
      </c>
      <c r="BE369" s="3">
        <f t="shared" si="124"/>
        <v>-230</v>
      </c>
      <c r="BF369" s="10">
        <f t="shared" si="124"/>
        <v>-21351</v>
      </c>
    </row>
    <row r="370" spans="2:58" ht="22" customHeight="1">
      <c r="B370" s="9"/>
      <c r="C370" s="9"/>
      <c r="D370" s="105" t="s">
        <v>202</v>
      </c>
      <c r="E370" s="9"/>
      <c r="F370" s="9"/>
      <c r="G370" s="3">
        <f>SUM(Y370:AZ370)</f>
        <v>112</v>
      </c>
      <c r="H370" s="9"/>
      <c r="I370" s="9"/>
      <c r="J370" s="9"/>
      <c r="K370" s="9"/>
      <c r="L370" s="9"/>
      <c r="M370" s="9"/>
      <c r="N370" s="9"/>
      <c r="O370" s="9"/>
      <c r="P370" s="9"/>
      <c r="Q370" s="9"/>
      <c r="R370" s="9"/>
      <c r="S370" s="9"/>
      <c r="T370" s="9"/>
      <c r="U370" s="9"/>
      <c r="V370" s="9"/>
      <c r="W370" s="9"/>
      <c r="X370" s="7" t="s">
        <v>31</v>
      </c>
      <c r="Y370" s="29">
        <v>4</v>
      </c>
      <c r="Z370" s="29">
        <v>4</v>
      </c>
      <c r="AA370" s="29">
        <v>4</v>
      </c>
      <c r="AB370" s="29">
        <v>4</v>
      </c>
      <c r="AC370" s="29">
        <v>4</v>
      </c>
      <c r="AD370" s="29">
        <v>4</v>
      </c>
      <c r="AE370" s="29">
        <v>4</v>
      </c>
      <c r="AF370" s="29">
        <v>4</v>
      </c>
      <c r="AG370" s="29">
        <v>4</v>
      </c>
      <c r="AH370" s="29">
        <v>4</v>
      </c>
      <c r="AI370" s="29">
        <v>4</v>
      </c>
      <c r="AJ370" s="29">
        <v>4</v>
      </c>
      <c r="AK370" s="29">
        <v>4</v>
      </c>
      <c r="AL370" s="29">
        <v>4</v>
      </c>
      <c r="AM370" s="29">
        <v>4</v>
      </c>
      <c r="AN370" s="29">
        <v>4</v>
      </c>
      <c r="AO370" s="29">
        <v>4</v>
      </c>
      <c r="AP370" s="29">
        <v>4</v>
      </c>
      <c r="AQ370" s="29">
        <v>4</v>
      </c>
      <c r="AR370" s="29">
        <v>4</v>
      </c>
      <c r="AS370" s="29">
        <v>4</v>
      </c>
      <c r="AT370" s="29">
        <v>4</v>
      </c>
      <c r="AU370" s="29">
        <v>4</v>
      </c>
      <c r="AV370" s="29">
        <v>4</v>
      </c>
      <c r="AW370" s="29">
        <v>4</v>
      </c>
      <c r="AX370" s="29">
        <v>4</v>
      </c>
      <c r="AY370" s="29">
        <v>4</v>
      </c>
      <c r="AZ370" s="29">
        <v>4</v>
      </c>
      <c r="BA370" s="29">
        <v>4</v>
      </c>
      <c r="BB370" s="29">
        <v>4</v>
      </c>
      <c r="BC370" s="29">
        <v>4</v>
      </c>
      <c r="BD370" s="29">
        <v>4</v>
      </c>
      <c r="BE370" s="29">
        <v>4</v>
      </c>
      <c r="BF370" s="10">
        <f>SUM(Y370:BE370)</f>
        <v>132</v>
      </c>
    </row>
    <row r="371" spans="2:58" ht="22" customHeight="1">
      <c r="B371" s="9"/>
      <c r="C371" s="9"/>
      <c r="D371" s="122"/>
      <c r="E371" s="9"/>
      <c r="F371" s="9"/>
      <c r="G371" s="9"/>
      <c r="H371" s="3">
        <f>SUM(Y371:AZ371)</f>
        <v>0</v>
      </c>
      <c r="I371" s="9"/>
      <c r="J371" s="9"/>
      <c r="K371" s="9"/>
      <c r="L371" s="9"/>
      <c r="M371" s="9"/>
      <c r="N371" s="9"/>
      <c r="O371" s="9"/>
      <c r="P371" s="9"/>
      <c r="Q371" s="9"/>
      <c r="R371" s="9"/>
      <c r="S371" s="9"/>
      <c r="T371" s="9"/>
      <c r="U371" s="9"/>
      <c r="V371" s="9"/>
      <c r="W371" s="9"/>
      <c r="X371" s="7" t="s">
        <v>10</v>
      </c>
      <c r="Y371" s="16">
        <v>0</v>
      </c>
      <c r="Z371" s="16">
        <v>0</v>
      </c>
      <c r="AA371" s="16">
        <v>0</v>
      </c>
      <c r="AB371" s="16">
        <v>0</v>
      </c>
      <c r="AC371" s="16">
        <v>0</v>
      </c>
      <c r="AD371" s="16">
        <v>0</v>
      </c>
      <c r="AE371" s="16">
        <v>0</v>
      </c>
      <c r="AF371" s="16">
        <v>0</v>
      </c>
      <c r="AG371" s="16">
        <v>0</v>
      </c>
      <c r="AH371" s="16">
        <v>0</v>
      </c>
      <c r="AI371" s="16">
        <v>0</v>
      </c>
      <c r="AJ371" s="16">
        <v>0</v>
      </c>
      <c r="AK371" s="16">
        <v>0</v>
      </c>
      <c r="AL371" s="16">
        <v>0</v>
      </c>
      <c r="AM371" s="16">
        <v>0</v>
      </c>
      <c r="AN371" s="16">
        <v>0</v>
      </c>
      <c r="AO371" s="16">
        <v>0</v>
      </c>
      <c r="AP371" s="16">
        <v>0</v>
      </c>
      <c r="AQ371" s="16">
        <v>0</v>
      </c>
      <c r="AR371" s="16">
        <v>0</v>
      </c>
      <c r="AS371" s="16">
        <v>0</v>
      </c>
      <c r="AT371" s="16">
        <v>0</v>
      </c>
      <c r="AU371" s="16">
        <v>0</v>
      </c>
      <c r="AV371" s="16">
        <v>0</v>
      </c>
      <c r="AW371" s="16">
        <v>0</v>
      </c>
      <c r="AX371" s="16">
        <v>0</v>
      </c>
      <c r="AY371" s="16">
        <v>0</v>
      </c>
      <c r="AZ371" s="16">
        <v>0</v>
      </c>
      <c r="BA371" s="16">
        <v>0</v>
      </c>
      <c r="BB371" s="16">
        <v>0</v>
      </c>
      <c r="BC371" s="16">
        <v>0</v>
      </c>
      <c r="BD371" s="16">
        <v>0</v>
      </c>
      <c r="BE371" s="16">
        <v>0</v>
      </c>
      <c r="BF371" s="10">
        <f>SUM(Y371:BE371)</f>
        <v>0</v>
      </c>
    </row>
    <row r="372" spans="2:58" ht="22" customHeight="1">
      <c r="B372" s="9"/>
      <c r="C372" s="9"/>
      <c r="D372" s="122"/>
      <c r="E372" s="9"/>
      <c r="F372" s="9"/>
      <c r="G372" s="9"/>
      <c r="H372" s="9"/>
      <c r="I372" s="9"/>
      <c r="J372" s="9"/>
      <c r="K372" s="9"/>
      <c r="L372" s="9"/>
      <c r="M372" s="9"/>
      <c r="N372" s="9"/>
      <c r="O372" s="9"/>
      <c r="P372" s="9"/>
      <c r="Q372" s="9"/>
      <c r="R372" s="9"/>
      <c r="S372" s="9"/>
      <c r="T372" s="9"/>
      <c r="U372" s="9"/>
      <c r="V372" s="9"/>
      <c r="W372" s="9"/>
      <c r="X372" s="7" t="s">
        <v>11</v>
      </c>
      <c r="Y372" s="3">
        <f t="shared" ref="Y372:BF372" si="125">Y371-Y370</f>
        <v>-4</v>
      </c>
      <c r="Z372" s="3">
        <f t="shared" si="125"/>
        <v>-4</v>
      </c>
      <c r="AA372" s="3">
        <f t="shared" si="125"/>
        <v>-4</v>
      </c>
      <c r="AB372" s="3">
        <f t="shared" si="125"/>
        <v>-4</v>
      </c>
      <c r="AC372" s="3">
        <f t="shared" si="125"/>
        <v>-4</v>
      </c>
      <c r="AD372" s="3">
        <f t="shared" si="125"/>
        <v>-4</v>
      </c>
      <c r="AE372" s="3">
        <f t="shared" si="125"/>
        <v>-4</v>
      </c>
      <c r="AF372" s="3">
        <f t="shared" si="125"/>
        <v>-4</v>
      </c>
      <c r="AG372" s="3">
        <f t="shared" si="125"/>
        <v>-4</v>
      </c>
      <c r="AH372" s="3">
        <f t="shared" si="125"/>
        <v>-4</v>
      </c>
      <c r="AI372" s="3">
        <f t="shared" si="125"/>
        <v>-4</v>
      </c>
      <c r="AJ372" s="3">
        <f t="shared" si="125"/>
        <v>-4</v>
      </c>
      <c r="AK372" s="3">
        <f t="shared" si="125"/>
        <v>-4</v>
      </c>
      <c r="AL372" s="3">
        <f t="shared" si="125"/>
        <v>-4</v>
      </c>
      <c r="AM372" s="3">
        <f t="shared" si="125"/>
        <v>-4</v>
      </c>
      <c r="AN372" s="3">
        <f t="shared" si="125"/>
        <v>-4</v>
      </c>
      <c r="AO372" s="3">
        <f t="shared" si="125"/>
        <v>-4</v>
      </c>
      <c r="AP372" s="3">
        <f t="shared" si="125"/>
        <v>-4</v>
      </c>
      <c r="AQ372" s="3">
        <f t="shared" si="125"/>
        <v>-4</v>
      </c>
      <c r="AR372" s="3">
        <f t="shared" si="125"/>
        <v>-4</v>
      </c>
      <c r="AS372" s="3">
        <f t="shared" si="125"/>
        <v>-4</v>
      </c>
      <c r="AT372" s="3">
        <f t="shared" si="125"/>
        <v>-4</v>
      </c>
      <c r="AU372" s="3">
        <f t="shared" si="125"/>
        <v>-4</v>
      </c>
      <c r="AV372" s="3">
        <f t="shared" si="125"/>
        <v>-4</v>
      </c>
      <c r="AW372" s="3">
        <f t="shared" si="125"/>
        <v>-4</v>
      </c>
      <c r="AX372" s="3">
        <f t="shared" si="125"/>
        <v>-4</v>
      </c>
      <c r="AY372" s="3">
        <f t="shared" si="125"/>
        <v>-4</v>
      </c>
      <c r="AZ372" s="3">
        <f t="shared" si="125"/>
        <v>-4</v>
      </c>
      <c r="BA372" s="3">
        <f t="shared" si="125"/>
        <v>-4</v>
      </c>
      <c r="BB372" s="3">
        <f t="shared" si="125"/>
        <v>-4</v>
      </c>
      <c r="BC372" s="3">
        <f t="shared" si="125"/>
        <v>-4</v>
      </c>
      <c r="BD372" s="3">
        <f t="shared" si="125"/>
        <v>-4</v>
      </c>
      <c r="BE372" s="3">
        <f t="shared" si="125"/>
        <v>-4</v>
      </c>
      <c r="BF372" s="10">
        <f t="shared" si="125"/>
        <v>-132</v>
      </c>
    </row>
    <row r="373" spans="2:58" ht="22" customHeight="1">
      <c r="B373" s="9"/>
      <c r="C373" s="9"/>
      <c r="D373" s="105" t="s">
        <v>203</v>
      </c>
      <c r="E373" s="9"/>
      <c r="F373" s="9"/>
      <c r="G373" s="3">
        <f>SUM(Y373:AZ373)</f>
        <v>1285</v>
      </c>
      <c r="H373" s="9"/>
      <c r="I373" s="9"/>
      <c r="J373" s="9"/>
      <c r="K373" s="9"/>
      <c r="L373" s="9"/>
      <c r="M373" s="9"/>
      <c r="N373" s="9"/>
      <c r="O373" s="9"/>
      <c r="P373" s="9"/>
      <c r="Q373" s="9"/>
      <c r="R373" s="9"/>
      <c r="S373" s="9"/>
      <c r="T373" s="9"/>
      <c r="U373" s="9"/>
      <c r="V373" s="9"/>
      <c r="W373" s="9"/>
      <c r="X373" s="7" t="s">
        <v>31</v>
      </c>
      <c r="Y373" s="29">
        <v>55</v>
      </c>
      <c r="Z373" s="29">
        <v>55</v>
      </c>
      <c r="AA373" s="29">
        <v>55</v>
      </c>
      <c r="AB373" s="29">
        <v>55</v>
      </c>
      <c r="AC373" s="29">
        <v>55</v>
      </c>
      <c r="AD373" s="29">
        <v>55</v>
      </c>
      <c r="AE373" s="29">
        <v>55</v>
      </c>
      <c r="AF373" s="29">
        <v>55</v>
      </c>
      <c r="AG373" s="29">
        <v>55</v>
      </c>
      <c r="AH373" s="29">
        <v>55</v>
      </c>
      <c r="AI373" s="29">
        <v>55</v>
      </c>
      <c r="AJ373" s="29">
        <v>40</v>
      </c>
      <c r="AK373" s="29">
        <v>40</v>
      </c>
      <c r="AL373" s="29">
        <v>40</v>
      </c>
      <c r="AM373" s="29">
        <v>40</v>
      </c>
      <c r="AN373" s="29">
        <v>40</v>
      </c>
      <c r="AO373" s="29">
        <v>40</v>
      </c>
      <c r="AP373" s="29">
        <v>40</v>
      </c>
      <c r="AQ373" s="29">
        <v>40</v>
      </c>
      <c r="AR373" s="29">
        <v>40</v>
      </c>
      <c r="AS373" s="29">
        <v>40</v>
      </c>
      <c r="AT373" s="29">
        <v>40</v>
      </c>
      <c r="AU373" s="29">
        <v>40</v>
      </c>
      <c r="AV373" s="29">
        <v>40</v>
      </c>
      <c r="AW373" s="29">
        <v>40</v>
      </c>
      <c r="AX373" s="29">
        <v>40</v>
      </c>
      <c r="AY373" s="29">
        <v>40</v>
      </c>
      <c r="AZ373" s="29">
        <v>40</v>
      </c>
      <c r="BA373" s="29">
        <v>40</v>
      </c>
      <c r="BB373" s="29">
        <v>40</v>
      </c>
      <c r="BC373" s="29">
        <v>40</v>
      </c>
      <c r="BD373" s="29">
        <v>40</v>
      </c>
      <c r="BE373" s="29">
        <v>40</v>
      </c>
      <c r="BF373" s="10">
        <f>SUM(Y373:BE373)</f>
        <v>1485</v>
      </c>
    </row>
    <row r="374" spans="2:58" ht="22" customHeight="1">
      <c r="B374" s="9"/>
      <c r="C374" s="9"/>
      <c r="D374" s="122"/>
      <c r="E374" s="9"/>
      <c r="F374" s="9"/>
      <c r="G374" s="9"/>
      <c r="H374" s="3">
        <f>SUM(Y374:AZ374)</f>
        <v>0</v>
      </c>
      <c r="I374" s="9"/>
      <c r="J374" s="9"/>
      <c r="K374" s="9"/>
      <c r="L374" s="9"/>
      <c r="M374" s="9"/>
      <c r="N374" s="9"/>
      <c r="O374" s="9"/>
      <c r="P374" s="9"/>
      <c r="Q374" s="9"/>
      <c r="R374" s="9"/>
      <c r="S374" s="9"/>
      <c r="T374" s="9"/>
      <c r="U374" s="9"/>
      <c r="V374" s="9"/>
      <c r="W374" s="9"/>
      <c r="X374" s="7" t="s">
        <v>10</v>
      </c>
      <c r="Y374" s="16">
        <v>0</v>
      </c>
      <c r="Z374" s="16">
        <v>0</v>
      </c>
      <c r="AA374" s="16">
        <v>0</v>
      </c>
      <c r="AB374" s="16">
        <v>0</v>
      </c>
      <c r="AC374" s="16">
        <v>0</v>
      </c>
      <c r="AD374" s="16">
        <v>0</v>
      </c>
      <c r="AE374" s="16">
        <v>0</v>
      </c>
      <c r="AF374" s="16">
        <v>0</v>
      </c>
      <c r="AG374" s="16">
        <v>0</v>
      </c>
      <c r="AH374" s="16">
        <v>0</v>
      </c>
      <c r="AI374" s="16">
        <v>0</v>
      </c>
      <c r="AJ374" s="16">
        <v>0</v>
      </c>
      <c r="AK374" s="16">
        <v>0</v>
      </c>
      <c r="AL374" s="16">
        <v>0</v>
      </c>
      <c r="AM374" s="16">
        <v>0</v>
      </c>
      <c r="AN374" s="16">
        <v>0</v>
      </c>
      <c r="AO374" s="16">
        <v>0</v>
      </c>
      <c r="AP374" s="16">
        <v>0</v>
      </c>
      <c r="AQ374" s="16">
        <v>0</v>
      </c>
      <c r="AR374" s="16">
        <v>0</v>
      </c>
      <c r="AS374" s="16">
        <v>0</v>
      </c>
      <c r="AT374" s="16">
        <v>0</v>
      </c>
      <c r="AU374" s="16">
        <v>0</v>
      </c>
      <c r="AV374" s="16">
        <v>0</v>
      </c>
      <c r="AW374" s="16">
        <v>0</v>
      </c>
      <c r="AX374" s="16">
        <v>0</v>
      </c>
      <c r="AY374" s="16">
        <v>0</v>
      </c>
      <c r="AZ374" s="16">
        <v>0</v>
      </c>
      <c r="BA374" s="16">
        <v>0</v>
      </c>
      <c r="BB374" s="16">
        <v>0</v>
      </c>
      <c r="BC374" s="16">
        <v>0</v>
      </c>
      <c r="BD374" s="16">
        <v>0</v>
      </c>
      <c r="BE374" s="16">
        <v>0</v>
      </c>
      <c r="BF374" s="10">
        <f>SUM(Y374:BE374)</f>
        <v>0</v>
      </c>
    </row>
    <row r="375" spans="2:58" ht="22" customHeight="1">
      <c r="B375" s="9"/>
      <c r="C375" s="9"/>
      <c r="D375" s="122"/>
      <c r="E375" s="9"/>
      <c r="F375" s="9"/>
      <c r="G375" s="9"/>
      <c r="H375" s="9"/>
      <c r="I375" s="9"/>
      <c r="J375" s="9"/>
      <c r="K375" s="9"/>
      <c r="L375" s="9"/>
      <c r="M375" s="9"/>
      <c r="N375" s="9"/>
      <c r="O375" s="9"/>
      <c r="P375" s="9"/>
      <c r="Q375" s="9"/>
      <c r="R375" s="9"/>
      <c r="S375" s="9"/>
      <c r="T375" s="9"/>
      <c r="U375" s="9"/>
      <c r="V375" s="9"/>
      <c r="W375" s="9"/>
      <c r="X375" s="7" t="s">
        <v>11</v>
      </c>
      <c r="Y375" s="3">
        <f t="shared" ref="Y375:BF375" si="126">Y374-Y373</f>
        <v>-55</v>
      </c>
      <c r="Z375" s="3">
        <f t="shared" si="126"/>
        <v>-55</v>
      </c>
      <c r="AA375" s="3">
        <f t="shared" si="126"/>
        <v>-55</v>
      </c>
      <c r="AB375" s="3">
        <f t="shared" si="126"/>
        <v>-55</v>
      </c>
      <c r="AC375" s="3">
        <f t="shared" si="126"/>
        <v>-55</v>
      </c>
      <c r="AD375" s="3">
        <f t="shared" si="126"/>
        <v>-55</v>
      </c>
      <c r="AE375" s="3">
        <f t="shared" si="126"/>
        <v>-55</v>
      </c>
      <c r="AF375" s="3">
        <f t="shared" si="126"/>
        <v>-55</v>
      </c>
      <c r="AG375" s="3">
        <f t="shared" si="126"/>
        <v>-55</v>
      </c>
      <c r="AH375" s="3">
        <f t="shared" si="126"/>
        <v>-55</v>
      </c>
      <c r="AI375" s="3">
        <f t="shared" si="126"/>
        <v>-55</v>
      </c>
      <c r="AJ375" s="3">
        <f t="shared" si="126"/>
        <v>-40</v>
      </c>
      <c r="AK375" s="3">
        <f t="shared" si="126"/>
        <v>-40</v>
      </c>
      <c r="AL375" s="3">
        <f t="shared" si="126"/>
        <v>-40</v>
      </c>
      <c r="AM375" s="3">
        <f t="shared" si="126"/>
        <v>-40</v>
      </c>
      <c r="AN375" s="3">
        <f t="shared" si="126"/>
        <v>-40</v>
      </c>
      <c r="AO375" s="3">
        <f t="shared" si="126"/>
        <v>-40</v>
      </c>
      <c r="AP375" s="3">
        <f t="shared" si="126"/>
        <v>-40</v>
      </c>
      <c r="AQ375" s="3">
        <f t="shared" si="126"/>
        <v>-40</v>
      </c>
      <c r="AR375" s="3">
        <f t="shared" si="126"/>
        <v>-40</v>
      </c>
      <c r="AS375" s="3">
        <f t="shared" si="126"/>
        <v>-40</v>
      </c>
      <c r="AT375" s="3">
        <f t="shared" si="126"/>
        <v>-40</v>
      </c>
      <c r="AU375" s="3">
        <f t="shared" si="126"/>
        <v>-40</v>
      </c>
      <c r="AV375" s="3">
        <f t="shared" si="126"/>
        <v>-40</v>
      </c>
      <c r="AW375" s="3">
        <f t="shared" si="126"/>
        <v>-40</v>
      </c>
      <c r="AX375" s="3">
        <f t="shared" si="126"/>
        <v>-40</v>
      </c>
      <c r="AY375" s="3">
        <f t="shared" si="126"/>
        <v>-40</v>
      </c>
      <c r="AZ375" s="3">
        <f t="shared" si="126"/>
        <v>-40</v>
      </c>
      <c r="BA375" s="3">
        <f t="shared" si="126"/>
        <v>-40</v>
      </c>
      <c r="BB375" s="3">
        <f t="shared" si="126"/>
        <v>-40</v>
      </c>
      <c r="BC375" s="3">
        <f t="shared" si="126"/>
        <v>-40</v>
      </c>
      <c r="BD375" s="3">
        <f t="shared" si="126"/>
        <v>-40</v>
      </c>
      <c r="BE375" s="3">
        <f t="shared" si="126"/>
        <v>-40</v>
      </c>
      <c r="BF375" s="10">
        <f t="shared" si="126"/>
        <v>-1485</v>
      </c>
    </row>
    <row r="376" spans="2:58" ht="22" customHeight="1">
      <c r="B376" s="9"/>
      <c r="C376" s="9"/>
      <c r="D376" s="105" t="s">
        <v>30</v>
      </c>
      <c r="E376" s="9"/>
      <c r="F376" s="9"/>
      <c r="G376" s="3">
        <f>SUM(Y376:AZ376)</f>
        <v>20109</v>
      </c>
      <c r="H376" s="9"/>
      <c r="I376" s="9"/>
      <c r="J376" s="9"/>
      <c r="K376" s="9"/>
      <c r="L376" s="9"/>
      <c r="M376" s="9"/>
      <c r="N376" s="9"/>
      <c r="O376" s="9"/>
      <c r="P376" s="9"/>
      <c r="Q376" s="9"/>
      <c r="R376" s="9"/>
      <c r="S376" s="9"/>
      <c r="T376" s="9"/>
      <c r="U376" s="9"/>
      <c r="V376" s="9"/>
      <c r="W376" s="9"/>
      <c r="X376" s="7" t="s">
        <v>31</v>
      </c>
      <c r="Y376" s="3">
        <f t="shared" ref="Y376:BD377" si="127">Y367+Y370</f>
        <v>894</v>
      </c>
      <c r="Z376" s="3">
        <f t="shared" si="127"/>
        <v>1648</v>
      </c>
      <c r="AA376" s="3">
        <f t="shared" si="127"/>
        <v>1672</v>
      </c>
      <c r="AB376" s="3">
        <f t="shared" si="127"/>
        <v>1241</v>
      </c>
      <c r="AC376" s="3">
        <f t="shared" si="127"/>
        <v>1211</v>
      </c>
      <c r="AD376" s="3">
        <f t="shared" si="127"/>
        <v>1213</v>
      </c>
      <c r="AE376" s="3">
        <f t="shared" si="127"/>
        <v>1158</v>
      </c>
      <c r="AF376" s="3">
        <f t="shared" si="127"/>
        <v>1001</v>
      </c>
      <c r="AG376" s="3">
        <f t="shared" si="127"/>
        <v>1849</v>
      </c>
      <c r="AH376" s="3">
        <f>AH367+AH370</f>
        <v>2695</v>
      </c>
      <c r="AI376" s="3">
        <f t="shared" si="127"/>
        <v>1064</v>
      </c>
      <c r="AJ376" s="3">
        <f t="shared" si="127"/>
        <v>225</v>
      </c>
      <c r="AK376" s="3">
        <f t="shared" si="127"/>
        <v>225</v>
      </c>
      <c r="AL376" s="3">
        <f t="shared" si="127"/>
        <v>225</v>
      </c>
      <c r="AM376" s="3">
        <f t="shared" si="127"/>
        <v>222</v>
      </c>
      <c r="AN376" s="3">
        <f t="shared" si="127"/>
        <v>301</v>
      </c>
      <c r="AO376" s="3">
        <f t="shared" si="127"/>
        <v>376</v>
      </c>
      <c r="AP376" s="3">
        <f t="shared" si="127"/>
        <v>237</v>
      </c>
      <c r="AQ376" s="3">
        <f t="shared" si="127"/>
        <v>241</v>
      </c>
      <c r="AR376" s="3">
        <f t="shared" si="127"/>
        <v>240</v>
      </c>
      <c r="AS376" s="3">
        <f t="shared" si="127"/>
        <v>239</v>
      </c>
      <c r="AT376" s="3">
        <f t="shared" si="127"/>
        <v>236</v>
      </c>
      <c r="AU376" s="3">
        <f t="shared" si="127"/>
        <v>306</v>
      </c>
      <c r="AV376" s="3">
        <f t="shared" si="127"/>
        <v>336</v>
      </c>
      <c r="AW376" s="3">
        <f t="shared" si="127"/>
        <v>346</v>
      </c>
      <c r="AX376" s="3">
        <f t="shared" si="127"/>
        <v>237</v>
      </c>
      <c r="AY376" s="3">
        <f t="shared" si="127"/>
        <v>236</v>
      </c>
      <c r="AZ376" s="3">
        <f t="shared" si="127"/>
        <v>235</v>
      </c>
      <c r="BA376" s="3">
        <f t="shared" si="127"/>
        <v>231</v>
      </c>
      <c r="BB376" s="3">
        <f t="shared" si="127"/>
        <v>308</v>
      </c>
      <c r="BC376" s="3">
        <f t="shared" si="127"/>
        <v>367</v>
      </c>
      <c r="BD376" s="3">
        <f t="shared" si="127"/>
        <v>234</v>
      </c>
      <c r="BE376" s="3">
        <f t="shared" ref="BE376:BE377" si="128">BE367+BE370</f>
        <v>234</v>
      </c>
      <c r="BF376" s="10">
        <f>SUM(Y376:BE376)</f>
        <v>21483</v>
      </c>
    </row>
    <row r="377" spans="2:58" ht="22" customHeight="1">
      <c r="B377" s="9"/>
      <c r="C377" s="9"/>
      <c r="D377" s="122"/>
      <c r="E377" s="9"/>
      <c r="F377" s="9"/>
      <c r="G377" s="9"/>
      <c r="H377" s="3">
        <f>SUM(Y377:AZ377)</f>
        <v>0</v>
      </c>
      <c r="I377" s="9"/>
      <c r="J377" s="9"/>
      <c r="K377" s="9"/>
      <c r="L377" s="9"/>
      <c r="M377" s="9"/>
      <c r="N377" s="9"/>
      <c r="O377" s="9"/>
      <c r="P377" s="9"/>
      <c r="Q377" s="9"/>
      <c r="R377" s="9"/>
      <c r="S377" s="9"/>
      <c r="T377" s="9"/>
      <c r="U377" s="9"/>
      <c r="V377" s="9"/>
      <c r="W377" s="9"/>
      <c r="X377" s="7" t="s">
        <v>10</v>
      </c>
      <c r="Y377" s="3">
        <f t="shared" ref="Y377:AI377" si="129">Y368+Y371</f>
        <v>0</v>
      </c>
      <c r="Z377" s="3">
        <f t="shared" si="129"/>
        <v>0</v>
      </c>
      <c r="AA377" s="3">
        <f t="shared" si="129"/>
        <v>0</v>
      </c>
      <c r="AB377" s="3">
        <f t="shared" si="129"/>
        <v>0</v>
      </c>
      <c r="AC377" s="3">
        <f t="shared" si="129"/>
        <v>0</v>
      </c>
      <c r="AD377" s="3">
        <f t="shared" si="129"/>
        <v>0</v>
      </c>
      <c r="AE377" s="3">
        <f t="shared" si="129"/>
        <v>0</v>
      </c>
      <c r="AF377" s="3">
        <f t="shared" si="129"/>
        <v>0</v>
      </c>
      <c r="AG377" s="3">
        <f t="shared" si="129"/>
        <v>0</v>
      </c>
      <c r="AH377" s="3">
        <f t="shared" si="129"/>
        <v>0</v>
      </c>
      <c r="AI377" s="3">
        <f t="shared" si="129"/>
        <v>0</v>
      </c>
      <c r="AJ377" s="3">
        <f t="shared" si="127"/>
        <v>0</v>
      </c>
      <c r="AK377" s="3">
        <f t="shared" si="127"/>
        <v>0</v>
      </c>
      <c r="AL377" s="3">
        <f t="shared" si="127"/>
        <v>0</v>
      </c>
      <c r="AM377" s="3">
        <f t="shared" si="127"/>
        <v>0</v>
      </c>
      <c r="AN377" s="3">
        <f t="shared" si="127"/>
        <v>0</v>
      </c>
      <c r="AO377" s="3">
        <f t="shared" si="127"/>
        <v>0</v>
      </c>
      <c r="AP377" s="3">
        <f t="shared" si="127"/>
        <v>0</v>
      </c>
      <c r="AQ377" s="3">
        <f t="shared" si="127"/>
        <v>0</v>
      </c>
      <c r="AR377" s="3">
        <f t="shared" si="127"/>
        <v>0</v>
      </c>
      <c r="AS377" s="3">
        <f t="shared" si="127"/>
        <v>0</v>
      </c>
      <c r="AT377" s="3">
        <f t="shared" si="127"/>
        <v>0</v>
      </c>
      <c r="AU377" s="3">
        <f t="shared" si="127"/>
        <v>0</v>
      </c>
      <c r="AV377" s="3">
        <f t="shared" si="127"/>
        <v>0</v>
      </c>
      <c r="AW377" s="3">
        <f t="shared" si="127"/>
        <v>0</v>
      </c>
      <c r="AX377" s="3">
        <f t="shared" si="127"/>
        <v>0</v>
      </c>
      <c r="AY377" s="3">
        <f t="shared" si="127"/>
        <v>0</v>
      </c>
      <c r="AZ377" s="3">
        <f t="shared" si="127"/>
        <v>0</v>
      </c>
      <c r="BA377" s="3">
        <f t="shared" si="127"/>
        <v>0</v>
      </c>
      <c r="BB377" s="3">
        <f t="shared" si="127"/>
        <v>0</v>
      </c>
      <c r="BC377" s="3">
        <f t="shared" si="127"/>
        <v>0</v>
      </c>
      <c r="BD377" s="3">
        <f t="shared" si="127"/>
        <v>0</v>
      </c>
      <c r="BE377" s="3">
        <f t="shared" si="128"/>
        <v>0</v>
      </c>
      <c r="BF377" s="10">
        <f>SUM(Y377:BE377)</f>
        <v>0</v>
      </c>
    </row>
    <row r="378" spans="2:58" ht="22" customHeight="1">
      <c r="B378" s="9"/>
      <c r="C378" s="9"/>
      <c r="D378" s="122"/>
      <c r="E378" s="9"/>
      <c r="F378" s="9"/>
      <c r="G378" s="9"/>
      <c r="H378" s="9"/>
      <c r="I378" s="9"/>
      <c r="J378" s="9"/>
      <c r="K378" s="9"/>
      <c r="L378" s="9"/>
      <c r="M378" s="9"/>
      <c r="N378" s="9"/>
      <c r="O378" s="9"/>
      <c r="P378" s="9"/>
      <c r="Q378" s="9"/>
      <c r="R378" s="9"/>
      <c r="S378" s="9"/>
      <c r="T378" s="9"/>
      <c r="U378" s="9"/>
      <c r="V378" s="9"/>
      <c r="W378" s="9"/>
      <c r="X378" s="7" t="s">
        <v>11</v>
      </c>
      <c r="Y378" s="3">
        <f t="shared" ref="Y378:BF378" si="130">Y377-Y376</f>
        <v>-894</v>
      </c>
      <c r="Z378" s="3">
        <f t="shared" si="130"/>
        <v>-1648</v>
      </c>
      <c r="AA378" s="3">
        <f t="shared" si="130"/>
        <v>-1672</v>
      </c>
      <c r="AB378" s="3">
        <f t="shared" si="130"/>
        <v>-1241</v>
      </c>
      <c r="AC378" s="3">
        <f t="shared" si="130"/>
        <v>-1211</v>
      </c>
      <c r="AD378" s="3">
        <f t="shared" si="130"/>
        <v>-1213</v>
      </c>
      <c r="AE378" s="3">
        <f t="shared" si="130"/>
        <v>-1158</v>
      </c>
      <c r="AF378" s="3">
        <f t="shared" si="130"/>
        <v>-1001</v>
      </c>
      <c r="AG378" s="3">
        <f t="shared" si="130"/>
        <v>-1849</v>
      </c>
      <c r="AH378" s="3">
        <f t="shared" si="130"/>
        <v>-2695</v>
      </c>
      <c r="AI378" s="3">
        <f t="shared" si="130"/>
        <v>-1064</v>
      </c>
      <c r="AJ378" s="3">
        <f t="shared" si="130"/>
        <v>-225</v>
      </c>
      <c r="AK378" s="3">
        <f t="shared" si="130"/>
        <v>-225</v>
      </c>
      <c r="AL378" s="3">
        <f t="shared" si="130"/>
        <v>-225</v>
      </c>
      <c r="AM378" s="3">
        <f t="shared" si="130"/>
        <v>-222</v>
      </c>
      <c r="AN378" s="3">
        <f t="shared" si="130"/>
        <v>-301</v>
      </c>
      <c r="AO378" s="3">
        <f t="shared" si="130"/>
        <v>-376</v>
      </c>
      <c r="AP378" s="3">
        <f t="shared" si="130"/>
        <v>-237</v>
      </c>
      <c r="AQ378" s="3">
        <f t="shared" si="130"/>
        <v>-241</v>
      </c>
      <c r="AR378" s="3">
        <f t="shared" si="130"/>
        <v>-240</v>
      </c>
      <c r="AS378" s="3">
        <f t="shared" si="130"/>
        <v>-239</v>
      </c>
      <c r="AT378" s="3">
        <f t="shared" si="130"/>
        <v>-236</v>
      </c>
      <c r="AU378" s="3">
        <f t="shared" si="130"/>
        <v>-306</v>
      </c>
      <c r="AV378" s="3">
        <f t="shared" si="130"/>
        <v>-336</v>
      </c>
      <c r="AW378" s="3">
        <f t="shared" si="130"/>
        <v>-346</v>
      </c>
      <c r="AX378" s="3">
        <f t="shared" si="130"/>
        <v>-237</v>
      </c>
      <c r="AY378" s="3">
        <f t="shared" si="130"/>
        <v>-236</v>
      </c>
      <c r="AZ378" s="3">
        <f t="shared" si="130"/>
        <v>-235</v>
      </c>
      <c r="BA378" s="3">
        <f t="shared" si="130"/>
        <v>-231</v>
      </c>
      <c r="BB378" s="3">
        <f t="shared" si="130"/>
        <v>-308</v>
      </c>
      <c r="BC378" s="3">
        <f t="shared" si="130"/>
        <v>-367</v>
      </c>
      <c r="BD378" s="3">
        <f t="shared" si="130"/>
        <v>-234</v>
      </c>
      <c r="BE378" s="3">
        <f t="shared" si="130"/>
        <v>-234</v>
      </c>
      <c r="BF378" s="10">
        <f t="shared" si="130"/>
        <v>-21483</v>
      </c>
    </row>
    <row r="379" spans="2:58" ht="22" customHeight="1">
      <c r="B379" s="9"/>
      <c r="C379" s="9"/>
      <c r="D379" s="105" t="s">
        <v>32</v>
      </c>
      <c r="E379" s="9"/>
      <c r="F379" s="9"/>
      <c r="G379" s="3">
        <f>SUM(Y379:AZ379)</f>
        <v>5318</v>
      </c>
      <c r="H379" s="9"/>
      <c r="I379" s="9"/>
      <c r="J379" s="9"/>
      <c r="K379" s="9"/>
      <c r="L379" s="9"/>
      <c r="M379" s="9"/>
      <c r="N379" s="9"/>
      <c r="O379" s="9"/>
      <c r="P379" s="9"/>
      <c r="Q379" s="9"/>
      <c r="R379" s="9"/>
      <c r="S379" s="9"/>
      <c r="T379" s="9"/>
      <c r="U379" s="9"/>
      <c r="V379" s="9"/>
      <c r="W379" s="9"/>
      <c r="X379" s="7" t="s">
        <v>31</v>
      </c>
      <c r="Y379" s="3">
        <f t="shared" ref="Y379:BD380" si="131">Y364+Y373</f>
        <v>248</v>
      </c>
      <c r="Z379" s="3">
        <f t="shared" si="131"/>
        <v>269</v>
      </c>
      <c r="AA379" s="3">
        <f t="shared" si="131"/>
        <v>287</v>
      </c>
      <c r="AB379" s="3">
        <f t="shared" si="131"/>
        <v>265</v>
      </c>
      <c r="AC379" s="3">
        <f t="shared" si="131"/>
        <v>294</v>
      </c>
      <c r="AD379" s="3">
        <f t="shared" si="131"/>
        <v>273</v>
      </c>
      <c r="AE379" s="3">
        <f t="shared" si="131"/>
        <v>262</v>
      </c>
      <c r="AF379" s="3">
        <f t="shared" si="131"/>
        <v>273</v>
      </c>
      <c r="AG379" s="3">
        <f t="shared" si="131"/>
        <v>280</v>
      </c>
      <c r="AH379" s="3">
        <f t="shared" si="131"/>
        <v>282</v>
      </c>
      <c r="AI379" s="3">
        <f t="shared" si="131"/>
        <v>237</v>
      </c>
      <c r="AJ379" s="3">
        <f t="shared" si="131"/>
        <v>141</v>
      </c>
      <c r="AK379" s="3">
        <f t="shared" si="131"/>
        <v>141</v>
      </c>
      <c r="AL379" s="3">
        <f t="shared" si="131"/>
        <v>141</v>
      </c>
      <c r="AM379" s="3">
        <f t="shared" si="131"/>
        <v>141</v>
      </c>
      <c r="AN379" s="3">
        <f t="shared" si="131"/>
        <v>150</v>
      </c>
      <c r="AO379" s="3">
        <f t="shared" si="131"/>
        <v>148</v>
      </c>
      <c r="AP379" s="3">
        <f t="shared" si="131"/>
        <v>136</v>
      </c>
      <c r="AQ379" s="3">
        <f t="shared" si="131"/>
        <v>139</v>
      </c>
      <c r="AR379" s="3">
        <f t="shared" si="131"/>
        <v>136</v>
      </c>
      <c r="AS379" s="3">
        <f t="shared" si="131"/>
        <v>134</v>
      </c>
      <c r="AT379" s="3">
        <f t="shared" si="131"/>
        <v>131</v>
      </c>
      <c r="AU379" s="3">
        <f t="shared" si="131"/>
        <v>138</v>
      </c>
      <c r="AV379" s="3">
        <f t="shared" si="131"/>
        <v>136</v>
      </c>
      <c r="AW379" s="3">
        <f t="shared" si="131"/>
        <v>135</v>
      </c>
      <c r="AX379" s="3">
        <f t="shared" si="131"/>
        <v>135</v>
      </c>
      <c r="AY379" s="3">
        <f t="shared" si="131"/>
        <v>133</v>
      </c>
      <c r="AZ379" s="3">
        <f t="shared" si="131"/>
        <v>133</v>
      </c>
      <c r="BA379" s="3">
        <f t="shared" si="131"/>
        <v>133</v>
      </c>
      <c r="BB379" s="3">
        <f t="shared" si="131"/>
        <v>145</v>
      </c>
      <c r="BC379" s="3">
        <f t="shared" si="131"/>
        <v>151</v>
      </c>
      <c r="BD379" s="3">
        <f t="shared" si="131"/>
        <v>132</v>
      </c>
      <c r="BE379" s="3">
        <f t="shared" ref="BE379:BE380" si="132">BE364+BE373</f>
        <v>132</v>
      </c>
      <c r="BF379" s="10">
        <f>SUM(Y379:BE379)</f>
        <v>6011</v>
      </c>
    </row>
    <row r="380" spans="2:58" ht="22" customHeight="1">
      <c r="B380" s="9"/>
      <c r="C380" s="9"/>
      <c r="D380" s="122"/>
      <c r="E380" s="9"/>
      <c r="F380" s="9"/>
      <c r="G380" s="9"/>
      <c r="H380" s="3">
        <f>SUM(Y380:AZ380)</f>
        <v>0</v>
      </c>
      <c r="I380" s="9"/>
      <c r="J380" s="9"/>
      <c r="K380" s="9"/>
      <c r="L380" s="9"/>
      <c r="M380" s="9"/>
      <c r="N380" s="9"/>
      <c r="O380" s="9"/>
      <c r="P380" s="9"/>
      <c r="Q380" s="9"/>
      <c r="R380" s="9"/>
      <c r="S380" s="9"/>
      <c r="T380" s="9"/>
      <c r="U380" s="9"/>
      <c r="V380" s="9"/>
      <c r="W380" s="9"/>
      <c r="X380" s="7" t="s">
        <v>10</v>
      </c>
      <c r="Y380" s="3">
        <f t="shared" ref="Y380:AI380" si="133">Y365+Y374</f>
        <v>0</v>
      </c>
      <c r="Z380" s="3">
        <f t="shared" si="133"/>
        <v>0</v>
      </c>
      <c r="AA380" s="3">
        <f t="shared" si="133"/>
        <v>0</v>
      </c>
      <c r="AB380" s="3">
        <f t="shared" si="133"/>
        <v>0</v>
      </c>
      <c r="AC380" s="3">
        <f t="shared" si="133"/>
        <v>0</v>
      </c>
      <c r="AD380" s="3">
        <f t="shared" si="133"/>
        <v>0</v>
      </c>
      <c r="AE380" s="3">
        <f t="shared" si="133"/>
        <v>0</v>
      </c>
      <c r="AF380" s="3">
        <f t="shared" si="133"/>
        <v>0</v>
      </c>
      <c r="AG380" s="3">
        <f t="shared" si="133"/>
        <v>0</v>
      </c>
      <c r="AH380" s="3">
        <f t="shared" si="133"/>
        <v>0</v>
      </c>
      <c r="AI380" s="3">
        <f t="shared" si="133"/>
        <v>0</v>
      </c>
      <c r="AJ380" s="3">
        <f t="shared" si="131"/>
        <v>0</v>
      </c>
      <c r="AK380" s="3">
        <f t="shared" si="131"/>
        <v>0</v>
      </c>
      <c r="AL380" s="3">
        <f t="shared" si="131"/>
        <v>0</v>
      </c>
      <c r="AM380" s="3">
        <f t="shared" si="131"/>
        <v>0</v>
      </c>
      <c r="AN380" s="3">
        <f t="shared" si="131"/>
        <v>0</v>
      </c>
      <c r="AO380" s="3">
        <f t="shared" si="131"/>
        <v>0</v>
      </c>
      <c r="AP380" s="3">
        <f t="shared" si="131"/>
        <v>0</v>
      </c>
      <c r="AQ380" s="3">
        <f t="shared" si="131"/>
        <v>0</v>
      </c>
      <c r="AR380" s="3">
        <f t="shared" si="131"/>
        <v>0</v>
      </c>
      <c r="AS380" s="3">
        <f t="shared" si="131"/>
        <v>0</v>
      </c>
      <c r="AT380" s="3">
        <f t="shared" si="131"/>
        <v>0</v>
      </c>
      <c r="AU380" s="3">
        <f t="shared" si="131"/>
        <v>0</v>
      </c>
      <c r="AV380" s="3">
        <f t="shared" si="131"/>
        <v>0</v>
      </c>
      <c r="AW380" s="3">
        <f t="shared" si="131"/>
        <v>0</v>
      </c>
      <c r="AX380" s="3">
        <f t="shared" si="131"/>
        <v>0</v>
      </c>
      <c r="AY380" s="3">
        <f t="shared" si="131"/>
        <v>0</v>
      </c>
      <c r="AZ380" s="3">
        <f t="shared" si="131"/>
        <v>0</v>
      </c>
      <c r="BA380" s="3">
        <f t="shared" si="131"/>
        <v>0</v>
      </c>
      <c r="BB380" s="3">
        <f t="shared" si="131"/>
        <v>0</v>
      </c>
      <c r="BC380" s="3">
        <f t="shared" si="131"/>
        <v>0</v>
      </c>
      <c r="BD380" s="3">
        <f t="shared" si="131"/>
        <v>0</v>
      </c>
      <c r="BE380" s="3">
        <f t="shared" si="132"/>
        <v>0</v>
      </c>
      <c r="BF380" s="10">
        <f>SUM(Y380:BE380)</f>
        <v>0</v>
      </c>
    </row>
    <row r="381" spans="2:58" ht="22" customHeight="1">
      <c r="B381" s="9"/>
      <c r="C381" s="9"/>
      <c r="D381" s="122"/>
      <c r="E381" s="9"/>
      <c r="F381" s="9"/>
      <c r="G381" s="9"/>
      <c r="H381" s="9"/>
      <c r="I381" s="9"/>
      <c r="J381" s="9"/>
      <c r="K381" s="9"/>
      <c r="L381" s="9"/>
      <c r="M381" s="9"/>
      <c r="N381" s="9"/>
      <c r="O381" s="9"/>
      <c r="P381" s="9"/>
      <c r="Q381" s="9"/>
      <c r="R381" s="9"/>
      <c r="S381" s="9"/>
      <c r="T381" s="9"/>
      <c r="U381" s="9"/>
      <c r="V381" s="9"/>
      <c r="W381" s="9"/>
      <c r="X381" s="7" t="s">
        <v>11</v>
      </c>
      <c r="Y381" s="3">
        <f t="shared" ref="Y381:BF381" si="134">Y380-Y379</f>
        <v>-248</v>
      </c>
      <c r="Z381" s="3">
        <f t="shared" si="134"/>
        <v>-269</v>
      </c>
      <c r="AA381" s="3">
        <f t="shared" si="134"/>
        <v>-287</v>
      </c>
      <c r="AB381" s="3">
        <f t="shared" si="134"/>
        <v>-265</v>
      </c>
      <c r="AC381" s="3">
        <f t="shared" si="134"/>
        <v>-294</v>
      </c>
      <c r="AD381" s="3">
        <f t="shared" si="134"/>
        <v>-273</v>
      </c>
      <c r="AE381" s="3">
        <f t="shared" si="134"/>
        <v>-262</v>
      </c>
      <c r="AF381" s="3">
        <f t="shared" si="134"/>
        <v>-273</v>
      </c>
      <c r="AG381" s="3">
        <f t="shared" si="134"/>
        <v>-280</v>
      </c>
      <c r="AH381" s="3">
        <f t="shared" si="134"/>
        <v>-282</v>
      </c>
      <c r="AI381" s="3">
        <f t="shared" si="134"/>
        <v>-237</v>
      </c>
      <c r="AJ381" s="3">
        <f t="shared" si="134"/>
        <v>-141</v>
      </c>
      <c r="AK381" s="3">
        <f t="shared" si="134"/>
        <v>-141</v>
      </c>
      <c r="AL381" s="3">
        <f t="shared" si="134"/>
        <v>-141</v>
      </c>
      <c r="AM381" s="3">
        <f t="shared" si="134"/>
        <v>-141</v>
      </c>
      <c r="AN381" s="3">
        <f t="shared" si="134"/>
        <v>-150</v>
      </c>
      <c r="AO381" s="3">
        <f t="shared" si="134"/>
        <v>-148</v>
      </c>
      <c r="AP381" s="3">
        <f t="shared" si="134"/>
        <v>-136</v>
      </c>
      <c r="AQ381" s="3">
        <f t="shared" si="134"/>
        <v>-139</v>
      </c>
      <c r="AR381" s="3">
        <f t="shared" si="134"/>
        <v>-136</v>
      </c>
      <c r="AS381" s="3">
        <f t="shared" si="134"/>
        <v>-134</v>
      </c>
      <c r="AT381" s="3">
        <f t="shared" si="134"/>
        <v>-131</v>
      </c>
      <c r="AU381" s="3">
        <f t="shared" si="134"/>
        <v>-138</v>
      </c>
      <c r="AV381" s="3">
        <f t="shared" si="134"/>
        <v>-136</v>
      </c>
      <c r="AW381" s="3">
        <f t="shared" si="134"/>
        <v>-135</v>
      </c>
      <c r="AX381" s="3">
        <f t="shared" si="134"/>
        <v>-135</v>
      </c>
      <c r="AY381" s="3">
        <f t="shared" si="134"/>
        <v>-133</v>
      </c>
      <c r="AZ381" s="3">
        <f t="shared" si="134"/>
        <v>-133</v>
      </c>
      <c r="BA381" s="3">
        <f t="shared" si="134"/>
        <v>-133</v>
      </c>
      <c r="BB381" s="3">
        <f t="shared" si="134"/>
        <v>-145</v>
      </c>
      <c r="BC381" s="3">
        <f t="shared" si="134"/>
        <v>-151</v>
      </c>
      <c r="BD381" s="3">
        <f t="shared" si="134"/>
        <v>-132</v>
      </c>
      <c r="BE381" s="3">
        <f t="shared" si="134"/>
        <v>-132</v>
      </c>
      <c r="BF381" s="10">
        <f t="shared" si="134"/>
        <v>-6011</v>
      </c>
    </row>
    <row r="382" spans="2:58" ht="22" customHeight="1"/>
    <row r="383" spans="2:58" ht="22" customHeight="1"/>
    <row r="384" spans="2:58"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sheetData>
  <mergeCells count="1738">
    <mergeCell ref="D15:D17"/>
    <mergeCell ref="D320:D323"/>
    <mergeCell ref="I210:I213"/>
    <mergeCell ref="S148:S150"/>
    <mergeCell ref="F37:F39"/>
    <mergeCell ref="O132:O135"/>
    <mergeCell ref="R255:R258"/>
    <mergeCell ref="M244:M246"/>
    <mergeCell ref="H48:H50"/>
    <mergeCell ref="K171:K173"/>
    <mergeCell ref="P70:P73"/>
    <mergeCell ref="E105:E108"/>
    <mergeCell ref="H266:H269"/>
    <mergeCell ref="M115:M117"/>
    <mergeCell ref="J112:J114"/>
    <mergeCell ref="J210:J213"/>
    <mergeCell ref="J78:J80"/>
    <mergeCell ref="D33:D36"/>
    <mergeCell ref="L90:L93"/>
    <mergeCell ref="D164:D167"/>
    <mergeCell ref="L21:L24"/>
    <mergeCell ref="M274:M277"/>
    <mergeCell ref="E348:E351"/>
    <mergeCell ref="E33:E36"/>
    <mergeCell ref="R191:R194"/>
    <mergeCell ref="B78:B80"/>
    <mergeCell ref="Q121:Q124"/>
    <mergeCell ref="M328:M331"/>
    <mergeCell ref="L227:L229"/>
    <mergeCell ref="B332:B335"/>
    <mergeCell ref="D90:D93"/>
    <mergeCell ref="C174:C176"/>
    <mergeCell ref="D142:D144"/>
    <mergeCell ref="L233:L236"/>
    <mergeCell ref="C301:C304"/>
    <mergeCell ref="E59:E62"/>
    <mergeCell ref="K282:K285"/>
    <mergeCell ref="P259:P261"/>
    <mergeCell ref="R148:R150"/>
    <mergeCell ref="C328:C331"/>
    <mergeCell ref="H118:H120"/>
    <mergeCell ref="B145:B147"/>
    <mergeCell ref="G37:G39"/>
    <mergeCell ref="G44:G47"/>
    <mergeCell ref="P121:P124"/>
    <mergeCell ref="H188:H190"/>
    <mergeCell ref="E125:E128"/>
    <mergeCell ref="C142:C144"/>
    <mergeCell ref="P33:P36"/>
    <mergeCell ref="Q255:Q258"/>
    <mergeCell ref="J121:J124"/>
    <mergeCell ref="F328:F331"/>
    <mergeCell ref="Q336:Q339"/>
    <mergeCell ref="S87:S89"/>
    <mergeCell ref="I63:I65"/>
    <mergeCell ref="I70:I73"/>
    <mergeCell ref="F25:F28"/>
    <mergeCell ref="I98:I100"/>
    <mergeCell ref="C78:C80"/>
    <mergeCell ref="K286:K289"/>
    <mergeCell ref="N328:N331"/>
    <mergeCell ref="C332:C335"/>
    <mergeCell ref="E90:E93"/>
    <mergeCell ref="J191:J194"/>
    <mergeCell ref="K40:K43"/>
    <mergeCell ref="M233:M236"/>
    <mergeCell ref="O195:O197"/>
    <mergeCell ref="L255:L258"/>
    <mergeCell ref="L290:L293"/>
    <mergeCell ref="G25:G28"/>
    <mergeCell ref="L282:L285"/>
    <mergeCell ref="S48:S50"/>
    <mergeCell ref="S210:S213"/>
    <mergeCell ref="K125:K128"/>
    <mergeCell ref="O70:O73"/>
    <mergeCell ref="L251:L254"/>
    <mergeCell ref="M218:M220"/>
    <mergeCell ref="L157:L159"/>
    <mergeCell ref="I87:I89"/>
    <mergeCell ref="O105:O108"/>
    <mergeCell ref="J177:J179"/>
    <mergeCell ref="J332:J335"/>
    <mergeCell ref="P340:P343"/>
    <mergeCell ref="M207:M209"/>
    <mergeCell ref="J352:J355"/>
    <mergeCell ref="L174:L176"/>
    <mergeCell ref="M142:M144"/>
    <mergeCell ref="J214:J217"/>
    <mergeCell ref="G356:G358"/>
    <mergeCell ref="M356:M358"/>
    <mergeCell ref="K266:K269"/>
    <mergeCell ref="N356:N358"/>
    <mergeCell ref="I348:I351"/>
    <mergeCell ref="K348:K351"/>
    <mergeCell ref="H348:H351"/>
    <mergeCell ref="O359:O362"/>
    <mergeCell ref="M78:M80"/>
    <mergeCell ref="B237:B240"/>
    <mergeCell ref="E241:E243"/>
    <mergeCell ref="D309:D312"/>
    <mergeCell ref="E118:E120"/>
    <mergeCell ref="G164:G167"/>
    <mergeCell ref="O142:O144"/>
    <mergeCell ref="K255:K258"/>
    <mergeCell ref="B266:B269"/>
    <mergeCell ref="B136:B138"/>
    <mergeCell ref="E359:E362"/>
    <mergeCell ref="M348:M351"/>
    <mergeCell ref="B63:B65"/>
    <mergeCell ref="I84:I86"/>
    <mergeCell ref="B221:B223"/>
    <mergeCell ref="B244:B246"/>
    <mergeCell ref="B101:B104"/>
    <mergeCell ref="C244:C246"/>
    <mergeCell ref="R356:R358"/>
    <mergeCell ref="I118:I120"/>
    <mergeCell ref="K84:K86"/>
    <mergeCell ref="S317:S319"/>
    <mergeCell ref="I142:I144"/>
    <mergeCell ref="L309:L312"/>
    <mergeCell ref="S188:S190"/>
    <mergeCell ref="P125:P128"/>
    <mergeCell ref="N115:N117"/>
    <mergeCell ref="B112:B114"/>
    <mergeCell ref="E278:E281"/>
    <mergeCell ref="D177:D179"/>
    <mergeCell ref="N78:N80"/>
    <mergeCell ref="E309:E312"/>
    <mergeCell ref="H164:H167"/>
    <mergeCell ref="S344:S347"/>
    <mergeCell ref="R244:R246"/>
    <mergeCell ref="R115:R117"/>
    <mergeCell ref="O324:O327"/>
    <mergeCell ref="S348:S351"/>
    <mergeCell ref="S142:S144"/>
    <mergeCell ref="S274:S277"/>
    <mergeCell ref="R301:R304"/>
    <mergeCell ref="R207:R209"/>
    <mergeCell ref="R78:R80"/>
    <mergeCell ref="P154:P156"/>
    <mergeCell ref="B154:B156"/>
    <mergeCell ref="E320:E323"/>
    <mergeCell ref="B151:B153"/>
    <mergeCell ref="K210:K213"/>
    <mergeCell ref="O84:O86"/>
    <mergeCell ref="F301:F304"/>
    <mergeCell ref="E81:E83"/>
    <mergeCell ref="I171:I173"/>
    <mergeCell ref="N70:N73"/>
    <mergeCell ref="F266:F269"/>
    <mergeCell ref="N98:N100"/>
    <mergeCell ref="O191:O194"/>
    <mergeCell ref="I168:I170"/>
    <mergeCell ref="B201:B203"/>
    <mergeCell ref="K237:K240"/>
    <mergeCell ref="K145:K147"/>
    <mergeCell ref="G109:G111"/>
    <mergeCell ref="B115:B117"/>
    <mergeCell ref="F313:F316"/>
    <mergeCell ref="M154:M156"/>
    <mergeCell ref="J109:J111"/>
    <mergeCell ref="L84:L86"/>
    <mergeCell ref="L180:L183"/>
    <mergeCell ref="L210:L213"/>
    <mergeCell ref="N142:N144"/>
    <mergeCell ref="K317:K319"/>
    <mergeCell ref="N274:N277"/>
    <mergeCell ref="G294:G297"/>
    <mergeCell ref="M301:M304"/>
    <mergeCell ref="H105:H108"/>
    <mergeCell ref="K356:K358"/>
    <mergeCell ref="M210:M213"/>
    <mergeCell ref="J37:J39"/>
    <mergeCell ref="O282:O285"/>
    <mergeCell ref="Q40:Q43"/>
    <mergeCell ref="D180:D183"/>
    <mergeCell ref="Q244:Q246"/>
    <mergeCell ref="O171:O173"/>
    <mergeCell ref="Q340:Q343"/>
    <mergeCell ref="I105:I108"/>
    <mergeCell ref="L266:L269"/>
    <mergeCell ref="E164:E167"/>
    <mergeCell ref="D324:D327"/>
    <mergeCell ref="E340:E343"/>
    <mergeCell ref="C109:C111"/>
    <mergeCell ref="O177:O179"/>
    <mergeCell ref="I320:I323"/>
    <mergeCell ref="J105:J108"/>
    <mergeCell ref="E210:E213"/>
    <mergeCell ref="P171:P173"/>
    <mergeCell ref="M266:M269"/>
    <mergeCell ref="K290:K293"/>
    <mergeCell ref="L40:L43"/>
    <mergeCell ref="C177:C179"/>
    <mergeCell ref="G51:G54"/>
    <mergeCell ref="O66:O69"/>
    <mergeCell ref="H324:H327"/>
    <mergeCell ref="P286:P289"/>
    <mergeCell ref="F352:F355"/>
    <mergeCell ref="P195:P197"/>
    <mergeCell ref="P218:P220"/>
    <mergeCell ref="J356:J358"/>
    <mergeCell ref="P21:P24"/>
    <mergeCell ref="F207:F209"/>
    <mergeCell ref="B352:B355"/>
    <mergeCell ref="P198:P200"/>
    <mergeCell ref="I33:I36"/>
    <mergeCell ref="Q90:Q93"/>
    <mergeCell ref="G145:G147"/>
    <mergeCell ref="N290:N293"/>
    <mergeCell ref="F78:F80"/>
    <mergeCell ref="M188:M190"/>
    <mergeCell ref="J125:J128"/>
    <mergeCell ref="F332:F335"/>
    <mergeCell ref="G174:G176"/>
    <mergeCell ref="H142:H144"/>
    <mergeCell ref="P233:P236"/>
    <mergeCell ref="E237:E240"/>
    <mergeCell ref="B98:B100"/>
    <mergeCell ref="G301:G304"/>
    <mergeCell ref="P84:P86"/>
    <mergeCell ref="P180:P183"/>
    <mergeCell ref="H241:H243"/>
    <mergeCell ref="E184:E187"/>
    <mergeCell ref="H180:H183"/>
    <mergeCell ref="P237:P240"/>
    <mergeCell ref="M70:M73"/>
    <mergeCell ref="K218:K220"/>
    <mergeCell ref="M105:M108"/>
    <mergeCell ref="H177:H179"/>
    <mergeCell ref="B313:B316"/>
    <mergeCell ref="I309:I312"/>
    <mergeCell ref="L164:L167"/>
    <mergeCell ref="P255:P258"/>
    <mergeCell ref="B359:B362"/>
    <mergeCell ref="R142:R144"/>
    <mergeCell ref="O121:O124"/>
    <mergeCell ref="K294:K297"/>
    <mergeCell ref="J218:J220"/>
    <mergeCell ref="Q301:Q304"/>
    <mergeCell ref="Q207:Q209"/>
    <mergeCell ref="D18:D20"/>
    <mergeCell ref="J313:J316"/>
    <mergeCell ref="C37:C39"/>
    <mergeCell ref="J40:J43"/>
    <mergeCell ref="H171:H173"/>
    <mergeCell ref="J340:J343"/>
    <mergeCell ref="E266:E269"/>
    <mergeCell ref="J25:J28"/>
    <mergeCell ref="N348:N351"/>
    <mergeCell ref="M98:M100"/>
    <mergeCell ref="C352:C355"/>
    <mergeCell ref="G78:G80"/>
    <mergeCell ref="R328:R331"/>
    <mergeCell ref="G332:G335"/>
    <mergeCell ref="I90:I93"/>
    <mergeCell ref="Q233:Q236"/>
    <mergeCell ref="D37:D39"/>
    <mergeCell ref="D44:D47"/>
    <mergeCell ref="B298:B300"/>
    <mergeCell ref="F237:F240"/>
    <mergeCell ref="O356:O358"/>
    <mergeCell ref="Q210:Q213"/>
    <mergeCell ref="Q332:Q335"/>
    <mergeCell ref="K340:K343"/>
    <mergeCell ref="P317:P319"/>
    <mergeCell ref="C25:C28"/>
    <mergeCell ref="S129:S131"/>
    <mergeCell ref="R160:R163"/>
    <mergeCell ref="K328:K331"/>
    <mergeCell ref="C230:C232"/>
    <mergeCell ref="E101:E104"/>
    <mergeCell ref="N171:N173"/>
    <mergeCell ref="H157:H159"/>
    <mergeCell ref="O109:O111"/>
    <mergeCell ref="J63:J65"/>
    <mergeCell ref="Q84:Q86"/>
    <mergeCell ref="Q78:Q80"/>
    <mergeCell ref="K25:K28"/>
    <mergeCell ref="P40:P43"/>
    <mergeCell ref="E44:E47"/>
    <mergeCell ref="C298:C300"/>
    <mergeCell ref="N121:N124"/>
    <mergeCell ref="O59:O62"/>
    <mergeCell ref="Q290:Q293"/>
    <mergeCell ref="C294:C297"/>
    <mergeCell ref="J154:J156"/>
    <mergeCell ref="H139:H141"/>
    <mergeCell ref="C191:C194"/>
    <mergeCell ref="O125:O128"/>
    <mergeCell ref="F233:F236"/>
    <mergeCell ref="D157:D159"/>
    <mergeCell ref="Q218:Q220"/>
    <mergeCell ref="M87:M89"/>
    <mergeCell ref="C98:C100"/>
    <mergeCell ref="F221:F223"/>
    <mergeCell ref="S320:S323"/>
    <mergeCell ref="Q125:Q128"/>
    <mergeCell ref="O37:O39"/>
    <mergeCell ref="O44:O47"/>
    <mergeCell ref="H90:H93"/>
    <mergeCell ref="I180:I183"/>
    <mergeCell ref="H214:H217"/>
    <mergeCell ref="D294:D297"/>
    <mergeCell ref="J301:J304"/>
    <mergeCell ref="J207:J209"/>
    <mergeCell ref="H109:H111"/>
    <mergeCell ref="C313:C316"/>
    <mergeCell ref="D101:D104"/>
    <mergeCell ref="G136:G138"/>
    <mergeCell ref="Q282:Q285"/>
    <mergeCell ref="N109:N111"/>
    <mergeCell ref="P290:P293"/>
    <mergeCell ref="J59:J62"/>
    <mergeCell ref="F136:F138"/>
    <mergeCell ref="P282:P285"/>
    <mergeCell ref="M118:M120"/>
    <mergeCell ref="H51:H54"/>
    <mergeCell ref="L118:L120"/>
    <mergeCell ref="K44:K47"/>
    <mergeCell ref="C136:C138"/>
    <mergeCell ref="E180:E183"/>
    <mergeCell ref="J70:J73"/>
    <mergeCell ref="L188:L190"/>
    <mergeCell ref="Q44:Q47"/>
    <mergeCell ref="O286:O289"/>
    <mergeCell ref="K180:K183"/>
    <mergeCell ref="D188:D190"/>
    <mergeCell ref="P44:P47"/>
    <mergeCell ref="H136:H138"/>
    <mergeCell ref="N25:N28"/>
    <mergeCell ref="I266:I269"/>
    <mergeCell ref="R348:R351"/>
    <mergeCell ref="Q98:Q100"/>
    <mergeCell ref="K207:K209"/>
    <mergeCell ref="G352:G355"/>
    <mergeCell ref="B278:B281"/>
    <mergeCell ref="N33:N36"/>
    <mergeCell ref="S290:S293"/>
    <mergeCell ref="M359:M362"/>
    <mergeCell ref="L139:L141"/>
    <mergeCell ref="K78:K80"/>
    <mergeCell ref="N201:N203"/>
    <mergeCell ref="D336:D339"/>
    <mergeCell ref="K332:K335"/>
    <mergeCell ref="M90:M93"/>
    <mergeCell ref="C145:C147"/>
    <mergeCell ref="Q87:Q89"/>
    <mergeCell ref="J237:J240"/>
    <mergeCell ref="D25:D28"/>
    <mergeCell ref="G98:G100"/>
    <mergeCell ref="E305:E308"/>
    <mergeCell ref="N59:N62"/>
    <mergeCell ref="L320:L323"/>
    <mergeCell ref="L328:L331"/>
    <mergeCell ref="Q118:Q120"/>
    <mergeCell ref="S309:S312"/>
    <mergeCell ref="B168:B170"/>
    <mergeCell ref="D230:D232"/>
    <mergeCell ref="S171:S173"/>
    <mergeCell ref="D224:D226"/>
    <mergeCell ref="K233:K236"/>
    <mergeCell ref="H37:H39"/>
    <mergeCell ref="O25:O28"/>
    <mergeCell ref="R98:R100"/>
    <mergeCell ref="C151:C153"/>
    <mergeCell ref="B81:B83"/>
    <mergeCell ref="L324:L327"/>
    <mergeCell ref="L78:L80"/>
    <mergeCell ref="E336:E339"/>
    <mergeCell ref="N90:N93"/>
    <mergeCell ref="D145:D147"/>
    <mergeCell ref="D139:D141"/>
    <mergeCell ref="O237:O240"/>
    <mergeCell ref="F201:F203"/>
    <mergeCell ref="M168:M170"/>
    <mergeCell ref="I44:I47"/>
    <mergeCell ref="G298:G300"/>
    <mergeCell ref="R121:R124"/>
    <mergeCell ref="J51:J54"/>
    <mergeCell ref="D270:D273"/>
    <mergeCell ref="R109:R111"/>
    <mergeCell ref="M51:M54"/>
    <mergeCell ref="C81:C83"/>
    <mergeCell ref="L241:L243"/>
    <mergeCell ref="I184:I187"/>
    <mergeCell ref="E139:E141"/>
    <mergeCell ref="N188:N190"/>
    <mergeCell ref="N218:N220"/>
    <mergeCell ref="K154:K156"/>
    <mergeCell ref="C63:C65"/>
    <mergeCell ref="J84:J86"/>
    <mergeCell ref="C221:C223"/>
    <mergeCell ref="N313:N316"/>
    <mergeCell ref="B129:B131"/>
    <mergeCell ref="E168:E170"/>
    <mergeCell ref="G230:G232"/>
    <mergeCell ref="O294:O297"/>
    <mergeCell ref="P105:P108"/>
    <mergeCell ref="I301:I304"/>
    <mergeCell ref="K59:K62"/>
    <mergeCell ref="S109:S111"/>
    <mergeCell ref="N63:N65"/>
    <mergeCell ref="K359:K362"/>
    <mergeCell ref="M241:M243"/>
    <mergeCell ref="M125:M128"/>
    <mergeCell ref="B251:B254"/>
    <mergeCell ref="Q70:Q73"/>
    <mergeCell ref="J90:J93"/>
    <mergeCell ref="B157:B159"/>
    <mergeCell ref="B164:B167"/>
    <mergeCell ref="O218:O220"/>
    <mergeCell ref="R352:R355"/>
    <mergeCell ref="L177:L179"/>
    <mergeCell ref="F320:F323"/>
    <mergeCell ref="F286:F289"/>
    <mergeCell ref="K174:K176"/>
    <mergeCell ref="Q317:Q319"/>
    <mergeCell ref="M286:M289"/>
    <mergeCell ref="R290:R293"/>
    <mergeCell ref="C184:C187"/>
    <mergeCell ref="Q188:Q190"/>
    <mergeCell ref="B241:B243"/>
    <mergeCell ref="B118:B120"/>
    <mergeCell ref="N125:N128"/>
    <mergeCell ref="B247:B250"/>
    <mergeCell ref="B184:B187"/>
    <mergeCell ref="C33:C36"/>
    <mergeCell ref="L214:L217"/>
    <mergeCell ref="E247:E250"/>
    <mergeCell ref="F344:F347"/>
    <mergeCell ref="N301:N304"/>
    <mergeCell ref="S191:S194"/>
    <mergeCell ref="N207:N209"/>
    <mergeCell ref="E244:E246"/>
    <mergeCell ref="G313:G316"/>
    <mergeCell ref="N309:N312"/>
    <mergeCell ref="O145:O147"/>
    <mergeCell ref="D174:D176"/>
    <mergeCell ref="L136:L138"/>
    <mergeCell ref="F118:F120"/>
    <mergeCell ref="R125:R128"/>
    <mergeCell ref="S98:S100"/>
    <mergeCell ref="E171:E173"/>
    <mergeCell ref="M324:M327"/>
    <mergeCell ref="H44:H47"/>
    <mergeCell ref="B180:B183"/>
    <mergeCell ref="N118:N120"/>
    <mergeCell ref="E51:E54"/>
    <mergeCell ref="M171:M173"/>
    <mergeCell ref="C270:C273"/>
    <mergeCell ref="R70:R73"/>
    <mergeCell ref="O340:O343"/>
    <mergeCell ref="J266:J269"/>
    <mergeCell ref="S59:S62"/>
    <mergeCell ref="L142:L144"/>
    <mergeCell ref="D78:D80"/>
    <mergeCell ref="G201:G203"/>
    <mergeCell ref="R33:R36"/>
    <mergeCell ref="Q359:Q362"/>
    <mergeCell ref="R201:R203"/>
    <mergeCell ref="M136:M138"/>
    <mergeCell ref="G118:G120"/>
    <mergeCell ref="S125:S128"/>
    <mergeCell ref="R210:R213"/>
    <mergeCell ref="C266:C269"/>
    <mergeCell ref="H25:H28"/>
    <mergeCell ref="K98:K100"/>
    <mergeCell ref="I305:I308"/>
    <mergeCell ref="N105:N108"/>
    <mergeCell ref="E324:E327"/>
    <mergeCell ref="P328:P331"/>
    <mergeCell ref="F262:F265"/>
    <mergeCell ref="F168:F170"/>
    <mergeCell ref="H230:H232"/>
    <mergeCell ref="H224:H226"/>
    <mergeCell ref="C132:C135"/>
    <mergeCell ref="J101:J104"/>
    <mergeCell ref="C51:C54"/>
    <mergeCell ref="M164:M167"/>
    <mergeCell ref="M340:M343"/>
    <mergeCell ref="D136:D138"/>
    <mergeCell ref="K109:K111"/>
    <mergeCell ref="M309:M312"/>
    <mergeCell ref="M84:M86"/>
    <mergeCell ref="S44:S47"/>
    <mergeCell ref="M180:M183"/>
    <mergeCell ref="R29:R32"/>
    <mergeCell ref="F359:F362"/>
    <mergeCell ref="P224:P226"/>
    <mergeCell ref="G344:G347"/>
    <mergeCell ref="D364:D366"/>
    <mergeCell ref="C90:C93"/>
    <mergeCell ref="D214:D217"/>
    <mergeCell ref="H305:H308"/>
    <mergeCell ref="O301:O304"/>
    <mergeCell ref="N81:N83"/>
    <mergeCell ref="Q286:Q289"/>
    <mergeCell ref="E286:E289"/>
    <mergeCell ref="C101:C104"/>
    <mergeCell ref="D51:D54"/>
    <mergeCell ref="L171:L173"/>
    <mergeCell ref="D305:D308"/>
    <mergeCell ref="N340:N343"/>
    <mergeCell ref="M59:M62"/>
    <mergeCell ref="H184:H187"/>
    <mergeCell ref="I157:I159"/>
    <mergeCell ref="I164:I167"/>
    <mergeCell ref="I340:I343"/>
    <mergeCell ref="D266:D269"/>
    <mergeCell ref="P359:P362"/>
    <mergeCell ref="N352:N355"/>
    <mergeCell ref="O207:O209"/>
    <mergeCell ref="K352:K355"/>
    <mergeCell ref="F278:F281"/>
    <mergeCell ref="E177:E179"/>
    <mergeCell ref="H298:H300"/>
    <mergeCell ref="E262:E265"/>
    <mergeCell ref="O328:O331"/>
    <mergeCell ref="F70:F73"/>
    <mergeCell ref="C340:C343"/>
    <mergeCell ref="I359:I362"/>
    <mergeCell ref="S25:S28"/>
    <mergeCell ref="N136:N138"/>
    <mergeCell ref="D112:D114"/>
    <mergeCell ref="F81:F83"/>
    <mergeCell ref="P324:P327"/>
    <mergeCell ref="P78:P80"/>
    <mergeCell ref="S201:S203"/>
    <mergeCell ref="K309:K312"/>
    <mergeCell ref="N164:N167"/>
    <mergeCell ref="I336:I339"/>
    <mergeCell ref="H145:H147"/>
    <mergeCell ref="Q168:Q170"/>
    <mergeCell ref="J201:J203"/>
    <mergeCell ref="S230:S232"/>
    <mergeCell ref="E136:E138"/>
    <mergeCell ref="K298:K300"/>
    <mergeCell ref="C55:C58"/>
    <mergeCell ref="E129:E131"/>
    <mergeCell ref="L98:L100"/>
    <mergeCell ref="N154:N156"/>
    <mergeCell ref="Q320:Q323"/>
    <mergeCell ref="F63:F65"/>
    <mergeCell ref="Q191:Q194"/>
    <mergeCell ref="N40:N43"/>
    <mergeCell ref="G195:G197"/>
    <mergeCell ref="I224:I226"/>
    <mergeCell ref="D132:D135"/>
    <mergeCell ref="S255:S258"/>
    <mergeCell ref="H328:H331"/>
    <mergeCell ref="O274:O277"/>
    <mergeCell ref="N151:N153"/>
    <mergeCell ref="H294:H297"/>
    <mergeCell ref="D9:D11"/>
    <mergeCell ref="G81:G83"/>
    <mergeCell ref="Q324:Q327"/>
    <mergeCell ref="O348:O351"/>
    <mergeCell ref="D370:D372"/>
    <mergeCell ref="D352:D355"/>
    <mergeCell ref="I145:I147"/>
    <mergeCell ref="J359:J362"/>
    <mergeCell ref="I139:I141"/>
    <mergeCell ref="H78:H80"/>
    <mergeCell ref="K201:K203"/>
    <mergeCell ref="L298:L300"/>
    <mergeCell ref="F129:F131"/>
    <mergeCell ref="S294:S297"/>
    <mergeCell ref="C66:C69"/>
    <mergeCell ref="B305:B308"/>
    <mergeCell ref="E160:E163"/>
    <mergeCell ref="G105:G108"/>
    <mergeCell ref="Q241:Q243"/>
    <mergeCell ref="B177:B179"/>
    <mergeCell ref="G101:G104"/>
    <mergeCell ref="F157:F159"/>
    <mergeCell ref="F164:F167"/>
    <mergeCell ref="S218:S220"/>
    <mergeCell ref="O78:O80"/>
    <mergeCell ref="H221:H223"/>
    <mergeCell ref="D109:D111"/>
    <mergeCell ref="O332:O335"/>
    <mergeCell ref="P174:P176"/>
    <mergeCell ref="Q142:Q144"/>
    <mergeCell ref="J286:J289"/>
    <mergeCell ref="L37:L39"/>
    <mergeCell ref="G151:G153"/>
    <mergeCell ref="J98:J100"/>
    <mergeCell ref="D317:D319"/>
    <mergeCell ref="R274:R277"/>
    <mergeCell ref="J33:J36"/>
    <mergeCell ref="M44:M47"/>
    <mergeCell ref="M37:M39"/>
    <mergeCell ref="L105:L108"/>
    <mergeCell ref="K313:K316"/>
    <mergeCell ref="S118:S120"/>
    <mergeCell ref="N51:N54"/>
    <mergeCell ref="C48:C50"/>
    <mergeCell ref="H174:H176"/>
    <mergeCell ref="R171:R173"/>
    <mergeCell ref="F214:F217"/>
    <mergeCell ref="B286:B289"/>
    <mergeCell ref="H270:H273"/>
    <mergeCell ref="F230:F232"/>
    <mergeCell ref="O266:O269"/>
    <mergeCell ref="L44:L47"/>
    <mergeCell ref="S40:S43"/>
    <mergeCell ref="F180:F183"/>
    <mergeCell ref="K63:K65"/>
    <mergeCell ref="Q33:Q36"/>
    <mergeCell ref="G63:G65"/>
    <mergeCell ref="N84:N86"/>
    <mergeCell ref="G221:G223"/>
    <mergeCell ref="N180:N183"/>
    <mergeCell ref="F241:F243"/>
    <mergeCell ref="J55:J58"/>
    <mergeCell ref="P142:P144"/>
    <mergeCell ref="F247:F250"/>
    <mergeCell ref="L25:L28"/>
    <mergeCell ref="P348:P351"/>
    <mergeCell ref="O98:O100"/>
    <mergeCell ref="R221:R223"/>
    <mergeCell ref="R105:R108"/>
    <mergeCell ref="M332:M335"/>
    <mergeCell ref="O90:O93"/>
    <mergeCell ref="J262:J265"/>
    <mergeCell ref="B336:B339"/>
    <mergeCell ref="D94:D97"/>
    <mergeCell ref="G129:G131"/>
    <mergeCell ref="L230:L232"/>
    <mergeCell ref="J168:J170"/>
    <mergeCell ref="C201:C203"/>
    <mergeCell ref="L224:L226"/>
    <mergeCell ref="F44:F47"/>
    <mergeCell ref="L237:L240"/>
    <mergeCell ref="D298:D300"/>
    <mergeCell ref="Q164:Q167"/>
    <mergeCell ref="P59:P62"/>
    <mergeCell ref="G154:G156"/>
    <mergeCell ref="J320:J323"/>
    <mergeCell ref="R118:R120"/>
    <mergeCell ref="B48:B50"/>
    <mergeCell ref="B55:B58"/>
    <mergeCell ref="Q171:Q173"/>
    <mergeCell ref="E214:E217"/>
    <mergeCell ref="G270:G273"/>
    <mergeCell ref="N266:N269"/>
    <mergeCell ref="B74:B77"/>
    <mergeCell ref="R188:R190"/>
    <mergeCell ref="E157:E159"/>
    <mergeCell ref="D356:D358"/>
    <mergeCell ref="K184:K187"/>
    <mergeCell ref="R180:R183"/>
    <mergeCell ref="J241:J243"/>
    <mergeCell ref="H33:H36"/>
    <mergeCell ref="C139:C141"/>
    <mergeCell ref="N55:N58"/>
    <mergeCell ref="J247:J250"/>
    <mergeCell ref="K344:K347"/>
    <mergeCell ref="L305:L308"/>
    <mergeCell ref="S301:S304"/>
    <mergeCell ref="R81:R83"/>
    <mergeCell ref="S207:S209"/>
    <mergeCell ref="S328:S331"/>
    <mergeCell ref="I174:I176"/>
    <mergeCell ref="N282:N285"/>
    <mergeCell ref="Q136:Q138"/>
    <mergeCell ref="K230:K232"/>
    <mergeCell ref="R233:R236"/>
    <mergeCell ref="E37:E39"/>
    <mergeCell ref="C286:C289"/>
    <mergeCell ref="K118:K120"/>
    <mergeCell ref="F51:F54"/>
    <mergeCell ref="J171:J173"/>
    <mergeCell ref="G266:G269"/>
    <mergeCell ref="S340:S343"/>
    <mergeCell ref="D313:D316"/>
    <mergeCell ref="M336:M339"/>
    <mergeCell ref="R241:R243"/>
    <mergeCell ref="Q309:Q312"/>
    <mergeCell ref="C204:C206"/>
    <mergeCell ref="R247:R250"/>
    <mergeCell ref="F74:F77"/>
    <mergeCell ref="C29:C32"/>
    <mergeCell ref="N332:N335"/>
    <mergeCell ref="P90:P93"/>
    <mergeCell ref="K37:K39"/>
    <mergeCell ref="S101:S104"/>
    <mergeCell ref="B139:B141"/>
    <mergeCell ref="D201:D203"/>
    <mergeCell ref="M237:M240"/>
    <mergeCell ref="M224:M226"/>
    <mergeCell ref="H132:H135"/>
    <mergeCell ref="E298:E300"/>
    <mergeCell ref="B262:B265"/>
    <mergeCell ref="R164:R167"/>
    <mergeCell ref="Q59:Q62"/>
    <mergeCell ref="L294:L297"/>
    <mergeCell ref="F101:F104"/>
    <mergeCell ref="P109:P111"/>
    <mergeCell ref="O154:O156"/>
    <mergeCell ref="L109:L111"/>
    <mergeCell ref="K324:K327"/>
    <mergeCell ref="B44:B47"/>
    <mergeCell ref="C168:C170"/>
    <mergeCell ref="B84:B86"/>
    <mergeCell ref="H251:H254"/>
    <mergeCell ref="B105:B108"/>
    <mergeCell ref="S145:S147"/>
    <mergeCell ref="R84:R86"/>
    <mergeCell ref="D198:D200"/>
    <mergeCell ref="C259:C261"/>
    <mergeCell ref="B224:B226"/>
    <mergeCell ref="Q180:Q183"/>
    <mergeCell ref="E21:E24"/>
    <mergeCell ref="Q109:Q111"/>
    <mergeCell ref="O352:O355"/>
    <mergeCell ref="J278:J281"/>
    <mergeCell ref="I177:I179"/>
    <mergeCell ref="S84:S86"/>
    <mergeCell ref="D259:D261"/>
    <mergeCell ref="S78:S80"/>
    <mergeCell ref="E356:E358"/>
    <mergeCell ref="L184:L187"/>
    <mergeCell ref="S332:S335"/>
    <mergeCell ref="E227:E229"/>
    <mergeCell ref="F317:F319"/>
    <mergeCell ref="K247:K250"/>
    <mergeCell ref="P37:P39"/>
    <mergeCell ref="N286:N289"/>
    <mergeCell ref="J180:J183"/>
    <mergeCell ref="L344:L347"/>
    <mergeCell ref="R237:R240"/>
    <mergeCell ref="F55:F58"/>
    <mergeCell ref="I214:I217"/>
    <mergeCell ref="M305:M308"/>
    <mergeCell ref="S81:S83"/>
    <mergeCell ref="E74:E77"/>
    <mergeCell ref="K278:K281"/>
    <mergeCell ref="J81:J83"/>
    <mergeCell ref="Q37:Q39"/>
    <mergeCell ref="E313:E316"/>
    <mergeCell ref="E344:E347"/>
    <mergeCell ref="F305:F308"/>
    <mergeCell ref="L81:L83"/>
    <mergeCell ref="P25:P28"/>
    <mergeCell ref="B174:B176"/>
    <mergeCell ref="P298:P300"/>
    <mergeCell ref="F151:F153"/>
    <mergeCell ref="O210:O213"/>
    <mergeCell ref="J129:J131"/>
    <mergeCell ref="I191:I194"/>
    <mergeCell ref="D328:D331"/>
    <mergeCell ref="C227:C229"/>
    <mergeCell ref="D87:D89"/>
    <mergeCell ref="D171:D173"/>
    <mergeCell ref="D118:D120"/>
    <mergeCell ref="E230:E232"/>
    <mergeCell ref="E224:E226"/>
    <mergeCell ref="B195:B197"/>
    <mergeCell ref="J164:J167"/>
    <mergeCell ref="G112:G114"/>
    <mergeCell ref="F324:F327"/>
    <mergeCell ref="M320:M323"/>
    <mergeCell ref="H320:H323"/>
    <mergeCell ref="I125:I128"/>
    <mergeCell ref="L154:L156"/>
    <mergeCell ref="O320:O323"/>
    <mergeCell ref="N129:N131"/>
    <mergeCell ref="K191:K194"/>
    <mergeCell ref="P320:P323"/>
    <mergeCell ref="C262:C265"/>
    <mergeCell ref="B171:B173"/>
    <mergeCell ref="B214:B217"/>
    <mergeCell ref="P98:P100"/>
    <mergeCell ref="J324:J327"/>
    <mergeCell ref="F184:F187"/>
    <mergeCell ref="G157:G159"/>
    <mergeCell ref="D278:D281"/>
    <mergeCell ref="D148:D150"/>
    <mergeCell ref="N139:N141"/>
    <mergeCell ref="P201:P203"/>
    <mergeCell ref="P352:P355"/>
    <mergeCell ref="B233:B236"/>
    <mergeCell ref="B142:B144"/>
    <mergeCell ref="C320:C323"/>
    <mergeCell ref="M40:M43"/>
    <mergeCell ref="N344:N347"/>
    <mergeCell ref="O40:O43"/>
    <mergeCell ref="F40:F43"/>
    <mergeCell ref="J188:J190"/>
    <mergeCell ref="E115:E117"/>
    <mergeCell ref="B210:B213"/>
    <mergeCell ref="F66:F69"/>
    <mergeCell ref="D274:D277"/>
    <mergeCell ref="D301:D304"/>
    <mergeCell ref="C247:C250"/>
    <mergeCell ref="L270:L273"/>
    <mergeCell ref="D344:D347"/>
    <mergeCell ref="L301:L304"/>
    <mergeCell ref="H352:H355"/>
    <mergeCell ref="C278:C281"/>
    <mergeCell ref="J44:J47"/>
    <mergeCell ref="K51:K54"/>
    <mergeCell ref="M174:M176"/>
    <mergeCell ref="O230:O232"/>
    <mergeCell ref="D247:D250"/>
    <mergeCell ref="F177:F179"/>
    <mergeCell ref="C148:C150"/>
    <mergeCell ref="M145:M147"/>
    <mergeCell ref="S51:S54"/>
    <mergeCell ref="Q298:Q300"/>
    <mergeCell ref="N262:N265"/>
    <mergeCell ref="F336:F339"/>
    <mergeCell ref="H94:H97"/>
    <mergeCell ref="E145:E147"/>
    <mergeCell ref="P210:P213"/>
    <mergeCell ref="K129:K131"/>
    <mergeCell ref="H66:H69"/>
    <mergeCell ref="E259:E261"/>
    <mergeCell ref="N320:N323"/>
    <mergeCell ref="J160:J163"/>
    <mergeCell ref="D262:D265"/>
    <mergeCell ref="G204:G206"/>
    <mergeCell ref="L101:L104"/>
    <mergeCell ref="D168:D170"/>
    <mergeCell ref="F224:F226"/>
    <mergeCell ref="J184:J187"/>
    <mergeCell ref="K157:K159"/>
    <mergeCell ref="K164:K167"/>
    <mergeCell ref="M74:M77"/>
    <mergeCell ref="L115:L117"/>
    <mergeCell ref="N184:N187"/>
    <mergeCell ref="E290:E293"/>
    <mergeCell ref="N336:N339"/>
    <mergeCell ref="O160:O163"/>
    <mergeCell ref="H317:H319"/>
    <mergeCell ref="F251:F254"/>
    <mergeCell ref="M247:M250"/>
    <mergeCell ref="J309:J312"/>
    <mergeCell ref="L151:L153"/>
    <mergeCell ref="P118:P120"/>
    <mergeCell ref="C214:C217"/>
    <mergeCell ref="D379:D381"/>
    <mergeCell ref="G29:G32"/>
    <mergeCell ref="R332:R335"/>
    <mergeCell ref="O262:O265"/>
    <mergeCell ref="G336:G339"/>
    <mergeCell ref="I94:I97"/>
    <mergeCell ref="F145:F147"/>
    <mergeCell ref="F139:F141"/>
    <mergeCell ref="Q237:Q240"/>
    <mergeCell ref="H201:H203"/>
    <mergeCell ref="O168:O170"/>
    <mergeCell ref="Q224:Q226"/>
    <mergeCell ref="I298:I300"/>
    <mergeCell ref="C129:C131"/>
    <mergeCell ref="P294:P297"/>
    <mergeCell ref="D221:D223"/>
    <mergeCell ref="O313:O316"/>
    <mergeCell ref="H198:H200"/>
    <mergeCell ref="O184:O187"/>
    <mergeCell ref="N241:N243"/>
    <mergeCell ref="E188:E190"/>
    <mergeCell ref="N247:N250"/>
    <mergeCell ref="O344:O347"/>
    <mergeCell ref="C251:C254"/>
    <mergeCell ref="R63:R65"/>
    <mergeCell ref="R37:R39"/>
    <mergeCell ref="Q105:Q108"/>
    <mergeCell ref="P313:P316"/>
    <mergeCell ref="E174:E176"/>
    <mergeCell ref="O29:O32"/>
    <mergeCell ref="I352:I355"/>
    <mergeCell ref="S352:S355"/>
    <mergeCell ref="N278:N281"/>
    <mergeCell ref="M177:M179"/>
    <mergeCell ref="P63:P65"/>
    <mergeCell ref="I198:I200"/>
    <mergeCell ref="H259:H261"/>
    <mergeCell ref="M25:M28"/>
    <mergeCell ref="C282:C285"/>
    <mergeCell ref="P184:P187"/>
    <mergeCell ref="S55:S58"/>
    <mergeCell ref="I227:I229"/>
    <mergeCell ref="J317:J319"/>
    <mergeCell ref="C125:C128"/>
    <mergeCell ref="O247:O250"/>
    <mergeCell ref="P344:P347"/>
    <mergeCell ref="D251:D254"/>
    <mergeCell ref="E87:E89"/>
    <mergeCell ref="D151:D153"/>
    <mergeCell ref="Q305:Q308"/>
    <mergeCell ref="J221:J223"/>
    <mergeCell ref="I74:I77"/>
    <mergeCell ref="G160:G163"/>
    <mergeCell ref="N168:N170"/>
    <mergeCell ref="P230:P232"/>
    <mergeCell ref="H286:H289"/>
    <mergeCell ref="S90:S93"/>
    <mergeCell ref="K151:K153"/>
    <mergeCell ref="E294:E297"/>
    <mergeCell ref="I109:I111"/>
    <mergeCell ref="L145:L147"/>
    <mergeCell ref="S164:S167"/>
    <mergeCell ref="S154:S156"/>
    <mergeCell ref="O63:O65"/>
    <mergeCell ref="O221:O223"/>
    <mergeCell ref="H29:H32"/>
    <mergeCell ref="G139:G141"/>
    <mergeCell ref="I201:I203"/>
    <mergeCell ref="R224:R226"/>
    <mergeCell ref="M132:M135"/>
    <mergeCell ref="J298:J300"/>
    <mergeCell ref="G262:G265"/>
    <mergeCell ref="O101:O104"/>
    <mergeCell ref="G168:G170"/>
    <mergeCell ref="I237:I240"/>
    <mergeCell ref="Q294:Q297"/>
    <mergeCell ref="R136:R138"/>
    <mergeCell ref="N37:N39"/>
    <mergeCell ref="I37:I39"/>
    <mergeCell ref="G286:G289"/>
    <mergeCell ref="M270:M273"/>
    <mergeCell ref="J290:J293"/>
    <mergeCell ref="O139:O141"/>
    <mergeCell ref="Q201:Q203"/>
    <mergeCell ref="R298:R300"/>
    <mergeCell ref="H151:H153"/>
    <mergeCell ref="I241:I243"/>
    <mergeCell ref="I244:I246"/>
    <mergeCell ref="P266:P269"/>
    <mergeCell ref="M139:M141"/>
    <mergeCell ref="O201:O203"/>
    <mergeCell ref="R51:R54"/>
    <mergeCell ref="G55:G58"/>
    <mergeCell ref="M33:M36"/>
    <mergeCell ref="R154:R156"/>
    <mergeCell ref="S359:S362"/>
    <mergeCell ref="R139:R141"/>
    <mergeCell ref="I230:I232"/>
    <mergeCell ref="R266:R269"/>
    <mergeCell ref="O129:O131"/>
    <mergeCell ref="N157:N159"/>
    <mergeCell ref="L66:L69"/>
    <mergeCell ref="I259:I261"/>
    <mergeCell ref="P221:P223"/>
    <mergeCell ref="R320:R323"/>
    <mergeCell ref="R286:R289"/>
    <mergeCell ref="H262:H265"/>
    <mergeCell ref="K177:K179"/>
    <mergeCell ref="S286:S289"/>
    <mergeCell ref="R305:R308"/>
    <mergeCell ref="Q251:Q254"/>
    <mergeCell ref="R218:R220"/>
    <mergeCell ref="Q151:Q153"/>
    <mergeCell ref="M344:M347"/>
    <mergeCell ref="P66:P69"/>
    <mergeCell ref="Q352:Q355"/>
    <mergeCell ref="Q266:Q269"/>
    <mergeCell ref="J151:J153"/>
    <mergeCell ref="K241:K243"/>
    <mergeCell ref="K66:K69"/>
    <mergeCell ref="K101:K104"/>
    <mergeCell ref="R112:R114"/>
    <mergeCell ref="S195:S197"/>
    <mergeCell ref="O309:O312"/>
    <mergeCell ref="S324:S327"/>
    <mergeCell ref="N324:N327"/>
    <mergeCell ref="S184:S187"/>
    <mergeCell ref="C40:C43"/>
    <mergeCell ref="P101:P104"/>
    <mergeCell ref="H168:H170"/>
    <mergeCell ref="J224:J226"/>
    <mergeCell ref="M214:M217"/>
    <mergeCell ref="O164:O167"/>
    <mergeCell ref="L112:L114"/>
    <mergeCell ref="I294:I297"/>
    <mergeCell ref="J136:J138"/>
    <mergeCell ref="O278:O281"/>
    <mergeCell ref="N359:N362"/>
    <mergeCell ref="M109:M111"/>
    <mergeCell ref="F244:F246"/>
    <mergeCell ref="H313:H316"/>
    <mergeCell ref="C84:C86"/>
    <mergeCell ref="P145:P147"/>
    <mergeCell ref="I251:I254"/>
    <mergeCell ref="F115:F117"/>
    <mergeCell ref="N44:N47"/>
    <mergeCell ref="L286:L289"/>
    <mergeCell ref="O51:O54"/>
    <mergeCell ref="D48:D50"/>
    <mergeCell ref="D55:D58"/>
    <mergeCell ref="G214:G217"/>
    <mergeCell ref="K305:K308"/>
    <mergeCell ref="I270:I273"/>
    <mergeCell ref="P136:P138"/>
    <mergeCell ref="K136:K138"/>
    <mergeCell ref="D184:D187"/>
    <mergeCell ref="I188:I190"/>
    <mergeCell ref="F154:F156"/>
    <mergeCell ref="I59:I62"/>
    <mergeCell ref="B21:B24"/>
    <mergeCell ref="L352:L355"/>
    <mergeCell ref="G278:G281"/>
    <mergeCell ref="B198:B200"/>
    <mergeCell ref="B356:B358"/>
    <mergeCell ref="G115:G117"/>
    <mergeCell ref="D210:D213"/>
    <mergeCell ref="G121:G124"/>
    <mergeCell ref="P332:P335"/>
    <mergeCell ref="L55:L58"/>
    <mergeCell ref="Q174:Q176"/>
    <mergeCell ref="B227:B229"/>
    <mergeCell ref="C317:C319"/>
    <mergeCell ref="H247:H250"/>
    <mergeCell ref="Q270:Q273"/>
    <mergeCell ref="I344:I347"/>
    <mergeCell ref="J305:J308"/>
    <mergeCell ref="P81:P83"/>
    <mergeCell ref="M352:M355"/>
    <mergeCell ref="E233:E236"/>
    <mergeCell ref="H148:H150"/>
    <mergeCell ref="J21:J24"/>
    <mergeCell ref="B90:B93"/>
    <mergeCell ref="O180:O183"/>
    <mergeCell ref="K55:K58"/>
    <mergeCell ref="N214:N217"/>
    <mergeCell ref="G247:G250"/>
    <mergeCell ref="P270:P273"/>
    <mergeCell ref="H344:H347"/>
    <mergeCell ref="I21:I24"/>
    <mergeCell ref="B132:B135"/>
    <mergeCell ref="L332:L335"/>
    <mergeCell ref="D373:D375"/>
    <mergeCell ref="C74:C77"/>
    <mergeCell ref="B282:B285"/>
    <mergeCell ref="I148:I150"/>
    <mergeCell ref="H81:H83"/>
    <mergeCell ref="K204:K206"/>
    <mergeCell ref="S139:S141"/>
    <mergeCell ref="R324:R327"/>
    <mergeCell ref="K29:K32"/>
    <mergeCell ref="H195:H197"/>
    <mergeCell ref="E132:E135"/>
    <mergeCell ref="S262:S265"/>
    <mergeCell ref="K336:K339"/>
    <mergeCell ref="M94:M97"/>
    <mergeCell ref="J145:J147"/>
    <mergeCell ref="O33:O36"/>
    <mergeCell ref="J139:J141"/>
    <mergeCell ref="L201:L203"/>
    <mergeCell ref="S168:S170"/>
    <mergeCell ref="J259:J261"/>
    <mergeCell ref="D241:D243"/>
    <mergeCell ref="D66:D69"/>
    <mergeCell ref="H63:H65"/>
    <mergeCell ref="S313:S316"/>
    <mergeCell ref="L198:L200"/>
    <mergeCell ref="Q101:Q104"/>
    <mergeCell ref="K224:K226"/>
    <mergeCell ref="F132:F135"/>
    <mergeCell ref="I255:I258"/>
    <mergeCell ref="P164:P167"/>
    <mergeCell ref="H101:H104"/>
    <mergeCell ref="J294:J297"/>
    <mergeCell ref="G244:G246"/>
    <mergeCell ref="L132:L135"/>
    <mergeCell ref="E48:E50"/>
    <mergeCell ref="L51:L54"/>
    <mergeCell ref="R25:R28"/>
    <mergeCell ref="R359:R362"/>
    <mergeCell ref="J244:J246"/>
    <mergeCell ref="L313:L316"/>
    <mergeCell ref="E204:E206"/>
    <mergeCell ref="E198:E200"/>
    <mergeCell ref="M251:M254"/>
    <mergeCell ref="Q25:Q28"/>
    <mergeCell ref="L74:L77"/>
    <mergeCell ref="O233:O236"/>
    <mergeCell ref="Q195:Q197"/>
    <mergeCell ref="N132:N135"/>
    <mergeCell ref="G48:G50"/>
    <mergeCell ref="J230:J232"/>
    <mergeCell ref="F356:F358"/>
    <mergeCell ref="K115:K117"/>
    <mergeCell ref="M184:M187"/>
    <mergeCell ref="K121:K124"/>
    <mergeCell ref="P55:P58"/>
    <mergeCell ref="G317:G319"/>
    <mergeCell ref="L247:L250"/>
    <mergeCell ref="F195:F197"/>
    <mergeCell ref="K112:K114"/>
    <mergeCell ref="K301:K304"/>
    <mergeCell ref="E270:E273"/>
    <mergeCell ref="F112:F114"/>
    <mergeCell ref="G207:G209"/>
    <mergeCell ref="F270:F273"/>
    <mergeCell ref="B255:B258"/>
    <mergeCell ref="M157:M159"/>
    <mergeCell ref="J87:J89"/>
    <mergeCell ref="J94:J97"/>
    <mergeCell ref="O55:O58"/>
    <mergeCell ref="I151:I153"/>
    <mergeCell ref="N74:N77"/>
    <mergeCell ref="S37:S39"/>
    <mergeCell ref="P132:P135"/>
    <mergeCell ref="M298:M300"/>
    <mergeCell ref="I48:I50"/>
    <mergeCell ref="P51:P54"/>
    <mergeCell ref="C160:C163"/>
    <mergeCell ref="E55:E58"/>
    <mergeCell ref="J174:J176"/>
    <mergeCell ref="J270:J273"/>
    <mergeCell ref="O241:O243"/>
    <mergeCell ref="C290:C293"/>
    <mergeCell ref="I101:I104"/>
    <mergeCell ref="G125:G128"/>
    <mergeCell ref="C224:C226"/>
    <mergeCell ref="F84:F86"/>
    <mergeCell ref="E112:E114"/>
    <mergeCell ref="F174:F176"/>
    <mergeCell ref="R90:R93"/>
    <mergeCell ref="O48:O50"/>
    <mergeCell ref="G177:G179"/>
    <mergeCell ref="G274:G277"/>
    <mergeCell ref="N270:N273"/>
    <mergeCell ref="O112:O114"/>
    <mergeCell ref="N195:N197"/>
    <mergeCell ref="P214:P217"/>
    <mergeCell ref="C305:C308"/>
    <mergeCell ref="I81:I83"/>
    <mergeCell ref="S63:S65"/>
    <mergeCell ref="L29:L32"/>
    <mergeCell ref="K139:K141"/>
    <mergeCell ref="M201:M203"/>
    <mergeCell ref="N298:N300"/>
    <mergeCell ref="M21:M24"/>
    <mergeCell ref="B270:B273"/>
    <mergeCell ref="C112:C114"/>
    <mergeCell ref="I136:I138"/>
    <mergeCell ref="B148:B150"/>
    <mergeCell ref="D204:D206"/>
    <mergeCell ref="M227:M229"/>
    <mergeCell ref="D29:D32"/>
    <mergeCell ref="L262:L265"/>
    <mergeCell ref="B317:B319"/>
    <mergeCell ref="G40:G43"/>
    <mergeCell ref="L168:L170"/>
    <mergeCell ref="E201:E203"/>
    <mergeCell ref="N230:N232"/>
    <mergeCell ref="N237:N240"/>
    <mergeCell ref="Q214:Q217"/>
    <mergeCell ref="F59:F62"/>
    <mergeCell ref="M294:M297"/>
    <mergeCell ref="H282:H285"/>
    <mergeCell ref="H129:H131"/>
    <mergeCell ref="E66:E69"/>
    <mergeCell ref="B259:B261"/>
    <mergeCell ref="I221:I223"/>
    <mergeCell ref="C207:C209"/>
    <mergeCell ref="M198:M200"/>
    <mergeCell ref="C21:C24"/>
    <mergeCell ref="S237:S240"/>
    <mergeCell ref="B87:B89"/>
    <mergeCell ref="B94:B97"/>
    <mergeCell ref="N305:N308"/>
    <mergeCell ref="P244:P246"/>
    <mergeCell ref="S105:S108"/>
    <mergeCell ref="Q132:Q135"/>
    <mergeCell ref="L148:L150"/>
    <mergeCell ref="I233:I236"/>
    <mergeCell ref="N177:N179"/>
    <mergeCell ref="K262:K265"/>
    <mergeCell ref="C336:C339"/>
    <mergeCell ref="D160:D163"/>
    <mergeCell ref="K168:K170"/>
    <mergeCell ref="M230:M232"/>
    <mergeCell ref="K270:K273"/>
    <mergeCell ref="P241:P243"/>
    <mergeCell ref="L278:L281"/>
    <mergeCell ref="F259:F261"/>
    <mergeCell ref="R262:R265"/>
    <mergeCell ref="J336:J339"/>
    <mergeCell ref="K160:K163"/>
    <mergeCell ref="R174:R176"/>
    <mergeCell ref="R168:R170"/>
    <mergeCell ref="I247:I250"/>
    <mergeCell ref="G328:G331"/>
    <mergeCell ref="M313:M316"/>
    <mergeCell ref="S177:S179"/>
    <mergeCell ref="I313:I316"/>
    <mergeCell ref="Q145:Q147"/>
    <mergeCell ref="Q139:Q141"/>
    <mergeCell ref="C87:C89"/>
    <mergeCell ref="C94:C97"/>
    <mergeCell ref="C121:C124"/>
    <mergeCell ref="H55:H58"/>
    <mergeCell ref="O305:O308"/>
    <mergeCell ref="G74:G77"/>
    <mergeCell ref="J233:J236"/>
    <mergeCell ref="M148:M150"/>
    <mergeCell ref="O204:O206"/>
    <mergeCell ref="C118:C120"/>
    <mergeCell ref="L195:L197"/>
    <mergeCell ref="I132:I135"/>
    <mergeCell ref="I51:I54"/>
    <mergeCell ref="Q66:Q69"/>
    <mergeCell ref="N259:N261"/>
    <mergeCell ref="C115:C117"/>
    <mergeCell ref="L63:L65"/>
    <mergeCell ref="D290:D293"/>
    <mergeCell ref="C188:C190"/>
    <mergeCell ref="E251:E254"/>
    <mergeCell ref="D129:D131"/>
    <mergeCell ref="E151:E153"/>
    <mergeCell ref="D81:D83"/>
    <mergeCell ref="E221:E223"/>
    <mergeCell ref="Q154:Q156"/>
    <mergeCell ref="D218:D220"/>
    <mergeCell ref="C157:C159"/>
    <mergeCell ref="Q74:Q77"/>
    <mergeCell ref="M66:M69"/>
    <mergeCell ref="H70:H73"/>
    <mergeCell ref="G66:G69"/>
    <mergeCell ref="K221:K223"/>
    <mergeCell ref="B70:B73"/>
    <mergeCell ref="I66:I69"/>
    <mergeCell ref="F21:F24"/>
    <mergeCell ref="J344:J347"/>
    <mergeCell ref="M63:M65"/>
    <mergeCell ref="M221:M223"/>
    <mergeCell ref="Q198:Q200"/>
    <mergeCell ref="F227:F229"/>
    <mergeCell ref="M101:M104"/>
    <mergeCell ref="G224:G226"/>
    <mergeCell ref="E255:E258"/>
    <mergeCell ref="D195:D197"/>
    <mergeCell ref="I112:I114"/>
    <mergeCell ref="G21:G24"/>
    <mergeCell ref="B274:B277"/>
    <mergeCell ref="S33:S36"/>
    <mergeCell ref="E29:E32"/>
    <mergeCell ref="S180:S183"/>
    <mergeCell ref="H40:H43"/>
    <mergeCell ref="B188:B190"/>
    <mergeCell ref="O224:O226"/>
    <mergeCell ref="J132:J135"/>
    <mergeCell ref="R214:R217"/>
    <mergeCell ref="I55:I58"/>
    <mergeCell ref="N174:N176"/>
    <mergeCell ref="S241:S243"/>
    <mergeCell ref="G290:G293"/>
    <mergeCell ref="Q177:Q179"/>
    <mergeCell ref="C171:C173"/>
    <mergeCell ref="G305:G308"/>
    <mergeCell ref="M81:M83"/>
    <mergeCell ref="P204:P206"/>
    <mergeCell ref="P29:P32"/>
    <mergeCell ref="M195:M197"/>
    <mergeCell ref="R94:R97"/>
    <mergeCell ref="E148:E150"/>
    <mergeCell ref="M255:M258"/>
    <mergeCell ref="H244:H246"/>
    <mergeCell ref="Q112:Q114"/>
    <mergeCell ref="N294:N297"/>
    <mergeCell ref="O136:O138"/>
    <mergeCell ref="K244:K246"/>
    <mergeCell ref="J48:J50"/>
    <mergeCell ref="Q51:Q54"/>
    <mergeCell ref="R59:R62"/>
    <mergeCell ref="S278:S281"/>
    <mergeCell ref="R278:R281"/>
    <mergeCell ref="S247:S250"/>
    <mergeCell ref="H278:H281"/>
    <mergeCell ref="N221:N223"/>
    <mergeCell ref="H115:H117"/>
    <mergeCell ref="H87:H89"/>
    <mergeCell ref="H121:H124"/>
    <mergeCell ref="M55:M58"/>
    <mergeCell ref="G142:G144"/>
    <mergeCell ref="Q63:Q65"/>
    <mergeCell ref="K274:K277"/>
    <mergeCell ref="S132:S135"/>
    <mergeCell ref="M262:M265"/>
    <mergeCell ref="P177:P179"/>
    <mergeCell ref="F160:F163"/>
    <mergeCell ref="G241:G243"/>
    <mergeCell ref="F282:F285"/>
    <mergeCell ref="N160:N163"/>
    <mergeCell ref="Q21:Q24"/>
    <mergeCell ref="J348:J351"/>
    <mergeCell ref="Q356:Q358"/>
    <mergeCell ref="F148:F150"/>
    <mergeCell ref="H204:H206"/>
    <mergeCell ref="P139:P141"/>
    <mergeCell ref="Q227:Q229"/>
    <mergeCell ref="G210:G213"/>
    <mergeCell ref="E195:E197"/>
    <mergeCell ref="M129:M131"/>
    <mergeCell ref="C70:C73"/>
    <mergeCell ref="J66:J69"/>
    <mergeCell ref="I317:I319"/>
    <mergeCell ref="B344:B347"/>
    <mergeCell ref="D191:D194"/>
    <mergeCell ref="N101:N104"/>
    <mergeCell ref="F255:F258"/>
    <mergeCell ref="K214:K217"/>
    <mergeCell ref="Q157:Q159"/>
    <mergeCell ref="L336:L339"/>
    <mergeCell ref="N87:N89"/>
    <mergeCell ref="N94:N97"/>
    <mergeCell ref="M151:M153"/>
    <mergeCell ref="K259:K261"/>
    <mergeCell ref="D98:D100"/>
    <mergeCell ref="M278:M281"/>
    <mergeCell ref="L356:L358"/>
    <mergeCell ref="O336:O339"/>
    <mergeCell ref="N145:N147"/>
    <mergeCell ref="D115:D117"/>
    <mergeCell ref="M48:M50"/>
    <mergeCell ref="D121:D124"/>
    <mergeCell ref="C356:C358"/>
    <mergeCell ref="R44:R47"/>
    <mergeCell ref="D376:D378"/>
    <mergeCell ref="S305:S308"/>
    <mergeCell ref="L221:L223"/>
    <mergeCell ref="B320:B323"/>
    <mergeCell ref="K74:K77"/>
    <mergeCell ref="N233:N236"/>
    <mergeCell ref="Q148:Q150"/>
    <mergeCell ref="P262:P265"/>
    <mergeCell ref="S204:S206"/>
    <mergeCell ref="P168:P170"/>
    <mergeCell ref="R230:R232"/>
    <mergeCell ref="F48:F50"/>
    <mergeCell ref="R21:R24"/>
    <mergeCell ref="C195:C197"/>
    <mergeCell ref="H112:H114"/>
    <mergeCell ref="B40:B43"/>
    <mergeCell ref="I204:I206"/>
    <mergeCell ref="R227:R229"/>
    <mergeCell ref="B348:B351"/>
    <mergeCell ref="B33:B36"/>
    <mergeCell ref="I29:I32"/>
    <mergeCell ref="B340:B343"/>
    <mergeCell ref="F188:F190"/>
    <mergeCell ref="S224:S226"/>
    <mergeCell ref="L244:L246"/>
    <mergeCell ref="R294:R297"/>
    <mergeCell ref="B66:B69"/>
    <mergeCell ref="S136:S138"/>
    <mergeCell ref="C344:C347"/>
    <mergeCell ref="B59:B62"/>
    <mergeCell ref="C309:C312"/>
    <mergeCell ref="F348:F351"/>
    <mergeCell ref="G132:G135"/>
    <mergeCell ref="F340:F343"/>
    <mergeCell ref="C180:C183"/>
    <mergeCell ref="H359:H362"/>
    <mergeCell ref="G348:G351"/>
    <mergeCell ref="D40:D43"/>
    <mergeCell ref="D340:D343"/>
    <mergeCell ref="C59:C62"/>
    <mergeCell ref="M112:M114"/>
    <mergeCell ref="P278:P281"/>
    <mergeCell ref="K198:K200"/>
    <mergeCell ref="P115:P117"/>
    <mergeCell ref="R184:R187"/>
    <mergeCell ref="I290:I293"/>
    <mergeCell ref="C359:C362"/>
    <mergeCell ref="R336:R339"/>
    <mergeCell ref="G340:G343"/>
    <mergeCell ref="L317:L319"/>
    <mergeCell ref="J251:J254"/>
    <mergeCell ref="Q247:Q250"/>
    <mergeCell ref="R344:R347"/>
    <mergeCell ref="J157:J159"/>
    <mergeCell ref="G87:G89"/>
    <mergeCell ref="G94:G97"/>
    <mergeCell ref="J198:J200"/>
    <mergeCell ref="O115:O117"/>
    <mergeCell ref="Q184:Q187"/>
    <mergeCell ref="R157:R159"/>
    <mergeCell ref="R151:R153"/>
    <mergeCell ref="D125:D128"/>
    <mergeCell ref="G188:G190"/>
    <mergeCell ref="J227:J229"/>
    <mergeCell ref="P247:P250"/>
    <mergeCell ref="N48:N50"/>
    <mergeCell ref="E121:E124"/>
    <mergeCell ref="H160:H163"/>
    <mergeCell ref="O174:O176"/>
    <mergeCell ref="D367:D369"/>
    <mergeCell ref="D244:D246"/>
    <mergeCell ref="P251:P254"/>
    <mergeCell ref="Q129:Q131"/>
    <mergeCell ref="G70:G73"/>
    <mergeCell ref="P157:P159"/>
    <mergeCell ref="N66:N69"/>
    <mergeCell ref="P356:P358"/>
    <mergeCell ref="G359:G362"/>
    <mergeCell ref="O74:O77"/>
    <mergeCell ref="M160:M163"/>
    <mergeCell ref="M282:M285"/>
    <mergeCell ref="D282:D285"/>
    <mergeCell ref="K148:K150"/>
    <mergeCell ref="M204:M206"/>
    <mergeCell ref="O298:O300"/>
    <mergeCell ref="F87:F89"/>
    <mergeCell ref="F94:F97"/>
    <mergeCell ref="F218:F220"/>
    <mergeCell ref="I129:I131"/>
    <mergeCell ref="O244:O246"/>
    <mergeCell ref="Q313:Q316"/>
    <mergeCell ref="D286:D289"/>
    <mergeCell ref="F198:F200"/>
    <mergeCell ref="J74:J77"/>
    <mergeCell ref="K21:K24"/>
    <mergeCell ref="E218:E220"/>
    <mergeCell ref="L207:L209"/>
    <mergeCell ref="B204:B206"/>
    <mergeCell ref="S160:S163"/>
    <mergeCell ref="C274:C277"/>
    <mergeCell ref="K227:K229"/>
    <mergeCell ref="B29:B32"/>
    <mergeCell ref="H191:H194"/>
    <mergeCell ref="E40:E43"/>
    <mergeCell ref="R101:R104"/>
    <mergeCell ref="L48:L50"/>
    <mergeCell ref="J255:J258"/>
    <mergeCell ref="O214:O217"/>
    <mergeCell ref="P336:P339"/>
    <mergeCell ref="R87:R89"/>
    <mergeCell ref="I195:I197"/>
    <mergeCell ref="E25:E28"/>
    <mergeCell ref="N112:N114"/>
    <mergeCell ref="O259:O261"/>
    <mergeCell ref="H98:H100"/>
    <mergeCell ref="Q278:Q281"/>
    <mergeCell ref="B324:B327"/>
    <mergeCell ref="S336:S339"/>
    <mergeCell ref="C233:C236"/>
    <mergeCell ref="H125:H128"/>
    <mergeCell ref="S298:S300"/>
    <mergeCell ref="Q81:Q83"/>
    <mergeCell ref="C324:C327"/>
    <mergeCell ref="D21:D24"/>
    <mergeCell ref="G259:G261"/>
    <mergeCell ref="I278:I281"/>
    <mergeCell ref="H356:H358"/>
    <mergeCell ref="B290:B293"/>
    <mergeCell ref="R48:R50"/>
    <mergeCell ref="R55:R58"/>
    <mergeCell ref="I121:I124"/>
    <mergeCell ref="S174:S176"/>
    <mergeCell ref="P129:P131"/>
    <mergeCell ref="E317:E319"/>
    <mergeCell ref="L274:L277"/>
    <mergeCell ref="D348:D351"/>
    <mergeCell ref="S270:S273"/>
    <mergeCell ref="F105:F108"/>
    <mergeCell ref="N244:N246"/>
    <mergeCell ref="D74:D77"/>
    <mergeCell ref="J148:J150"/>
    <mergeCell ref="I262:I265"/>
    <mergeCell ref="L204:L206"/>
    <mergeCell ref="B160:B163"/>
    <mergeCell ref="C241:C243"/>
    <mergeCell ref="B309:B312"/>
    <mergeCell ref="E84:E86"/>
    <mergeCell ref="R145:R147"/>
    <mergeCell ref="C198:C200"/>
    <mergeCell ref="B294:B297"/>
    <mergeCell ref="D233:D236"/>
    <mergeCell ref="N251:N254"/>
    <mergeCell ref="C255:C258"/>
    <mergeCell ref="K87:K89"/>
    <mergeCell ref="K94:K97"/>
    <mergeCell ref="C154:C156"/>
    <mergeCell ref="I356:I358"/>
    <mergeCell ref="C348:C351"/>
    <mergeCell ref="B191:B194"/>
    <mergeCell ref="G198:G200"/>
    <mergeCell ref="O251:O254"/>
    <mergeCell ref="D255:D258"/>
    <mergeCell ref="O157:O159"/>
    <mergeCell ref="O151:O153"/>
    <mergeCell ref="L87:L89"/>
    <mergeCell ref="L94:L97"/>
    <mergeCell ref="D154:D156"/>
    <mergeCell ref="G320:G323"/>
    <mergeCell ref="C218:C220"/>
    <mergeCell ref="P74:P77"/>
    <mergeCell ref="M29:M32"/>
    <mergeCell ref="S233:S236"/>
    <mergeCell ref="C210:C213"/>
    <mergeCell ref="R132:R135"/>
    <mergeCell ref="K48:K50"/>
    <mergeCell ref="B121:B124"/>
    <mergeCell ref="S70:S73"/>
    <mergeCell ref="E282:E285"/>
    <mergeCell ref="E274:E277"/>
    <mergeCell ref="D207:D209"/>
    <mergeCell ref="B109:B111"/>
    <mergeCell ref="N204:N206"/>
    <mergeCell ref="N198:N200"/>
    <mergeCell ref="G33:G36"/>
    <mergeCell ref="N29:N32"/>
    <mergeCell ref="D84:D86"/>
    <mergeCell ref="K188:K190"/>
    <mergeCell ref="R40:R43"/>
    <mergeCell ref="P305:P308"/>
    <mergeCell ref="H74:H77"/>
    <mergeCell ref="O21:O24"/>
    <mergeCell ref="I218:I220"/>
    <mergeCell ref="S29:S32"/>
    <mergeCell ref="E78:E80"/>
    <mergeCell ref="F204:F206"/>
    <mergeCell ref="O227:O229"/>
    <mergeCell ref="E332:E335"/>
    <mergeCell ref="G90:G93"/>
    <mergeCell ref="F29:F32"/>
    <mergeCell ref="L191:L194"/>
    <mergeCell ref="B37:B39"/>
    <mergeCell ref="I40:I43"/>
    <mergeCell ref="D237:D240"/>
    <mergeCell ref="D12:D14"/>
    <mergeCell ref="N255:N258"/>
    <mergeCell ref="S214:S217"/>
    <mergeCell ref="H59:H62"/>
    <mergeCell ref="I25:I28"/>
    <mergeCell ref="N227:N229"/>
    <mergeCell ref="D332:D335"/>
    <mergeCell ref="F142:F144"/>
    <mergeCell ref="C237:C240"/>
    <mergeCell ref="E301:E304"/>
    <mergeCell ref="G59:G62"/>
    <mergeCell ref="E207:E209"/>
    <mergeCell ref="O198:O200"/>
    <mergeCell ref="L160:L163"/>
    <mergeCell ref="J118:J120"/>
    <mergeCell ref="D227:D229"/>
    <mergeCell ref="E328:E331"/>
    <mergeCell ref="M290:M293"/>
    <mergeCell ref="S244:S246"/>
    <mergeCell ref="H340:H343"/>
    <mergeCell ref="R66:R69"/>
    <mergeCell ref="H336:H339"/>
    <mergeCell ref="R270:R273"/>
    <mergeCell ref="S112:S114"/>
    <mergeCell ref="S94:S97"/>
    <mergeCell ref="M317:M319"/>
    <mergeCell ref="K251:K254"/>
    <mergeCell ref="S259:S261"/>
    <mergeCell ref="S266:S269"/>
    <mergeCell ref="S74:S77"/>
    <mergeCell ref="R177:R179"/>
    <mergeCell ref="L129:L131"/>
    <mergeCell ref="Q230:Q232"/>
    <mergeCell ref="O270:O273"/>
    <mergeCell ref="R74:R77"/>
    <mergeCell ref="N317:N319"/>
    <mergeCell ref="Q160:Q163"/>
    <mergeCell ref="Q274:Q277"/>
    <mergeCell ref="H332:H335"/>
    <mergeCell ref="R317:R319"/>
    <mergeCell ref="Q221:Q223"/>
    <mergeCell ref="P191:P194"/>
    <mergeCell ref="R309:R312"/>
    <mergeCell ref="P148:P150"/>
    <mergeCell ref="P301:P304"/>
    <mergeCell ref="O81:O83"/>
    <mergeCell ref="S66:S69"/>
    <mergeCell ref="S115:S117"/>
    <mergeCell ref="I286:I289"/>
    <mergeCell ref="R340:R343"/>
    <mergeCell ref="S121:S124"/>
    <mergeCell ref="E94:E97"/>
    <mergeCell ref="K105:K108"/>
    <mergeCell ref="P207:P209"/>
    <mergeCell ref="O148:O150"/>
    <mergeCell ref="Q204:Q206"/>
    <mergeCell ref="G309:G312"/>
    <mergeCell ref="K132:K135"/>
    <mergeCell ref="G171:G173"/>
    <mergeCell ref="L70:L73"/>
    <mergeCell ref="I115:I117"/>
    <mergeCell ref="F210:F213"/>
    <mergeCell ref="Q328:Q331"/>
    <mergeCell ref="H274:H277"/>
    <mergeCell ref="P227:P229"/>
    <mergeCell ref="M191:M194"/>
    <mergeCell ref="L121:L124"/>
    <mergeCell ref="G227:G229"/>
    <mergeCell ref="O255:O258"/>
    <mergeCell ref="G233:G236"/>
    <mergeCell ref="O290:O293"/>
    <mergeCell ref="G324:G327"/>
    <mergeCell ref="G237:G240"/>
    <mergeCell ref="G251:G254"/>
    <mergeCell ref="P274:P277"/>
    <mergeCell ref="H218:H220"/>
    <mergeCell ref="E154:E156"/>
    <mergeCell ref="G218:G220"/>
    <mergeCell ref="F309:F312"/>
    <mergeCell ref="Q115:Q117"/>
    <mergeCell ref="F274:F277"/>
    <mergeCell ref="F171:F173"/>
    <mergeCell ref="K70:K73"/>
    <mergeCell ref="Q344:Q347"/>
    <mergeCell ref="I324:I327"/>
    <mergeCell ref="N224:N226"/>
    <mergeCell ref="F298:F300"/>
    <mergeCell ref="K81:K83"/>
    <mergeCell ref="P309:P312"/>
    <mergeCell ref="L348:L351"/>
    <mergeCell ref="Q348:Q351"/>
    <mergeCell ref="Q259:Q261"/>
    <mergeCell ref="D70:D73"/>
    <mergeCell ref="D63:D65"/>
    <mergeCell ref="H21:H24"/>
    <mergeCell ref="B218:B220"/>
    <mergeCell ref="S221:S223"/>
    <mergeCell ref="N191:N194"/>
    <mergeCell ref="I207:I209"/>
    <mergeCell ref="C105:C108"/>
    <mergeCell ref="S198:S200"/>
    <mergeCell ref="P160:P163"/>
    <mergeCell ref="I328:I331"/>
    <mergeCell ref="H227:H229"/>
    <mergeCell ref="E191:E194"/>
    <mergeCell ref="F294:F297"/>
    <mergeCell ref="H233:H236"/>
    <mergeCell ref="J195:J197"/>
    <mergeCell ref="G255:G258"/>
    <mergeCell ref="O94:O97"/>
    <mergeCell ref="B25:B28"/>
    <mergeCell ref="R129:R131"/>
    <mergeCell ref="G282:G285"/>
    <mergeCell ref="L259:L261"/>
    <mergeCell ref="N148:N150"/>
    <mergeCell ref="C44:C47"/>
    <mergeCell ref="Q48:Q50"/>
    <mergeCell ref="Q55:Q58"/>
    <mergeCell ref="R195:R197"/>
    <mergeCell ref="F290:F293"/>
    <mergeCell ref="N210:N213"/>
    <mergeCell ref="P151:P153"/>
    <mergeCell ref="M121:M124"/>
    <mergeCell ref="B125:B128"/>
    <mergeCell ref="Q29:Q32"/>
    <mergeCell ref="G84:G86"/>
    <mergeCell ref="F33:F36"/>
    <mergeCell ref="O317:O319"/>
    <mergeCell ref="F90:F93"/>
    <mergeCell ref="G180:G183"/>
    <mergeCell ref="F121:F124"/>
    <mergeCell ref="I282:I285"/>
    <mergeCell ref="E142:E144"/>
    <mergeCell ref="I274:I277"/>
    <mergeCell ref="H301:H304"/>
    <mergeCell ref="H207:H209"/>
    <mergeCell ref="F109:F111"/>
    <mergeCell ref="R204:R206"/>
    <mergeCell ref="R198:R200"/>
    <mergeCell ref="H309:H312"/>
    <mergeCell ref="K33:K36"/>
    <mergeCell ref="H84:H86"/>
    <mergeCell ref="G148:G150"/>
    <mergeCell ref="O188:O190"/>
    <mergeCell ref="L125:L128"/>
    <mergeCell ref="J115:J117"/>
    <mergeCell ref="J142:J144"/>
    <mergeCell ref="J29:J32"/>
    <mergeCell ref="S21:S24"/>
    <mergeCell ref="E352:E355"/>
    <mergeCell ref="R259:R261"/>
    <mergeCell ref="L33:L36"/>
    <mergeCell ref="S356:S358"/>
    <mergeCell ref="I78:I80"/>
    <mergeCell ref="J204:J206"/>
    <mergeCell ref="P188:P190"/>
    <mergeCell ref="S227:S229"/>
    <mergeCell ref="R251:R254"/>
    <mergeCell ref="K90:K93"/>
    <mergeCell ref="I332:I335"/>
    <mergeCell ref="C164:C167"/>
    <mergeCell ref="K142:K144"/>
    <mergeCell ref="O87:O89"/>
    <mergeCell ref="H237:H240"/>
    <mergeCell ref="E63:E65"/>
    <mergeCell ref="E70:E73"/>
    <mergeCell ref="E98:E100"/>
    <mergeCell ref="L59:L62"/>
    <mergeCell ref="R282:R285"/>
    <mergeCell ref="J328:J331"/>
    <mergeCell ref="O118:O120"/>
    <mergeCell ref="F191:F194"/>
    <mergeCell ref="R313:R316"/>
    <mergeCell ref="S251:S254"/>
    <mergeCell ref="K195:K197"/>
    <mergeCell ref="H255:H258"/>
    <mergeCell ref="S157:S159"/>
    <mergeCell ref="P112:P114"/>
    <mergeCell ref="P87:P89"/>
    <mergeCell ref="N21:N24"/>
    <mergeCell ref="S282:S285"/>
    <mergeCell ref="B301:B304"/>
    <mergeCell ref="D59:D62"/>
    <mergeCell ref="G191:G194"/>
    <mergeCell ref="B207:B209"/>
    <mergeCell ref="I160:I163"/>
    <mergeCell ref="B328:B331"/>
    <mergeCell ref="G184:G187"/>
    <mergeCell ref="D359:D362"/>
    <mergeCell ref="Q94:Q97"/>
    <mergeCell ref="F125:F128"/>
    <mergeCell ref="L218:L220"/>
    <mergeCell ref="I154:I156"/>
    <mergeCell ref="H210:H213"/>
    <mergeCell ref="P48:P50"/>
    <mergeCell ref="Q262:Q265"/>
    <mergeCell ref="J282:J285"/>
    <mergeCell ref="J274:J277"/>
    <mergeCell ref="B51:B54"/>
    <mergeCell ref="L340:L343"/>
    <mergeCell ref="D105:D108"/>
    <mergeCell ref="L359:L362"/>
    <mergeCell ref="B230:B232"/>
    <mergeCell ref="P94:P97"/>
    <mergeCell ref="S151:S153"/>
    <mergeCell ref="H290:H293"/>
    <mergeCell ref="M259:M261"/>
    <mergeCell ref="F98:F100"/>
    <mergeCell ref="H154:H156"/>
    <mergeCell ref="E109:E111"/>
    <mergeCell ref="K320:K323"/>
  </mergeCells>
  <phoneticPr fontId="7"/>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W999"/>
  <sheetViews>
    <sheetView showGridLines="0" zoomScale="55" zoomScaleNormal="55" workbookViewId="0">
      <pane xSplit="15" ySplit="7" topLeftCell="P8" activePane="bottomRight" state="frozen"/>
      <selection pane="topRight"/>
      <selection pane="bottomLeft"/>
      <selection pane="bottomRight" activeCell="G11" sqref="G11"/>
    </sheetView>
  </sheetViews>
  <sheetFormatPr defaultRowHeight="14.5"/>
  <cols>
    <col min="1" max="1" width="14" customWidth="1"/>
    <col min="2" max="2" width="34" customWidth="1"/>
    <col min="3" max="3" width="10" customWidth="1"/>
    <col min="4" max="4" width="12.90625" customWidth="1"/>
    <col min="5" max="15" width="11" customWidth="1"/>
    <col min="16" max="49" width="10" customWidth="1"/>
  </cols>
  <sheetData>
    <row r="1" spans="1:49" ht="22" customHeight="1"/>
    <row r="2" spans="1:49" ht="22" customHeight="1">
      <c r="O2" s="44" t="s">
        <v>0</v>
      </c>
      <c r="P2" s="45">
        <f t="shared" ref="P2:AW2" si="0">P3</f>
        <v>1142</v>
      </c>
      <c r="Q2" s="45">
        <f t="shared" si="0"/>
        <v>1917</v>
      </c>
      <c r="R2" s="45">
        <f t="shared" si="0"/>
        <v>1959</v>
      </c>
      <c r="S2" s="45">
        <f t="shared" si="0"/>
        <v>1506</v>
      </c>
      <c r="T2" s="45">
        <f t="shared" si="0"/>
        <v>1505</v>
      </c>
      <c r="U2" s="45">
        <f t="shared" si="0"/>
        <v>1486</v>
      </c>
      <c r="V2" s="45">
        <f t="shared" si="0"/>
        <v>1420</v>
      </c>
      <c r="W2" s="45">
        <f t="shared" si="0"/>
        <v>1274</v>
      </c>
      <c r="X2" s="45">
        <f t="shared" si="0"/>
        <v>2129</v>
      </c>
      <c r="Y2" s="45">
        <f t="shared" si="0"/>
        <v>2977</v>
      </c>
      <c r="Z2" s="45">
        <f t="shared" si="0"/>
        <v>1301</v>
      </c>
      <c r="AA2" s="45">
        <f t="shared" si="0"/>
        <v>366</v>
      </c>
      <c r="AB2" s="45">
        <f t="shared" si="0"/>
        <v>366</v>
      </c>
      <c r="AC2" s="45">
        <f t="shared" si="0"/>
        <v>366</v>
      </c>
      <c r="AD2" s="45">
        <f t="shared" si="0"/>
        <v>363</v>
      </c>
      <c r="AE2" s="45">
        <f t="shared" si="0"/>
        <v>451</v>
      </c>
      <c r="AF2" s="45">
        <f t="shared" si="0"/>
        <v>524</v>
      </c>
      <c r="AG2" s="45">
        <f t="shared" si="0"/>
        <v>373</v>
      </c>
      <c r="AH2" s="45">
        <f t="shared" si="0"/>
        <v>380</v>
      </c>
      <c r="AI2" s="45">
        <f t="shared" si="0"/>
        <v>376</v>
      </c>
      <c r="AJ2" s="45">
        <f t="shared" si="0"/>
        <v>373</v>
      </c>
      <c r="AK2" s="45">
        <f t="shared" si="0"/>
        <v>367</v>
      </c>
      <c r="AL2" s="45">
        <f t="shared" si="0"/>
        <v>444</v>
      </c>
      <c r="AM2" s="45">
        <f t="shared" si="0"/>
        <v>472</v>
      </c>
      <c r="AN2" s="45">
        <f t="shared" si="0"/>
        <v>481</v>
      </c>
      <c r="AO2" s="45">
        <f t="shared" si="0"/>
        <v>372</v>
      </c>
      <c r="AP2" s="45">
        <f t="shared" si="0"/>
        <v>369</v>
      </c>
      <c r="AQ2" s="45">
        <f t="shared" si="0"/>
        <v>368</v>
      </c>
      <c r="AR2" s="45">
        <f t="shared" si="0"/>
        <v>364</v>
      </c>
      <c r="AS2" s="45">
        <f t="shared" si="0"/>
        <v>453</v>
      </c>
      <c r="AT2" s="45">
        <f t="shared" si="0"/>
        <v>518</v>
      </c>
      <c r="AU2" s="45">
        <f t="shared" si="0"/>
        <v>366</v>
      </c>
      <c r="AV2" s="45">
        <f t="shared" si="0"/>
        <v>366</v>
      </c>
      <c r="AW2" s="45">
        <f t="shared" si="0"/>
        <v>27494</v>
      </c>
    </row>
    <row r="3" spans="1:49" ht="22" customHeight="1">
      <c r="O3" s="44" t="s">
        <v>204</v>
      </c>
      <c r="P3" s="45">
        <f>SUM(P8:P105)</f>
        <v>1142</v>
      </c>
      <c r="Q3" s="45">
        <f t="shared" ref="Q3:AQ3" si="1">SUM(Q8:Q105)</f>
        <v>1917</v>
      </c>
      <c r="R3" s="45">
        <f t="shared" si="1"/>
        <v>1959</v>
      </c>
      <c r="S3" s="45">
        <f t="shared" si="1"/>
        <v>1506</v>
      </c>
      <c r="T3" s="45">
        <f t="shared" si="1"/>
        <v>1505</v>
      </c>
      <c r="U3" s="45">
        <f t="shared" si="1"/>
        <v>1486</v>
      </c>
      <c r="V3" s="45">
        <f t="shared" si="1"/>
        <v>1420</v>
      </c>
      <c r="W3" s="45">
        <f t="shared" si="1"/>
        <v>1274</v>
      </c>
      <c r="X3" s="45">
        <f t="shared" si="1"/>
        <v>2129</v>
      </c>
      <c r="Y3" s="45">
        <f t="shared" si="1"/>
        <v>2977</v>
      </c>
      <c r="Z3" s="45">
        <f t="shared" si="1"/>
        <v>1301</v>
      </c>
      <c r="AA3" s="45">
        <f t="shared" si="1"/>
        <v>366</v>
      </c>
      <c r="AB3" s="45">
        <f t="shared" si="1"/>
        <v>366</v>
      </c>
      <c r="AC3" s="45">
        <f t="shared" si="1"/>
        <v>366</v>
      </c>
      <c r="AD3" s="45">
        <f t="shared" si="1"/>
        <v>363</v>
      </c>
      <c r="AE3" s="45">
        <f t="shared" si="1"/>
        <v>451</v>
      </c>
      <c r="AF3" s="45">
        <f t="shared" si="1"/>
        <v>524</v>
      </c>
      <c r="AG3" s="45">
        <f t="shared" si="1"/>
        <v>373</v>
      </c>
      <c r="AH3" s="45">
        <f t="shared" si="1"/>
        <v>380</v>
      </c>
      <c r="AI3" s="45">
        <f t="shared" si="1"/>
        <v>376</v>
      </c>
      <c r="AJ3" s="45">
        <f t="shared" si="1"/>
        <v>373</v>
      </c>
      <c r="AK3" s="45">
        <f t="shared" si="1"/>
        <v>367</v>
      </c>
      <c r="AL3" s="45">
        <f t="shared" si="1"/>
        <v>444</v>
      </c>
      <c r="AM3" s="45">
        <f t="shared" si="1"/>
        <v>472</v>
      </c>
      <c r="AN3" s="45">
        <f t="shared" si="1"/>
        <v>481</v>
      </c>
      <c r="AO3" s="45">
        <f t="shared" si="1"/>
        <v>372</v>
      </c>
      <c r="AP3" s="45">
        <f t="shared" si="1"/>
        <v>369</v>
      </c>
      <c r="AQ3" s="45">
        <f t="shared" si="1"/>
        <v>368</v>
      </c>
      <c r="AR3" s="45">
        <f t="shared" ref="AR3:AV3" si="2">SUM(AR8:AR105)</f>
        <v>364</v>
      </c>
      <c r="AS3" s="45">
        <f t="shared" si="2"/>
        <v>453</v>
      </c>
      <c r="AT3" s="45">
        <f t="shared" si="2"/>
        <v>518</v>
      </c>
      <c r="AU3" s="45">
        <f t="shared" si="2"/>
        <v>366</v>
      </c>
      <c r="AV3" s="45">
        <f t="shared" si="2"/>
        <v>366</v>
      </c>
      <c r="AW3" s="45">
        <f>SUM(AW8:AW105)</f>
        <v>27494</v>
      </c>
    </row>
    <row r="4" spans="1:49" ht="22" customHeight="1"/>
    <row r="5" spans="1:49" ht="22" customHeight="1">
      <c r="E5" s="44" t="s">
        <v>205</v>
      </c>
      <c r="F5" s="44" t="s">
        <v>205</v>
      </c>
      <c r="G5" s="44" t="s">
        <v>224</v>
      </c>
      <c r="H5" s="44" t="s">
        <v>206</v>
      </c>
      <c r="I5" s="44" t="s">
        <v>206</v>
      </c>
      <c r="J5" s="44" t="s">
        <v>206</v>
      </c>
      <c r="K5" s="54" t="s">
        <v>223</v>
      </c>
      <c r="M5" s="55" t="s">
        <v>224</v>
      </c>
    </row>
    <row r="6" spans="1:49" ht="22" customHeight="1">
      <c r="A6" s="18" t="s">
        <v>13</v>
      </c>
      <c r="B6" s="18" t="s">
        <v>14</v>
      </c>
      <c r="C6" s="18" t="s">
        <v>207</v>
      </c>
      <c r="D6" s="18" t="s">
        <v>245</v>
      </c>
      <c r="E6" s="18" t="s">
        <v>208</v>
      </c>
      <c r="F6" s="18" t="s">
        <v>208</v>
      </c>
      <c r="G6" s="18" t="s">
        <v>209</v>
      </c>
      <c r="H6" s="18" t="s">
        <v>210</v>
      </c>
      <c r="I6" s="18" t="s">
        <v>208</v>
      </c>
      <c r="J6" s="18" t="s">
        <v>209</v>
      </c>
      <c r="K6" s="18" t="s">
        <v>3</v>
      </c>
      <c r="L6" s="18" t="s">
        <v>211</v>
      </c>
      <c r="M6" s="18" t="s">
        <v>3</v>
      </c>
      <c r="N6" s="18" t="s">
        <v>3</v>
      </c>
      <c r="O6" s="18" t="s">
        <v>211</v>
      </c>
      <c r="P6" s="19" t="str">
        <f t="shared" ref="P6:AV6" si="3">CHOOSE(WEEKDAY(P7,2),"月","火","水","木","金","土","日")</f>
        <v>金</v>
      </c>
      <c r="Q6" s="19" t="str">
        <f t="shared" si="3"/>
        <v>土</v>
      </c>
      <c r="R6" s="19" t="str">
        <f t="shared" si="3"/>
        <v>日</v>
      </c>
      <c r="S6" s="19" t="str">
        <f t="shared" si="3"/>
        <v>月</v>
      </c>
      <c r="T6" s="19" t="str">
        <f t="shared" si="3"/>
        <v>火</v>
      </c>
      <c r="U6" s="19" t="str">
        <f t="shared" si="3"/>
        <v>水</v>
      </c>
      <c r="V6" s="19" t="str">
        <f t="shared" si="3"/>
        <v>木</v>
      </c>
      <c r="W6" s="19" t="str">
        <f t="shared" si="3"/>
        <v>金</v>
      </c>
      <c r="X6" s="19" t="str">
        <f t="shared" si="3"/>
        <v>土</v>
      </c>
      <c r="Y6" s="19" t="str">
        <f t="shared" si="3"/>
        <v>日</v>
      </c>
      <c r="Z6" s="19" t="str">
        <f t="shared" si="3"/>
        <v>月</v>
      </c>
      <c r="AA6" s="19" t="str">
        <f t="shared" si="3"/>
        <v>火</v>
      </c>
      <c r="AB6" s="19" t="str">
        <f t="shared" si="3"/>
        <v>水</v>
      </c>
      <c r="AC6" s="19" t="str">
        <f t="shared" si="3"/>
        <v>木</v>
      </c>
      <c r="AD6" s="19" t="str">
        <f t="shared" si="3"/>
        <v>金</v>
      </c>
      <c r="AE6" s="19" t="str">
        <f t="shared" si="3"/>
        <v>土</v>
      </c>
      <c r="AF6" s="19" t="str">
        <f t="shared" si="3"/>
        <v>日</v>
      </c>
      <c r="AG6" s="19" t="str">
        <f t="shared" si="3"/>
        <v>月</v>
      </c>
      <c r="AH6" s="19" t="str">
        <f t="shared" si="3"/>
        <v>火</v>
      </c>
      <c r="AI6" s="19" t="str">
        <f t="shared" si="3"/>
        <v>水</v>
      </c>
      <c r="AJ6" s="19" t="str">
        <f t="shared" si="3"/>
        <v>木</v>
      </c>
      <c r="AK6" s="19" t="str">
        <f t="shared" si="3"/>
        <v>金</v>
      </c>
      <c r="AL6" s="19" t="str">
        <f t="shared" si="3"/>
        <v>土</v>
      </c>
      <c r="AM6" s="19" t="str">
        <f t="shared" si="3"/>
        <v>日</v>
      </c>
      <c r="AN6" s="19" t="str">
        <f t="shared" si="3"/>
        <v>月</v>
      </c>
      <c r="AO6" s="19" t="str">
        <f t="shared" si="3"/>
        <v>火</v>
      </c>
      <c r="AP6" s="19" t="str">
        <f t="shared" si="3"/>
        <v>水</v>
      </c>
      <c r="AQ6" s="19" t="str">
        <f t="shared" si="3"/>
        <v>木</v>
      </c>
      <c r="AR6" s="19" t="str">
        <f t="shared" si="3"/>
        <v>金</v>
      </c>
      <c r="AS6" s="19" t="str">
        <f t="shared" si="3"/>
        <v>土</v>
      </c>
      <c r="AT6" s="19" t="str">
        <f t="shared" si="3"/>
        <v>日</v>
      </c>
      <c r="AU6" s="19" t="str">
        <f t="shared" si="3"/>
        <v>月</v>
      </c>
      <c r="AV6" s="19" t="str">
        <f t="shared" si="3"/>
        <v>火</v>
      </c>
      <c r="AW6" s="14"/>
    </row>
    <row r="7" spans="1:49" ht="22" customHeight="1">
      <c r="P7" s="46">
        <v>46283</v>
      </c>
      <c r="Q7" s="46">
        <v>46284</v>
      </c>
      <c r="R7" s="46">
        <v>46285</v>
      </c>
      <c r="S7" s="46">
        <v>46286</v>
      </c>
      <c r="T7" s="46">
        <v>46287</v>
      </c>
      <c r="U7" s="46">
        <v>46288</v>
      </c>
      <c r="V7" s="46">
        <v>46289</v>
      </c>
      <c r="W7" s="46">
        <v>46290</v>
      </c>
      <c r="X7" s="46">
        <v>46291</v>
      </c>
      <c r="Y7" s="46">
        <v>46292</v>
      </c>
      <c r="Z7" s="46">
        <v>46293</v>
      </c>
      <c r="AA7" s="46">
        <v>46294</v>
      </c>
      <c r="AB7" s="46">
        <v>46295</v>
      </c>
      <c r="AC7" s="46">
        <v>46296</v>
      </c>
      <c r="AD7" s="46">
        <v>46297</v>
      </c>
      <c r="AE7" s="46">
        <v>46298</v>
      </c>
      <c r="AF7" s="46">
        <v>46299</v>
      </c>
      <c r="AG7" s="46">
        <v>46300</v>
      </c>
      <c r="AH7" s="46">
        <v>46301</v>
      </c>
      <c r="AI7" s="46">
        <v>46302</v>
      </c>
      <c r="AJ7" s="46">
        <v>46303</v>
      </c>
      <c r="AK7" s="46">
        <v>46304</v>
      </c>
      <c r="AL7" s="46">
        <v>46305</v>
      </c>
      <c r="AM7" s="46">
        <v>46306</v>
      </c>
      <c r="AN7" s="46">
        <v>46307</v>
      </c>
      <c r="AO7" s="46">
        <v>46308</v>
      </c>
      <c r="AP7" s="46">
        <v>46309</v>
      </c>
      <c r="AQ7" s="46">
        <v>46310</v>
      </c>
      <c r="AR7" s="46">
        <v>46311</v>
      </c>
      <c r="AS7" s="46">
        <v>46312</v>
      </c>
      <c r="AT7" s="46">
        <v>46313</v>
      </c>
      <c r="AU7" s="46">
        <v>46314</v>
      </c>
      <c r="AV7" s="46">
        <v>46315</v>
      </c>
      <c r="AW7" s="14" t="s">
        <v>8</v>
      </c>
    </row>
    <row r="8" spans="1:49" ht="22" customHeight="1">
      <c r="A8" s="26" t="s">
        <v>35</v>
      </c>
      <c r="B8" s="27" t="s">
        <v>36</v>
      </c>
      <c r="C8" s="25" t="s">
        <v>212</v>
      </c>
      <c r="D8" s="25" t="s">
        <v>212</v>
      </c>
      <c r="E8" s="31">
        <v>15000</v>
      </c>
      <c r="F8" s="31">
        <v>15000</v>
      </c>
      <c r="G8" s="31">
        <v>18000</v>
      </c>
      <c r="H8" s="31">
        <v>15000</v>
      </c>
      <c r="I8" s="31">
        <v>14000</v>
      </c>
      <c r="J8" s="31">
        <v>15000</v>
      </c>
      <c r="K8" s="28">
        <v>0.58446455505279038</v>
      </c>
      <c r="L8" s="3">
        <f t="shared" ref="L8:L39" si="4">ROUND(AW8*K8,0)</f>
        <v>2587</v>
      </c>
      <c r="M8" s="28">
        <v>0.66500000000000004</v>
      </c>
      <c r="N8" s="28">
        <v>0.60783487784330248</v>
      </c>
      <c r="O8" s="3">
        <f t="shared" ref="O8:O39" si="5">ROUND(AW8*N8,0)</f>
        <v>2690</v>
      </c>
      <c r="P8" s="3">
        <f>'10月（既存移管合算）'!Y21</f>
        <v>198</v>
      </c>
      <c r="Q8" s="3">
        <f>'10月（既存移管合算）'!Z21</f>
        <v>383</v>
      </c>
      <c r="R8" s="3">
        <f>'10月（既存移管合算）'!AA21</f>
        <v>331</v>
      </c>
      <c r="S8" s="3">
        <f>'10月（既存移管合算）'!AB21</f>
        <v>218</v>
      </c>
      <c r="T8" s="3">
        <f>'10月（既存移管合算）'!AC21</f>
        <v>264</v>
      </c>
      <c r="U8" s="3">
        <f>'10月（既存移管合算）'!AD21</f>
        <v>228</v>
      </c>
      <c r="V8" s="3">
        <f>'10月（既存移管合算）'!AE21</f>
        <v>209</v>
      </c>
      <c r="W8" s="3">
        <f>'10月（既存移管合算）'!AF21</f>
        <v>171</v>
      </c>
      <c r="X8" s="3">
        <f>'10月（既存移管合算）'!AG21</f>
        <v>330</v>
      </c>
      <c r="Y8" s="3">
        <f>'10月（既存移管合算）'!AH21</f>
        <v>543</v>
      </c>
      <c r="Z8" s="3">
        <f>'10月（既存移管合算）'!AI21</f>
        <v>225</v>
      </c>
      <c r="AA8" s="3">
        <f>'10月（既存移管合算）'!AJ21</f>
        <v>53</v>
      </c>
      <c r="AB8" s="3">
        <f>'10月（既存移管合算）'!AK21</f>
        <v>53</v>
      </c>
      <c r="AC8" s="3">
        <f>'10月（既存移管合算）'!AL21</f>
        <v>53</v>
      </c>
      <c r="AD8" s="3">
        <f>'10月（既存移管合算）'!AM21</f>
        <v>50</v>
      </c>
      <c r="AE8" s="3">
        <f>'10月（既存移管合算）'!AN21</f>
        <v>66</v>
      </c>
      <c r="AF8" s="3">
        <f>'10月（既存移管合算）'!AO21</f>
        <v>89</v>
      </c>
      <c r="AG8" s="3">
        <f>'10月（既存移管合算）'!AP21</f>
        <v>53</v>
      </c>
      <c r="AH8" s="3">
        <f>'10月（既存移管合算）'!AQ21</f>
        <v>53</v>
      </c>
      <c r="AI8" s="3">
        <f>'10月（既存移管合算）'!AR21</f>
        <v>53</v>
      </c>
      <c r="AJ8" s="3">
        <f>'10月（既存移管合算）'!AS21</f>
        <v>53</v>
      </c>
      <c r="AK8" s="3">
        <f>'10月（既存移管合算）'!AT21</f>
        <v>50</v>
      </c>
      <c r="AL8" s="3">
        <f>'10月（既存移管合算）'!AU21</f>
        <v>66</v>
      </c>
      <c r="AM8" s="3">
        <f>'10月（既存移管合算）'!AV21</f>
        <v>76</v>
      </c>
      <c r="AN8" s="3">
        <f>'10月（既存移管合算）'!AW21</f>
        <v>83</v>
      </c>
      <c r="AO8" s="3">
        <f>'10月（既存移管合算）'!AX21</f>
        <v>54</v>
      </c>
      <c r="AP8" s="3">
        <f>'10月（既存移管合算）'!AY21</f>
        <v>54</v>
      </c>
      <c r="AQ8" s="3">
        <f>'10月（既存移管合算）'!AZ21</f>
        <v>54</v>
      </c>
      <c r="AR8" s="3">
        <f>'10月（既存移管合算）'!BA21</f>
        <v>50</v>
      </c>
      <c r="AS8" s="3">
        <f>'10月（既存移管合算）'!BB21</f>
        <v>66</v>
      </c>
      <c r="AT8" s="3">
        <f>'10月（既存移管合算）'!BC21</f>
        <v>89</v>
      </c>
      <c r="AU8" s="3">
        <f>'10月（既存移管合算）'!BD21</f>
        <v>54</v>
      </c>
      <c r="AV8" s="3">
        <f>'10月（既存移管合算）'!BE21</f>
        <v>54</v>
      </c>
      <c r="AW8" s="10">
        <f t="shared" ref="AW8:AW39" si="6">SUM(P8:AV8)</f>
        <v>4426</v>
      </c>
    </row>
    <row r="9" spans="1:49" ht="22" customHeight="1">
      <c r="A9" s="34" t="s">
        <v>39</v>
      </c>
      <c r="B9" s="35" t="s">
        <v>40</v>
      </c>
      <c r="C9" s="32" t="s">
        <v>212</v>
      </c>
      <c r="D9" s="32" t="s">
        <v>212</v>
      </c>
      <c r="E9" s="43">
        <v>14000</v>
      </c>
      <c r="F9" s="43">
        <v>15000</v>
      </c>
      <c r="G9" s="43">
        <v>19000</v>
      </c>
      <c r="H9" s="43">
        <v>15000</v>
      </c>
      <c r="I9" s="43">
        <v>14000</v>
      </c>
      <c r="J9" s="43">
        <v>15000</v>
      </c>
      <c r="K9" s="38">
        <v>0.73449131513647647</v>
      </c>
      <c r="L9" s="36">
        <f>ROUND(AW9*K9,0)</f>
        <v>1979</v>
      </c>
      <c r="M9" s="38">
        <v>0.76900000000000002</v>
      </c>
      <c r="N9" s="38">
        <v>0.72017353579175702</v>
      </c>
      <c r="O9" s="36">
        <f>ROUND(AW9*N9,0)</f>
        <v>1941</v>
      </c>
      <c r="P9" s="36">
        <f>'10月（既存移管合算）'!Y25</f>
        <v>106</v>
      </c>
      <c r="Q9" s="36">
        <f>'10月（既存移管合算）'!Z25</f>
        <v>162</v>
      </c>
      <c r="R9" s="36">
        <f>'10月（既存移管合算）'!AA25</f>
        <v>185</v>
      </c>
      <c r="S9" s="36">
        <f>'10月（既存移管合算）'!AB25</f>
        <v>98</v>
      </c>
      <c r="T9" s="36">
        <f>'10月（既存移管合算）'!AC25</f>
        <v>109</v>
      </c>
      <c r="U9" s="36">
        <f>'10月（既存移管合算）'!AD25</f>
        <v>112</v>
      </c>
      <c r="V9" s="36">
        <f>'10月（既存移管合算）'!AE25</f>
        <v>94</v>
      </c>
      <c r="W9" s="36">
        <f>'10月（既存移管合算）'!AF25</f>
        <v>108</v>
      </c>
      <c r="X9" s="36">
        <f>'10月（既存移管合算）'!AG25</f>
        <v>143</v>
      </c>
      <c r="Y9" s="36">
        <f>'10月（既存移管合算）'!AH25</f>
        <v>251</v>
      </c>
      <c r="Z9" s="36">
        <f>'10月（既存移管合算）'!AI25</f>
        <v>132</v>
      </c>
      <c r="AA9" s="36">
        <f>'10月（既存移管合算）'!AJ25</f>
        <v>40</v>
      </c>
      <c r="AB9" s="36">
        <f>'10月（既存移管合算）'!AK25</f>
        <v>40</v>
      </c>
      <c r="AC9" s="36">
        <f>'10月（既存移管合算）'!AL25</f>
        <v>40</v>
      </c>
      <c r="AD9" s="36">
        <f>'10月（既存移管合算）'!AM25</f>
        <v>40</v>
      </c>
      <c r="AE9" s="36">
        <f>'10月（既存移管合算）'!AN25</f>
        <v>68</v>
      </c>
      <c r="AF9" s="36">
        <f>'10月（既存移管合算）'!AO25</f>
        <v>88</v>
      </c>
      <c r="AG9" s="36">
        <f>'10月（既存移管合算）'!AP25</f>
        <v>45</v>
      </c>
      <c r="AH9" s="36">
        <f>'10月（既存移管合算）'!AQ25</f>
        <v>45</v>
      </c>
      <c r="AI9" s="36">
        <f>'10月（既存移管合算）'!AR25</f>
        <v>45</v>
      </c>
      <c r="AJ9" s="36">
        <f>'10月（既存移管合算）'!AS25</f>
        <v>45</v>
      </c>
      <c r="AK9" s="36">
        <f>'10月（既存移管合算）'!AT25</f>
        <v>45</v>
      </c>
      <c r="AL9" s="36">
        <f>'10月（既存移管合算）'!AU25</f>
        <v>65</v>
      </c>
      <c r="AM9" s="36">
        <f>'10月（既存移管合算）'!AV25</f>
        <v>70</v>
      </c>
      <c r="AN9" s="36">
        <f>'10月（既存移管合算）'!AW25</f>
        <v>86</v>
      </c>
      <c r="AO9" s="36">
        <f>'10月（既存移管合算）'!AX25</f>
        <v>45</v>
      </c>
      <c r="AP9" s="36">
        <f>'10月（既存移管合算）'!AY25</f>
        <v>45</v>
      </c>
      <c r="AQ9" s="36">
        <f>'10月（既存移管合算）'!AZ25</f>
        <v>45</v>
      </c>
      <c r="AR9" s="36">
        <f>'10月（既存移管合算）'!BA25</f>
        <v>45</v>
      </c>
      <c r="AS9" s="36">
        <f>'10月（既存移管合算）'!BB25</f>
        <v>75</v>
      </c>
      <c r="AT9" s="36">
        <f>'10月（既存移管合算）'!BC25</f>
        <v>88</v>
      </c>
      <c r="AU9" s="36">
        <f>'10月（既存移管合算）'!BD25</f>
        <v>45</v>
      </c>
      <c r="AV9" s="36">
        <f>'10月（既存移管合算）'!BE25</f>
        <v>45</v>
      </c>
      <c r="AW9" s="10">
        <f t="shared" si="6"/>
        <v>2695</v>
      </c>
    </row>
    <row r="10" spans="1:49" ht="22" customHeight="1">
      <c r="A10" s="26" t="s">
        <v>41</v>
      </c>
      <c r="B10" s="27" t="s">
        <v>42</v>
      </c>
      <c r="C10" s="25" t="s">
        <v>212</v>
      </c>
      <c r="D10" s="25" t="s">
        <v>212</v>
      </c>
      <c r="E10" s="31">
        <v>13000</v>
      </c>
      <c r="F10" s="31">
        <v>13000</v>
      </c>
      <c r="G10" s="31">
        <v>21500</v>
      </c>
      <c r="H10" s="31">
        <v>13000</v>
      </c>
      <c r="I10" s="31">
        <v>13000</v>
      </c>
      <c r="J10" s="31">
        <v>13000</v>
      </c>
      <c r="K10" s="28">
        <v>0.56428571428571428</v>
      </c>
      <c r="L10" s="3">
        <f t="shared" si="4"/>
        <v>4106</v>
      </c>
      <c r="M10" s="28">
        <v>0.65900000000000003</v>
      </c>
      <c r="N10" s="28">
        <v>0.56428571428571428</v>
      </c>
      <c r="O10" s="3">
        <f t="shared" si="5"/>
        <v>4106</v>
      </c>
      <c r="P10" s="3">
        <f>'10月（既存移管合算）'!Y29</f>
        <v>344</v>
      </c>
      <c r="Q10" s="3">
        <f>'10月（既存移管合算）'!Z29</f>
        <v>729</v>
      </c>
      <c r="R10" s="3">
        <f>'10月（既存移管合算）'!AA29</f>
        <v>701</v>
      </c>
      <c r="S10" s="3">
        <f>'10月（既存移管合算）'!AB29</f>
        <v>589</v>
      </c>
      <c r="T10" s="3">
        <f>'10月（既存移管合算）'!AC29</f>
        <v>484</v>
      </c>
      <c r="U10" s="3">
        <f>'10月（既存移管合算）'!AD29</f>
        <v>498</v>
      </c>
      <c r="V10" s="3">
        <f>'10月（既存移管合算）'!AE29</f>
        <v>516</v>
      </c>
      <c r="W10" s="3">
        <f>'10月（既存移管合算）'!AF29</f>
        <v>416</v>
      </c>
      <c r="X10" s="3">
        <f>'10月（既存移管合算）'!AG29</f>
        <v>951</v>
      </c>
      <c r="Y10" s="3">
        <f>'10月（既存移管合算）'!AH29</f>
        <v>1297</v>
      </c>
      <c r="Z10" s="3">
        <f>'10月（既存移管合算）'!AI29</f>
        <v>425</v>
      </c>
      <c r="AA10" s="3">
        <f>'10月（既存移管合算）'!AJ29</f>
        <v>13</v>
      </c>
      <c r="AB10" s="3">
        <f>'10月（既存移管合算）'!AK29</f>
        <v>13</v>
      </c>
      <c r="AC10" s="3">
        <f>'10月（既存移管合算）'!AL29</f>
        <v>13</v>
      </c>
      <c r="AD10" s="3">
        <f>'10月（既存移管合算）'!AM29</f>
        <v>13</v>
      </c>
      <c r="AE10" s="3">
        <f>'10月（既存移管合算）'!AN29</f>
        <v>14</v>
      </c>
      <c r="AF10" s="3">
        <f>'10月（既存移管合算）'!AO29</f>
        <v>20</v>
      </c>
      <c r="AG10" s="3">
        <f>'10月（既存移管合算）'!AP29</f>
        <v>13</v>
      </c>
      <c r="AH10" s="3">
        <f>'10月（既存移管合算）'!AQ29</f>
        <v>13</v>
      </c>
      <c r="AI10" s="3">
        <f>'10月（既存移管合算）'!AR29</f>
        <v>13</v>
      </c>
      <c r="AJ10" s="3">
        <f>'10月（既存移管合算）'!AS29</f>
        <v>13</v>
      </c>
      <c r="AK10" s="3">
        <f>'10月（既存移管合算）'!AT29</f>
        <v>13</v>
      </c>
      <c r="AL10" s="3">
        <f>'10月（既存移管合算）'!AU29</f>
        <v>20</v>
      </c>
      <c r="AM10" s="3">
        <f>'10月（既存移管合算）'!AV29</f>
        <v>20</v>
      </c>
      <c r="AN10" s="3">
        <f>'10月（既存移管合算）'!AW29</f>
        <v>23</v>
      </c>
      <c r="AO10" s="3">
        <f>'10月（既存移管合算）'!AX29</f>
        <v>13</v>
      </c>
      <c r="AP10" s="3">
        <f>'10月（既存移管合算）'!AY29</f>
        <v>13</v>
      </c>
      <c r="AQ10" s="3">
        <f>'10月（既存移管合算）'!AZ29</f>
        <v>13</v>
      </c>
      <c r="AR10" s="3">
        <f>'10月（既存移管合算）'!BA29</f>
        <v>13</v>
      </c>
      <c r="AS10" s="3">
        <f>'10月（既存移管合算）'!BB29</f>
        <v>14</v>
      </c>
      <c r="AT10" s="3">
        <f>'10月（既存移管合算）'!BC29</f>
        <v>20</v>
      </c>
      <c r="AU10" s="3">
        <f>'10月（既存移管合算）'!BD29</f>
        <v>13</v>
      </c>
      <c r="AV10" s="3">
        <f>'10月（既存移管合算）'!BE29</f>
        <v>13</v>
      </c>
      <c r="AW10" s="10">
        <f t="shared" si="6"/>
        <v>7276</v>
      </c>
    </row>
    <row r="11" spans="1:49" ht="22" customHeight="1">
      <c r="A11" s="34" t="s">
        <v>43</v>
      </c>
      <c r="B11" s="35" t="s">
        <v>44</v>
      </c>
      <c r="C11" s="32" t="s">
        <v>212</v>
      </c>
      <c r="D11" s="39"/>
      <c r="E11" s="43">
        <v>14000</v>
      </c>
      <c r="F11" s="43">
        <v>14000</v>
      </c>
      <c r="G11" s="43">
        <v>15000</v>
      </c>
      <c r="H11" s="43">
        <v>15000</v>
      </c>
      <c r="I11" s="43">
        <v>14000</v>
      </c>
      <c r="J11" s="43">
        <v>15000</v>
      </c>
      <c r="K11" s="38">
        <v>0.60776942355889729</v>
      </c>
      <c r="L11" s="36">
        <f t="shared" si="4"/>
        <v>703</v>
      </c>
      <c r="M11" s="38">
        <v>0.63200000000000001</v>
      </c>
      <c r="N11" s="38">
        <v>0.60776942355889729</v>
      </c>
      <c r="O11" s="36">
        <f t="shared" si="5"/>
        <v>703</v>
      </c>
      <c r="P11" s="36">
        <f>'10月（既存移管合算）'!Y33</f>
        <v>42</v>
      </c>
      <c r="Q11" s="36">
        <f>'10月（既存移管合算）'!Z33</f>
        <v>52</v>
      </c>
      <c r="R11" s="36">
        <f>'10月（既存移管合算）'!AA33</f>
        <v>65</v>
      </c>
      <c r="S11" s="36">
        <f>'10月（既存移管合算）'!AB33</f>
        <v>43</v>
      </c>
      <c r="T11" s="36">
        <f>'10月（既存移管合算）'!AC33</f>
        <v>52</v>
      </c>
      <c r="U11" s="36">
        <f>'10月（既存移管合算）'!AD33</f>
        <v>51</v>
      </c>
      <c r="V11" s="36">
        <f>'10月（既存移管合算）'!AE33</f>
        <v>74</v>
      </c>
      <c r="W11" s="36">
        <f>'10月（既存移管合算）'!AF33</f>
        <v>43</v>
      </c>
      <c r="X11" s="36">
        <f>'10月（既存移管合算）'!AG33</f>
        <v>57</v>
      </c>
      <c r="Y11" s="36">
        <f>'10月（既存移管合算）'!AH33</f>
        <v>113</v>
      </c>
      <c r="Z11" s="36">
        <f>'10月（既存移管合算）'!AI33</f>
        <v>58</v>
      </c>
      <c r="AA11" s="36">
        <f>'10月（既存移管合算）'!AJ33</f>
        <v>22</v>
      </c>
      <c r="AB11" s="36">
        <f>'10月（既存移管合算）'!AK33</f>
        <v>22</v>
      </c>
      <c r="AC11" s="36">
        <f>'10月（既存移管合算）'!AL33</f>
        <v>22</v>
      </c>
      <c r="AD11" s="36">
        <f>'10月（既存移管合算）'!AM33</f>
        <v>22</v>
      </c>
      <c r="AE11" s="36">
        <f>'10月（既存移管合算）'!AN33</f>
        <v>26</v>
      </c>
      <c r="AF11" s="36">
        <f>'10月（既存移管合算）'!AO33</f>
        <v>28</v>
      </c>
      <c r="AG11" s="36">
        <f>'10月（既存移管合算）'!AP33</f>
        <v>22</v>
      </c>
      <c r="AH11" s="36">
        <f>'10月（既存移管合算）'!AQ33</f>
        <v>22</v>
      </c>
      <c r="AI11" s="36">
        <f>'10月（既存移管合算）'!AR33</f>
        <v>22</v>
      </c>
      <c r="AJ11" s="36">
        <f>'10月（既存移管合算）'!AS33</f>
        <v>22</v>
      </c>
      <c r="AK11" s="36">
        <f>'10月（既存移管合算）'!AT33</f>
        <v>22</v>
      </c>
      <c r="AL11" s="36">
        <f>'10月（既存移管合算）'!AU33</f>
        <v>24</v>
      </c>
      <c r="AM11" s="36">
        <f>'10月（既存移管合算）'!AV33</f>
        <v>24</v>
      </c>
      <c r="AN11" s="36">
        <f>'10月（既存移管合算）'!AW33</f>
        <v>24</v>
      </c>
      <c r="AO11" s="36">
        <f>'10月（既存移管合算）'!AX33</f>
        <v>22</v>
      </c>
      <c r="AP11" s="36">
        <f>'10月（既存移管合算）'!AY33</f>
        <v>22</v>
      </c>
      <c r="AQ11" s="36">
        <f>'10月（既存移管合算）'!AZ33</f>
        <v>22</v>
      </c>
      <c r="AR11" s="36">
        <f>'10月（既存移管合算）'!BA33</f>
        <v>22</v>
      </c>
      <c r="AS11" s="36">
        <f>'10月（既存移管合算）'!BB33</f>
        <v>25</v>
      </c>
      <c r="AT11" s="36">
        <f>'10月（既存移管合算）'!BC33</f>
        <v>25</v>
      </c>
      <c r="AU11" s="36">
        <f>'10月（既存移管合算）'!BD33</f>
        <v>22</v>
      </c>
      <c r="AV11" s="36">
        <f>'10月（既存移管合算）'!BE33</f>
        <v>22</v>
      </c>
      <c r="AW11" s="10">
        <f t="shared" si="6"/>
        <v>1156</v>
      </c>
    </row>
    <row r="12" spans="1:49" ht="22" customHeight="1">
      <c r="A12" s="26" t="s">
        <v>45</v>
      </c>
      <c r="B12" s="27" t="s">
        <v>46</v>
      </c>
      <c r="C12" s="25"/>
      <c r="D12" s="9"/>
      <c r="E12" s="31">
        <v>18000</v>
      </c>
      <c r="F12" s="31">
        <v>18000</v>
      </c>
      <c r="G12" s="31">
        <v>18000</v>
      </c>
      <c r="H12" s="31">
        <v>18000</v>
      </c>
      <c r="I12" s="31">
        <v>18000</v>
      </c>
      <c r="J12" s="31">
        <v>18000</v>
      </c>
      <c r="K12" s="28">
        <v>0.2260397830018083</v>
      </c>
      <c r="L12" s="3">
        <f t="shared" si="4"/>
        <v>134</v>
      </c>
      <c r="M12" s="28">
        <v>0.23699999999999999</v>
      </c>
      <c r="N12" s="28">
        <v>0.2260397830018083</v>
      </c>
      <c r="O12" s="3">
        <f t="shared" si="5"/>
        <v>134</v>
      </c>
      <c r="P12" s="3">
        <f>'10月（既存移管合算）'!Y37</f>
        <v>13</v>
      </c>
      <c r="Q12" s="3">
        <f>'10月（既存移管合算）'!Z37</f>
        <v>19</v>
      </c>
      <c r="R12" s="3">
        <f>'10月（既存移管合算）'!AA37</f>
        <v>21</v>
      </c>
      <c r="S12" s="3">
        <f>'10月（既存移管合算）'!AB37</f>
        <v>23</v>
      </c>
      <c r="T12" s="3">
        <f>'10月（既存移管合算）'!AC37</f>
        <v>22</v>
      </c>
      <c r="U12" s="3">
        <f>'10月（既存移管合算）'!AD37</f>
        <v>16</v>
      </c>
      <c r="V12" s="3">
        <f>'10月（既存移管合算）'!AE37</f>
        <v>17</v>
      </c>
      <c r="W12" s="3">
        <f>'10月（既存移管合算）'!AF37</f>
        <v>19</v>
      </c>
      <c r="X12" s="3">
        <f>'10月（既存移管合算）'!AG37</f>
        <v>24</v>
      </c>
      <c r="Y12" s="3">
        <f>'10月（既存移管合算）'!AH37</f>
        <v>27</v>
      </c>
      <c r="Z12" s="3">
        <f>'10月（既存移管合算）'!AI37</f>
        <v>19</v>
      </c>
      <c r="AA12" s="3">
        <f>'10月（既存移管合算）'!AJ37</f>
        <v>15</v>
      </c>
      <c r="AB12" s="3">
        <f>'10月（既存移管合算）'!AK37</f>
        <v>15</v>
      </c>
      <c r="AC12" s="3">
        <f>'10月（既存移管合算）'!AL37</f>
        <v>15</v>
      </c>
      <c r="AD12" s="3">
        <f>'10月（既存移管合算）'!AM37</f>
        <v>15</v>
      </c>
      <c r="AE12" s="3">
        <f>'10月（既存移管合算）'!AN37</f>
        <v>18</v>
      </c>
      <c r="AF12" s="3">
        <f>'10月（既存移管合算）'!AO37</f>
        <v>20</v>
      </c>
      <c r="AG12" s="3">
        <f>'10月（既存移管合算）'!AP37</f>
        <v>15</v>
      </c>
      <c r="AH12" s="3">
        <f>'10月（既存移管合算）'!AQ37</f>
        <v>15</v>
      </c>
      <c r="AI12" s="3">
        <f>'10月（既存移管合算）'!AR37</f>
        <v>15</v>
      </c>
      <c r="AJ12" s="3">
        <f>'10月（既存移管合算）'!AS37</f>
        <v>15</v>
      </c>
      <c r="AK12" s="3">
        <f>'10月（既存移管合算）'!AT37</f>
        <v>15</v>
      </c>
      <c r="AL12" s="3">
        <f>'10月（既存移管合算）'!AU37</f>
        <v>20</v>
      </c>
      <c r="AM12" s="3">
        <f>'10月（既存移管合算）'!AV37</f>
        <v>20</v>
      </c>
      <c r="AN12" s="3">
        <f>'10月（既存移管合算）'!AW37</f>
        <v>20</v>
      </c>
      <c r="AO12" s="3">
        <f>'10月（既存移管合算）'!AX37</f>
        <v>15</v>
      </c>
      <c r="AP12" s="3">
        <f>'10月（既存移管合算）'!AY37</f>
        <v>15</v>
      </c>
      <c r="AQ12" s="3">
        <f>'10月（既存移管合算）'!AZ37</f>
        <v>15</v>
      </c>
      <c r="AR12" s="3">
        <f>'10月（既存移管合算）'!BA37</f>
        <v>15</v>
      </c>
      <c r="AS12" s="3">
        <f>'10月（既存移管合算）'!BB37</f>
        <v>24</v>
      </c>
      <c r="AT12" s="3">
        <f>'10月（既存移管合算）'!BC37</f>
        <v>28</v>
      </c>
      <c r="AU12" s="3">
        <f>'10月（既存移管合算）'!BD37</f>
        <v>15</v>
      </c>
      <c r="AV12" s="3">
        <f>'10月（既存移管合算）'!BE37</f>
        <v>15</v>
      </c>
      <c r="AW12" s="10">
        <f t="shared" si="6"/>
        <v>595</v>
      </c>
    </row>
    <row r="13" spans="1:49" ht="22" customHeight="1">
      <c r="A13" s="34" t="s">
        <v>48</v>
      </c>
      <c r="B13" s="35" t="s">
        <v>49</v>
      </c>
      <c r="C13" s="32" t="s">
        <v>212</v>
      </c>
      <c r="D13" s="32" t="s">
        <v>212</v>
      </c>
      <c r="E13" s="43">
        <v>14000</v>
      </c>
      <c r="F13" s="43">
        <v>15000</v>
      </c>
      <c r="G13" s="43">
        <v>19000</v>
      </c>
      <c r="H13" s="43">
        <v>15000</v>
      </c>
      <c r="I13" s="43">
        <v>14000</v>
      </c>
      <c r="J13" s="43">
        <v>15000</v>
      </c>
      <c r="K13" s="38">
        <v>0.41410693970420931</v>
      </c>
      <c r="L13" s="36">
        <f t="shared" si="4"/>
        <v>1030</v>
      </c>
      <c r="M13" s="38">
        <v>0.47199999999999998</v>
      </c>
      <c r="N13" s="38">
        <v>0.41410693970420931</v>
      </c>
      <c r="O13" s="36">
        <f t="shared" si="5"/>
        <v>1030</v>
      </c>
      <c r="P13" s="36">
        <f>'10月（既存移管合算）'!Y40</f>
        <v>85</v>
      </c>
      <c r="Q13" s="36">
        <f>'10月（既存移管合算）'!Z40</f>
        <v>166</v>
      </c>
      <c r="R13" s="36">
        <f>'10月（既存移管合算）'!AA40</f>
        <v>237</v>
      </c>
      <c r="S13" s="36">
        <f>'10月（既存移管合算）'!AB40</f>
        <v>150</v>
      </c>
      <c r="T13" s="36">
        <f>'10月（既存移管合算）'!AC40</f>
        <v>145</v>
      </c>
      <c r="U13" s="36">
        <f>'10月（既存移管合算）'!AD40</f>
        <v>169</v>
      </c>
      <c r="V13" s="36">
        <f>'10月（既存移管合算）'!AE40</f>
        <v>120</v>
      </c>
      <c r="W13" s="36">
        <f>'10月（既存移管合算）'!AF40</f>
        <v>120</v>
      </c>
      <c r="X13" s="36">
        <f>'10月（既存移管合算）'!AG40</f>
        <v>175</v>
      </c>
      <c r="Y13" s="36">
        <f>'10月（既存移管合算）'!AH40</f>
        <v>285</v>
      </c>
      <c r="Z13" s="36">
        <f>'10月（既存移管合算）'!AI40</f>
        <v>98</v>
      </c>
      <c r="AA13" s="36">
        <f>'10月（既存移管合算）'!AJ40</f>
        <v>28</v>
      </c>
      <c r="AB13" s="36">
        <f>'10月（既存移管合算）'!AK40</f>
        <v>28</v>
      </c>
      <c r="AC13" s="36">
        <f>'10月（既存移管合算）'!AL40</f>
        <v>28</v>
      </c>
      <c r="AD13" s="36">
        <f>'10月（既存移管合算）'!AM40</f>
        <v>28</v>
      </c>
      <c r="AE13" s="36">
        <f>'10月（既存移管合算）'!AN40</f>
        <v>38</v>
      </c>
      <c r="AF13" s="36">
        <f>'10月（既存移管合算）'!AO40</f>
        <v>46</v>
      </c>
      <c r="AG13" s="36">
        <f>'10月（既存移管合算）'!AP40</f>
        <v>32</v>
      </c>
      <c r="AH13" s="36">
        <f>'10月（既存移管合算）'!AQ40</f>
        <v>34</v>
      </c>
      <c r="AI13" s="36">
        <f>'10月（既存移管合算）'!AR40</f>
        <v>34</v>
      </c>
      <c r="AJ13" s="36">
        <f>'10月（既存移管合算）'!AS40</f>
        <v>34</v>
      </c>
      <c r="AK13" s="36">
        <f>'10月（既存移管合算）'!AT40</f>
        <v>34</v>
      </c>
      <c r="AL13" s="36">
        <f>'10月（既存移管合算）'!AU40</f>
        <v>42</v>
      </c>
      <c r="AM13" s="36">
        <f>'10月（既存移管合算）'!AV40</f>
        <v>45</v>
      </c>
      <c r="AN13" s="36">
        <f>'10月（既存移管合算）'!AW40</f>
        <v>31</v>
      </c>
      <c r="AO13" s="36">
        <f>'10月（既存移管合算）'!AX40</f>
        <v>29</v>
      </c>
      <c r="AP13" s="36">
        <f>'10月（既存移管合算）'!AY40</f>
        <v>29</v>
      </c>
      <c r="AQ13" s="36">
        <f>'10月（既存移管合算）'!AZ40</f>
        <v>29</v>
      </c>
      <c r="AR13" s="36">
        <f>'10月（既存移管合算）'!BA40</f>
        <v>29</v>
      </c>
      <c r="AS13" s="36">
        <f>'10月（既存移管合算）'!BB40</f>
        <v>39</v>
      </c>
      <c r="AT13" s="36">
        <f>'10月（既存移管合算）'!BC40</f>
        <v>42</v>
      </c>
      <c r="AU13" s="36">
        <f>'10月（既存移管合算）'!BD40</f>
        <v>29</v>
      </c>
      <c r="AV13" s="36">
        <f>'10月（既存移管合算）'!BE40</f>
        <v>29</v>
      </c>
      <c r="AW13" s="10">
        <f t="shared" si="6"/>
        <v>2487</v>
      </c>
    </row>
    <row r="14" spans="1:49" ht="22" customHeight="1">
      <c r="A14" s="26" t="s">
        <v>50</v>
      </c>
      <c r="B14" s="27" t="s">
        <v>51</v>
      </c>
      <c r="C14" s="25" t="s">
        <v>212</v>
      </c>
      <c r="D14" s="9"/>
      <c r="E14" s="31">
        <v>11000</v>
      </c>
      <c r="F14" s="31">
        <v>12000</v>
      </c>
      <c r="G14" s="31">
        <v>12000</v>
      </c>
      <c r="H14" s="31">
        <v>12000</v>
      </c>
      <c r="I14" s="31">
        <v>11000</v>
      </c>
      <c r="J14" s="31">
        <v>12000</v>
      </c>
      <c r="K14" s="28">
        <v>0.51677852348993292</v>
      </c>
      <c r="L14" s="3">
        <f t="shared" si="4"/>
        <v>124</v>
      </c>
      <c r="M14" s="28">
        <v>0.58799999999999997</v>
      </c>
      <c r="N14" s="28">
        <v>0.51677852348993292</v>
      </c>
      <c r="O14" s="3">
        <f t="shared" si="5"/>
        <v>124</v>
      </c>
      <c r="P14" s="3">
        <f>'10月（既存移管合算）'!Y44</f>
        <v>5</v>
      </c>
      <c r="Q14" s="3">
        <f>'10月（既存移管合算）'!Z44</f>
        <v>7</v>
      </c>
      <c r="R14" s="3">
        <f>'10月（既存移管合算）'!AA44</f>
        <v>10</v>
      </c>
      <c r="S14" s="3">
        <f>'10月（既存移管合算）'!AB44</f>
        <v>8</v>
      </c>
      <c r="T14" s="3">
        <f>'10月（既存移管合算）'!AC44</f>
        <v>8</v>
      </c>
      <c r="U14" s="3">
        <f>'10月（既存移管合算）'!AD44</f>
        <v>8</v>
      </c>
      <c r="V14" s="3">
        <f>'10月（既存移管合算）'!AE44</f>
        <v>8</v>
      </c>
      <c r="W14" s="3">
        <f>'10月（既存移管合算）'!AF44</f>
        <v>8</v>
      </c>
      <c r="X14" s="3">
        <f>'10月（既存移管合算）'!AG44</f>
        <v>8</v>
      </c>
      <c r="Y14" s="3">
        <f>'10月（既存移管合算）'!AH44</f>
        <v>10</v>
      </c>
      <c r="Z14" s="3">
        <f>'10月（既存移管合算）'!AI44</f>
        <v>10</v>
      </c>
      <c r="AA14" s="3">
        <f>'10月（既存移管合算）'!AJ44</f>
        <v>5</v>
      </c>
      <c r="AB14" s="3">
        <f>'10月（既存移管合算）'!AK44</f>
        <v>5</v>
      </c>
      <c r="AC14" s="3">
        <f>'10月（既存移管合算）'!AL44</f>
        <v>5</v>
      </c>
      <c r="AD14" s="3">
        <f>'10月（既存移管合算）'!AM44</f>
        <v>5</v>
      </c>
      <c r="AE14" s="3">
        <f>'10月（既存移管合算）'!AN44</f>
        <v>7</v>
      </c>
      <c r="AF14" s="3">
        <f>'10月（既存移管合算）'!AO44</f>
        <v>11</v>
      </c>
      <c r="AG14" s="3">
        <f>'10月（既存移管合算）'!AP44</f>
        <v>6</v>
      </c>
      <c r="AH14" s="3">
        <f>'10月（既存移管合算）'!AQ44</f>
        <v>6</v>
      </c>
      <c r="AI14" s="3">
        <f>'10月（既存移管合算）'!AR44</f>
        <v>6</v>
      </c>
      <c r="AJ14" s="3">
        <f>'10月（既存移管合算）'!AS44</f>
        <v>6</v>
      </c>
      <c r="AK14" s="3">
        <f>'10月（既存移管合算）'!AT44</f>
        <v>6</v>
      </c>
      <c r="AL14" s="3">
        <f>'10月（既存移管合算）'!AU44</f>
        <v>8</v>
      </c>
      <c r="AM14" s="3">
        <f>'10月（既存移管合算）'!AV44</f>
        <v>10</v>
      </c>
      <c r="AN14" s="3">
        <f>'10月（既存移管合算）'!AW44</f>
        <v>10</v>
      </c>
      <c r="AO14" s="3">
        <f>'10月（既存移管合算）'!AX44</f>
        <v>6</v>
      </c>
      <c r="AP14" s="3">
        <f>'10月（既存移管合算）'!AY44</f>
        <v>6</v>
      </c>
      <c r="AQ14" s="3">
        <f>'10月（既存移管合算）'!AZ44</f>
        <v>6</v>
      </c>
      <c r="AR14" s="3">
        <f>'10月（既存移管合算）'!BA44</f>
        <v>6</v>
      </c>
      <c r="AS14" s="3">
        <f>'10月（既存移管合算）'!BB44</f>
        <v>8</v>
      </c>
      <c r="AT14" s="3">
        <f>'10月（既存移管合算）'!BC44</f>
        <v>10</v>
      </c>
      <c r="AU14" s="3">
        <f>'10月（既存移管合算）'!BD44</f>
        <v>6</v>
      </c>
      <c r="AV14" s="3">
        <f>'10月（既存移管合算）'!BE44</f>
        <v>6</v>
      </c>
      <c r="AW14" s="10">
        <f t="shared" si="6"/>
        <v>240</v>
      </c>
    </row>
    <row r="15" spans="1:49" ht="22" customHeight="1">
      <c r="A15" s="34" t="s">
        <v>52</v>
      </c>
      <c r="B15" s="35" t="s">
        <v>53</v>
      </c>
      <c r="C15" s="32"/>
      <c r="D15" s="39"/>
      <c r="E15" s="43">
        <v>8300</v>
      </c>
      <c r="F15" s="43">
        <v>8300</v>
      </c>
      <c r="G15" s="43">
        <v>8300</v>
      </c>
      <c r="H15" s="43">
        <v>8300</v>
      </c>
      <c r="I15" s="43">
        <v>8300</v>
      </c>
      <c r="J15" s="43">
        <v>8300</v>
      </c>
      <c r="K15" s="38">
        <v>0.24175824175824179</v>
      </c>
      <c r="L15" s="36">
        <f t="shared" si="4"/>
        <v>93</v>
      </c>
      <c r="M15" s="38">
        <v>0.27300000000000002</v>
      </c>
      <c r="N15" s="38">
        <v>0.24175824175824179</v>
      </c>
      <c r="O15" s="36">
        <f t="shared" si="5"/>
        <v>93</v>
      </c>
      <c r="P15" s="36">
        <f>'10月（既存移管合算）'!Y48</f>
        <v>16</v>
      </c>
      <c r="Q15" s="36">
        <f>'10月（既存移管合算）'!Z48</f>
        <v>19</v>
      </c>
      <c r="R15" s="36">
        <f>'10月（既存移管合算）'!AA48</f>
        <v>16</v>
      </c>
      <c r="S15" s="36">
        <f>'10月（既存移管合算）'!AB48</f>
        <v>14</v>
      </c>
      <c r="T15" s="36">
        <f>'10月（既存移管合算）'!AC48</f>
        <v>15</v>
      </c>
      <c r="U15" s="36">
        <f>'10月（既存移管合算）'!AD48</f>
        <v>12</v>
      </c>
      <c r="V15" s="36">
        <f>'10月（既存移管合算）'!AE48</f>
        <v>9</v>
      </c>
      <c r="W15" s="36">
        <f>'10月（既存移管合算）'!AF48</f>
        <v>18</v>
      </c>
      <c r="X15" s="36">
        <f>'10月（既存移管合算）'!AG48</f>
        <v>25</v>
      </c>
      <c r="Y15" s="36">
        <f>'10月（既存移管合算）'!AH48</f>
        <v>20</v>
      </c>
      <c r="Z15" s="36">
        <f>'10月（既存移管合算）'!AI48</f>
        <v>16</v>
      </c>
      <c r="AA15" s="36">
        <f>'10月（既存移管合算）'!AJ48</f>
        <v>8</v>
      </c>
      <c r="AB15" s="36">
        <f>'10月（既存移管合算）'!AK48</f>
        <v>8</v>
      </c>
      <c r="AC15" s="36">
        <f>'10月（既存移管合算）'!AL48</f>
        <v>8</v>
      </c>
      <c r="AD15" s="36">
        <f>'10月（既存移管合算）'!AM48</f>
        <v>8</v>
      </c>
      <c r="AE15" s="36">
        <f>'10月（既存移管合算）'!AN48</f>
        <v>10</v>
      </c>
      <c r="AF15" s="36">
        <f>'10月（既存移管合算）'!AO48</f>
        <v>10</v>
      </c>
      <c r="AG15" s="36">
        <f>'10月（既存移管合算）'!AP48</f>
        <v>9</v>
      </c>
      <c r="AH15" s="36">
        <f>'10月（既存移管合算）'!AQ48</f>
        <v>9</v>
      </c>
      <c r="AI15" s="36">
        <f>'10月（既存移管合算）'!AR48</f>
        <v>9</v>
      </c>
      <c r="AJ15" s="36">
        <f>'10月（既存移管合算）'!AS48</f>
        <v>8</v>
      </c>
      <c r="AK15" s="36">
        <f>'10月（既存移管合算）'!AT48</f>
        <v>8</v>
      </c>
      <c r="AL15" s="36">
        <f>'10月（既存移管合算）'!AU48</f>
        <v>10</v>
      </c>
      <c r="AM15" s="36">
        <f>'10月（既存移管合算）'!AV48</f>
        <v>9</v>
      </c>
      <c r="AN15" s="36">
        <f>'10月（既存移管合算）'!AW48</f>
        <v>8</v>
      </c>
      <c r="AO15" s="36">
        <f>'10月（既存移管合算）'!AX48</f>
        <v>10</v>
      </c>
      <c r="AP15" s="36">
        <f>'10月（既存移管合算）'!AY48</f>
        <v>10</v>
      </c>
      <c r="AQ15" s="36">
        <f>'10月（既存移管合算）'!AZ48</f>
        <v>10</v>
      </c>
      <c r="AR15" s="36">
        <f>'10月（既存移管合算）'!BA48</f>
        <v>10</v>
      </c>
      <c r="AS15" s="36">
        <f>'10月（既存移管合算）'!BB48</f>
        <v>12</v>
      </c>
      <c r="AT15" s="36">
        <f>'10月（既存移管合算）'!BC48</f>
        <v>11</v>
      </c>
      <c r="AU15" s="36">
        <f>'10月（既存移管合算）'!BD48</f>
        <v>10</v>
      </c>
      <c r="AV15" s="36">
        <f>'10月（既存移管合算）'!BE48</f>
        <v>10</v>
      </c>
      <c r="AW15" s="10">
        <f t="shared" si="6"/>
        <v>385</v>
      </c>
    </row>
    <row r="16" spans="1:49" ht="22" customHeight="1">
      <c r="A16" s="26" t="s">
        <v>54</v>
      </c>
      <c r="B16" s="27" t="s">
        <v>55</v>
      </c>
      <c r="C16" s="25" t="s">
        <v>212</v>
      </c>
      <c r="D16" s="9"/>
      <c r="E16" s="31">
        <v>18000</v>
      </c>
      <c r="F16" s="31">
        <v>18000</v>
      </c>
      <c r="G16" s="31">
        <v>18000</v>
      </c>
      <c r="H16" s="31">
        <v>18000</v>
      </c>
      <c r="I16" s="31">
        <v>18000</v>
      </c>
      <c r="J16" s="31">
        <v>18000</v>
      </c>
      <c r="K16" s="28">
        <v>0.26022304832713761</v>
      </c>
      <c r="L16" s="3">
        <f t="shared" si="4"/>
        <v>67</v>
      </c>
      <c r="M16" s="28">
        <v>0.36799999999999999</v>
      </c>
      <c r="N16" s="28">
        <v>0.26022304832713761</v>
      </c>
      <c r="O16" s="3">
        <f t="shared" si="5"/>
        <v>67</v>
      </c>
      <c r="P16" s="3">
        <f>'10月（既存移管合算）'!Y51</f>
        <v>8</v>
      </c>
      <c r="Q16" s="3">
        <f>'10月（既存移管合算）'!Z51</f>
        <v>8</v>
      </c>
      <c r="R16" s="3">
        <f>'10月（既存移管合算）'!AA51</f>
        <v>8</v>
      </c>
      <c r="S16" s="3">
        <f>'10月（既存移管合算）'!AB51</f>
        <v>8</v>
      </c>
      <c r="T16" s="3">
        <f>'10月（既存移管合算）'!AC51</f>
        <v>8</v>
      </c>
      <c r="U16" s="3">
        <f>'10月（既存移管合算）'!AD51</f>
        <v>8</v>
      </c>
      <c r="V16" s="3">
        <f>'10月（既存移管合算）'!AE51</f>
        <v>8</v>
      </c>
      <c r="W16" s="3">
        <f>'10月（既存移管合算）'!AF51</f>
        <v>8</v>
      </c>
      <c r="X16" s="3">
        <f>'10月（既存移管合算）'!AG51</f>
        <v>8</v>
      </c>
      <c r="Y16" s="3">
        <f>'10月（既存移管合算）'!AH51</f>
        <v>10</v>
      </c>
      <c r="Z16" s="3">
        <f>'10月（既存移管合算）'!AI51</f>
        <v>8</v>
      </c>
      <c r="AA16" s="3">
        <f>'10月（既存移管合算）'!AJ51</f>
        <v>7</v>
      </c>
      <c r="AB16" s="3">
        <f>'10月（既存移管合算）'!AK51</f>
        <v>7</v>
      </c>
      <c r="AC16" s="3">
        <f>'10月（既存移管合算）'!AL51</f>
        <v>7</v>
      </c>
      <c r="AD16" s="3">
        <f>'10月（既存移管合算）'!AM51</f>
        <v>7</v>
      </c>
      <c r="AE16" s="3">
        <f>'10月（既存移管合算）'!AN51</f>
        <v>8</v>
      </c>
      <c r="AF16" s="3">
        <f>'10月（既存移管合算）'!AO51</f>
        <v>9</v>
      </c>
      <c r="AG16" s="3">
        <f>'10月（既存移管合算）'!AP51</f>
        <v>7</v>
      </c>
      <c r="AH16" s="3">
        <f>'10月（既存移管合算）'!AQ51</f>
        <v>7</v>
      </c>
      <c r="AI16" s="3">
        <f>'10月（既存移管合算）'!AR51</f>
        <v>7</v>
      </c>
      <c r="AJ16" s="3">
        <f>'10月（既存移管合算）'!AS51</f>
        <v>7</v>
      </c>
      <c r="AK16" s="3">
        <f>'10月（既存移管合算）'!AT51</f>
        <v>7</v>
      </c>
      <c r="AL16" s="3">
        <f>'10月（既存移管合算）'!AU51</f>
        <v>8</v>
      </c>
      <c r="AM16" s="3">
        <f>'10月（既存移管合算）'!AV51</f>
        <v>9</v>
      </c>
      <c r="AN16" s="3">
        <f>'10月（既存移管合算）'!AW51</f>
        <v>10</v>
      </c>
      <c r="AO16" s="3">
        <f>'10月（既存移管合算）'!AX51</f>
        <v>7</v>
      </c>
      <c r="AP16" s="3">
        <f>'10月（既存移管合算）'!AY51</f>
        <v>7</v>
      </c>
      <c r="AQ16" s="3">
        <f>'10月（既存移管合算）'!AZ51</f>
        <v>7</v>
      </c>
      <c r="AR16" s="3">
        <f>'10月（既存移管合算）'!BA51</f>
        <v>7</v>
      </c>
      <c r="AS16" s="3">
        <f>'10月（既存移管合算）'!BB51</f>
        <v>8</v>
      </c>
      <c r="AT16" s="3">
        <f>'10月（既存移管合算）'!BC51</f>
        <v>9</v>
      </c>
      <c r="AU16" s="3">
        <f>'10月（既存移管合算）'!BD51</f>
        <v>7</v>
      </c>
      <c r="AV16" s="3">
        <f>'10月（既存移管合算）'!BE51</f>
        <v>7</v>
      </c>
      <c r="AW16" s="10">
        <f t="shared" si="6"/>
        <v>256</v>
      </c>
    </row>
    <row r="17" spans="1:49" ht="22" customHeight="1">
      <c r="A17" s="34" t="s">
        <v>56</v>
      </c>
      <c r="B17" s="35" t="s">
        <v>57</v>
      </c>
      <c r="C17" s="32" t="s">
        <v>212</v>
      </c>
      <c r="D17" s="39"/>
      <c r="E17" s="43">
        <v>18000</v>
      </c>
      <c r="F17" s="43">
        <v>18000</v>
      </c>
      <c r="G17" s="43">
        <v>18000</v>
      </c>
      <c r="H17" s="43">
        <v>18000</v>
      </c>
      <c r="I17" s="43">
        <v>18000</v>
      </c>
      <c r="J17" s="43">
        <v>18000</v>
      </c>
      <c r="K17" s="38">
        <v>0.65372168284789645</v>
      </c>
      <c r="L17" s="36">
        <f t="shared" si="4"/>
        <v>177</v>
      </c>
      <c r="M17" s="38">
        <v>0.65372168284789645</v>
      </c>
      <c r="N17" s="38">
        <v>0.65372168284789645</v>
      </c>
      <c r="O17" s="36">
        <f t="shared" si="5"/>
        <v>177</v>
      </c>
      <c r="P17" s="36">
        <f>'10月（既存移管合算）'!Y55</f>
        <v>8</v>
      </c>
      <c r="Q17" s="36">
        <f>'10月（既存移管合算）'!Z55</f>
        <v>8</v>
      </c>
      <c r="R17" s="36">
        <f>'10月（既存移管合算）'!AA55</f>
        <v>11</v>
      </c>
      <c r="S17" s="36">
        <f>'10月（既存移管合算）'!AB55</f>
        <v>8</v>
      </c>
      <c r="T17" s="36">
        <f>'10月（既存移管合算）'!AC55</f>
        <v>8</v>
      </c>
      <c r="U17" s="36">
        <f>'10月（既存移管合算）'!AD55</f>
        <v>8</v>
      </c>
      <c r="V17" s="36">
        <f>'10月（既存移管合算）'!AE55</f>
        <v>8</v>
      </c>
      <c r="W17" s="36">
        <f>'10月（既存移管合算）'!AF55</f>
        <v>8</v>
      </c>
      <c r="X17" s="36">
        <f>'10月（既存移管合算）'!AG55</f>
        <v>8</v>
      </c>
      <c r="Y17" s="36">
        <f>'10月（既存移管合算）'!AH55</f>
        <v>17</v>
      </c>
      <c r="Z17" s="36">
        <f>'10月（既存移管合算）'!AI55</f>
        <v>13</v>
      </c>
      <c r="AA17" s="36">
        <f>'10月（既存移管合算）'!AJ55</f>
        <v>7</v>
      </c>
      <c r="AB17" s="36">
        <f>'10月（既存移管合算）'!AK55</f>
        <v>7</v>
      </c>
      <c r="AC17" s="36">
        <f>'10月（既存移管合算）'!AL55</f>
        <v>7</v>
      </c>
      <c r="AD17" s="36">
        <f>'10月（既存移管合算）'!AM55</f>
        <v>7</v>
      </c>
      <c r="AE17" s="36">
        <f>'10月（既存移管合算）'!AN55</f>
        <v>8</v>
      </c>
      <c r="AF17" s="36">
        <f>'10月（既存移管合算）'!AO55</f>
        <v>9</v>
      </c>
      <c r="AG17" s="36">
        <f>'10月（既存移管合算）'!AP55</f>
        <v>7</v>
      </c>
      <c r="AH17" s="36">
        <f>'10月（既存移管合算）'!AQ55</f>
        <v>7</v>
      </c>
      <c r="AI17" s="36">
        <f>'10月（既存移管合算）'!AR55</f>
        <v>7</v>
      </c>
      <c r="AJ17" s="36">
        <f>'10月（既存移管合算）'!AS55</f>
        <v>7</v>
      </c>
      <c r="AK17" s="36">
        <f>'10月（既存移管合算）'!AT55</f>
        <v>7</v>
      </c>
      <c r="AL17" s="36">
        <f>'10月（既存移管合算）'!AU55</f>
        <v>8</v>
      </c>
      <c r="AM17" s="36">
        <f>'10月（既存移管合算）'!AV55</f>
        <v>9</v>
      </c>
      <c r="AN17" s="36">
        <f>'10月（既存移管合算）'!AW55</f>
        <v>10</v>
      </c>
      <c r="AO17" s="36">
        <f>'10月（既存移管合算）'!AX55</f>
        <v>7</v>
      </c>
      <c r="AP17" s="36">
        <f>'10月（既存移管合算）'!AY55</f>
        <v>7</v>
      </c>
      <c r="AQ17" s="36">
        <f>'10月（既存移管合算）'!AZ55</f>
        <v>7</v>
      </c>
      <c r="AR17" s="36">
        <f>'10月（既存移管合算）'!BA55</f>
        <v>7</v>
      </c>
      <c r="AS17" s="36">
        <f>'10月（既存移管合算）'!BB55</f>
        <v>8</v>
      </c>
      <c r="AT17" s="36">
        <f>'10月（既存移管合算）'!BC55</f>
        <v>9</v>
      </c>
      <c r="AU17" s="36">
        <f>'10月（既存移管合算）'!BD55</f>
        <v>7</v>
      </c>
      <c r="AV17" s="36">
        <f>'10月（既存移管合算）'!BE55</f>
        <v>7</v>
      </c>
      <c r="AW17" s="10">
        <f t="shared" si="6"/>
        <v>271</v>
      </c>
    </row>
    <row r="18" spans="1:49" ht="22" customHeight="1">
      <c r="A18" s="26" t="s">
        <v>58</v>
      </c>
      <c r="B18" s="27" t="s">
        <v>59</v>
      </c>
      <c r="C18" s="25" t="s">
        <v>212</v>
      </c>
      <c r="D18" s="9"/>
      <c r="E18" s="31">
        <v>12000</v>
      </c>
      <c r="F18" s="31">
        <v>12000</v>
      </c>
      <c r="G18" s="31">
        <v>14000</v>
      </c>
      <c r="H18" s="31">
        <v>12000</v>
      </c>
      <c r="I18" s="31">
        <v>11000</v>
      </c>
      <c r="J18" s="31">
        <v>12000</v>
      </c>
      <c r="K18" s="28">
        <v>0.1404761904761905</v>
      </c>
      <c r="L18" s="3">
        <f t="shared" si="4"/>
        <v>100</v>
      </c>
      <c r="M18" s="28">
        <v>0.108</v>
      </c>
      <c r="N18" s="28">
        <v>0.1404761904761905</v>
      </c>
      <c r="O18" s="3">
        <f t="shared" si="5"/>
        <v>100</v>
      </c>
      <c r="P18" s="3">
        <f>'10月（既存移管合算）'!Y59</f>
        <v>22</v>
      </c>
      <c r="Q18" s="3">
        <f>'10月（既存移管合算）'!Z59</f>
        <v>39</v>
      </c>
      <c r="R18" s="3">
        <f>'10月（既存移管合算）'!AA59</f>
        <v>30</v>
      </c>
      <c r="S18" s="3">
        <f>'10月（既存移管合算）'!AB59</f>
        <v>42</v>
      </c>
      <c r="T18" s="3">
        <f>'10月（既存移管合算）'!AC59</f>
        <v>56</v>
      </c>
      <c r="U18" s="3">
        <f>'10月（既存移管合算）'!AD59</f>
        <v>49</v>
      </c>
      <c r="V18" s="3">
        <f>'10月（既存移管合算）'!AE59</f>
        <v>45</v>
      </c>
      <c r="W18" s="3">
        <f>'10月（既存移管合算）'!AF59</f>
        <v>40</v>
      </c>
      <c r="X18" s="3">
        <f>'10月（既存移管合算）'!AG59</f>
        <v>69</v>
      </c>
      <c r="Y18" s="3">
        <f>'10月（既存移管合算）'!AH59</f>
        <v>81</v>
      </c>
      <c r="Z18" s="3">
        <f>'10月（既存移管合算）'!AI59</f>
        <v>27</v>
      </c>
      <c r="AA18" s="3">
        <f>'10月（既存移管合算）'!AJ59</f>
        <v>9</v>
      </c>
      <c r="AB18" s="3">
        <f>'10月（既存移管合算）'!AK59</f>
        <v>9</v>
      </c>
      <c r="AC18" s="3">
        <f>'10月（既存移管合算）'!AL59</f>
        <v>9</v>
      </c>
      <c r="AD18" s="3">
        <f>'10月（既存移管合算）'!AM59</f>
        <v>9</v>
      </c>
      <c r="AE18" s="3">
        <f>'10月（既存移管合算）'!AN59</f>
        <v>10</v>
      </c>
      <c r="AF18" s="3">
        <f>'10月（既存移管合算）'!AO59</f>
        <v>15</v>
      </c>
      <c r="AG18" s="3">
        <f>'10月（既存移管合算）'!AP59</f>
        <v>9</v>
      </c>
      <c r="AH18" s="3">
        <f>'10月（既存移管合算）'!AQ59</f>
        <v>9</v>
      </c>
      <c r="AI18" s="3">
        <f>'10月（既存移管合算）'!AR59</f>
        <v>9</v>
      </c>
      <c r="AJ18" s="3">
        <f>'10月（既存移管合算）'!AS59</f>
        <v>9</v>
      </c>
      <c r="AK18" s="3">
        <f>'10月（既存移管合算）'!AT59</f>
        <v>9</v>
      </c>
      <c r="AL18" s="3">
        <f>'10月（既存移管合算）'!AU59</f>
        <v>10</v>
      </c>
      <c r="AM18" s="3">
        <f>'10月（既存移管合算）'!AV59</f>
        <v>14</v>
      </c>
      <c r="AN18" s="3">
        <f>'10月（既存移管合算）'!AW59</f>
        <v>10</v>
      </c>
      <c r="AO18" s="3">
        <f>'10月（既存移管合算）'!AX59</f>
        <v>9</v>
      </c>
      <c r="AP18" s="3">
        <f>'10月（既存移管合算）'!AY59</f>
        <v>9</v>
      </c>
      <c r="AQ18" s="3">
        <f>'10月（既存移管合算）'!AZ59</f>
        <v>9</v>
      </c>
      <c r="AR18" s="3">
        <f>'10月（既存移管合算）'!BA59</f>
        <v>9</v>
      </c>
      <c r="AS18" s="3">
        <f>'10月（既存移管合算）'!BB59</f>
        <v>8</v>
      </c>
      <c r="AT18" s="3">
        <f>'10月（既存移管合算）'!BC59</f>
        <v>8</v>
      </c>
      <c r="AU18" s="3">
        <f>'10月（既存移管合算）'!BD59</f>
        <v>9</v>
      </c>
      <c r="AV18" s="3">
        <f>'10月（既存移管合算）'!BE59</f>
        <v>9</v>
      </c>
      <c r="AW18" s="10">
        <f t="shared" si="6"/>
        <v>710</v>
      </c>
    </row>
    <row r="19" spans="1:49" ht="22" customHeight="1">
      <c r="A19" s="34" t="s">
        <v>60</v>
      </c>
      <c r="B19" s="35" t="s">
        <v>61</v>
      </c>
      <c r="C19" s="32"/>
      <c r="D19" s="39"/>
      <c r="E19" s="43">
        <v>8000</v>
      </c>
      <c r="F19" s="43">
        <v>8000</v>
      </c>
      <c r="G19" s="43">
        <v>8000</v>
      </c>
      <c r="H19" s="43">
        <v>8000</v>
      </c>
      <c r="I19" s="43">
        <v>8000</v>
      </c>
      <c r="J19" s="43">
        <v>8000</v>
      </c>
      <c r="K19" s="38">
        <v>0.12612612612612609</v>
      </c>
      <c r="L19" s="36">
        <f t="shared" si="4"/>
        <v>16</v>
      </c>
      <c r="M19" s="38">
        <v>0.19</v>
      </c>
      <c r="N19" s="38">
        <v>0.12612612612612609</v>
      </c>
      <c r="O19" s="36">
        <f t="shared" si="5"/>
        <v>16</v>
      </c>
      <c r="P19" s="36">
        <f>'10月（既存移管合算）'!Y63</f>
        <v>4</v>
      </c>
      <c r="Q19" s="36">
        <f>'10月（既存移管合算）'!Z63</f>
        <v>4</v>
      </c>
      <c r="R19" s="36">
        <f>'10月（既存移管合算）'!AA63</f>
        <v>4</v>
      </c>
      <c r="S19" s="36">
        <f>'10月（既存移管合算）'!AB63</f>
        <v>4</v>
      </c>
      <c r="T19" s="36">
        <f>'10月（既存移管合算）'!AC63</f>
        <v>4</v>
      </c>
      <c r="U19" s="36">
        <f>'10月（既存移管合算）'!AD63</f>
        <v>4</v>
      </c>
      <c r="V19" s="36">
        <f>'10月（既存移管合算）'!AE63</f>
        <v>4</v>
      </c>
      <c r="W19" s="36">
        <f>'10月（既存移管合算）'!AF63</f>
        <v>4</v>
      </c>
      <c r="X19" s="36">
        <f>'10月（既存移管合算）'!AG63</f>
        <v>4</v>
      </c>
      <c r="Y19" s="36">
        <f>'10月（既存移管合算）'!AH63</f>
        <v>4</v>
      </c>
      <c r="Z19" s="36">
        <f>'10月（既存移管合算）'!AI63</f>
        <v>4</v>
      </c>
      <c r="AA19" s="36">
        <f>'10月（既存移管合算）'!AJ63</f>
        <v>4</v>
      </c>
      <c r="AB19" s="36">
        <f>'10月（既存移管合算）'!AK63</f>
        <v>4</v>
      </c>
      <c r="AC19" s="36">
        <f>'10月（既存移管合算）'!AL63</f>
        <v>4</v>
      </c>
      <c r="AD19" s="36">
        <f>'10月（既存移管合算）'!AM63</f>
        <v>4</v>
      </c>
      <c r="AE19" s="36">
        <f>'10月（既存移管合算）'!AN63</f>
        <v>4</v>
      </c>
      <c r="AF19" s="36">
        <f>'10月（既存移管合算）'!AO63</f>
        <v>4</v>
      </c>
      <c r="AG19" s="36">
        <f>'10月（既存移管合算）'!AP63</f>
        <v>4</v>
      </c>
      <c r="AH19" s="36">
        <f>'10月（既存移管合算）'!AQ63</f>
        <v>4</v>
      </c>
      <c r="AI19" s="36">
        <f>'10月（既存移管合算）'!AR63</f>
        <v>4</v>
      </c>
      <c r="AJ19" s="36">
        <f>'10月（既存移管合算）'!AS63</f>
        <v>4</v>
      </c>
      <c r="AK19" s="36">
        <f>'10月（既存移管合算）'!AT63</f>
        <v>4</v>
      </c>
      <c r="AL19" s="36">
        <f>'10月（既存移管合算）'!AU63</f>
        <v>4</v>
      </c>
      <c r="AM19" s="36">
        <f>'10月（既存移管合算）'!AV63</f>
        <v>3</v>
      </c>
      <c r="AN19" s="36">
        <f>'10月（既存移管合算）'!AW63</f>
        <v>3</v>
      </c>
      <c r="AO19" s="36">
        <f>'10月（既存移管合算）'!AX63</f>
        <v>4</v>
      </c>
      <c r="AP19" s="36">
        <f>'10月（既存移管合算）'!AY63</f>
        <v>4</v>
      </c>
      <c r="AQ19" s="36">
        <f>'10月（既存移管合算）'!AZ63</f>
        <v>4</v>
      </c>
      <c r="AR19" s="36">
        <f>'10月（既存移管合算）'!BA63</f>
        <v>4</v>
      </c>
      <c r="AS19" s="36">
        <f>'10月（既存移管合算）'!BB63</f>
        <v>4</v>
      </c>
      <c r="AT19" s="36">
        <f>'10月（既存移管合算）'!BC63</f>
        <v>4</v>
      </c>
      <c r="AU19" s="36">
        <f>'10月（既存移管合算）'!BD63</f>
        <v>4</v>
      </c>
      <c r="AV19" s="36">
        <f>'10月（既存移管合算）'!BE63</f>
        <v>4</v>
      </c>
      <c r="AW19" s="10">
        <f t="shared" si="6"/>
        <v>130</v>
      </c>
    </row>
    <row r="20" spans="1:49" ht="22" customHeight="1">
      <c r="A20" s="26" t="s">
        <v>62</v>
      </c>
      <c r="B20" s="27" t="s">
        <v>63</v>
      </c>
      <c r="C20" s="25" t="s">
        <v>212</v>
      </c>
      <c r="D20" s="9"/>
      <c r="E20" s="31">
        <v>1300</v>
      </c>
      <c r="F20" s="31">
        <v>1300</v>
      </c>
      <c r="G20" s="31">
        <v>1300</v>
      </c>
      <c r="H20" s="31">
        <v>18000</v>
      </c>
      <c r="I20" s="31">
        <v>18000</v>
      </c>
      <c r="J20" s="31">
        <v>18000</v>
      </c>
      <c r="K20" s="28">
        <v>0.22222222222222221</v>
      </c>
      <c r="L20" s="3">
        <f t="shared" si="4"/>
        <v>7</v>
      </c>
      <c r="M20" s="28">
        <v>0.25</v>
      </c>
      <c r="N20" s="28">
        <v>0.22222222222222221</v>
      </c>
      <c r="O20" s="3">
        <f t="shared" si="5"/>
        <v>7</v>
      </c>
      <c r="P20" s="3">
        <f>'10月（既存移管合算）'!Y66</f>
        <v>1</v>
      </c>
      <c r="Q20" s="3">
        <f>'10月（既存移管合算）'!Z66</f>
        <v>1</v>
      </c>
      <c r="R20" s="3">
        <f>'10月（既存移管合算）'!AA66</f>
        <v>1</v>
      </c>
      <c r="S20" s="3">
        <f>'10月（既存移管合算）'!AB66</f>
        <v>1</v>
      </c>
      <c r="T20" s="3">
        <f>'10月（既存移管合算）'!AC66</f>
        <v>1</v>
      </c>
      <c r="U20" s="3">
        <f>'10月（既存移管合算）'!AD66</f>
        <v>1</v>
      </c>
      <c r="V20" s="3">
        <f>'10月（既存移管合算）'!AE66</f>
        <v>1</v>
      </c>
      <c r="W20" s="3">
        <f>'10月（既存移管合算）'!AF66</f>
        <v>1</v>
      </c>
      <c r="X20" s="3">
        <f>'10月（既存移管合算）'!AG66</f>
        <v>1</v>
      </c>
      <c r="Y20" s="3">
        <f>'10月（既存移管合算）'!AH66</f>
        <v>1</v>
      </c>
      <c r="Z20" s="3">
        <f>'10月（既存移管合算）'!AI66</f>
        <v>1</v>
      </c>
      <c r="AA20" s="3">
        <f>'10月（既存移管合算）'!AJ66</f>
        <v>1</v>
      </c>
      <c r="AB20" s="3">
        <f>'10月（既存移管合算）'!AK66</f>
        <v>1</v>
      </c>
      <c r="AC20" s="3">
        <f>'10月（既存移管合算）'!AL66</f>
        <v>1</v>
      </c>
      <c r="AD20" s="3">
        <f>'10月（既存移管合算）'!AM66</f>
        <v>1</v>
      </c>
      <c r="AE20" s="3">
        <f>'10月（既存移管合算）'!AN66</f>
        <v>1</v>
      </c>
      <c r="AF20" s="3">
        <f>'10月（既存移管合算）'!AO66</f>
        <v>1</v>
      </c>
      <c r="AG20" s="3">
        <f>'10月（既存移管合算）'!AP66</f>
        <v>1</v>
      </c>
      <c r="AH20" s="3">
        <f>'10月（既存移管合算）'!AQ66</f>
        <v>1</v>
      </c>
      <c r="AI20" s="3">
        <f>'10月（既存移管合算）'!AR66</f>
        <v>1</v>
      </c>
      <c r="AJ20" s="3">
        <f>'10月（既存移管合算）'!AS66</f>
        <v>1</v>
      </c>
      <c r="AK20" s="3">
        <f>'10月（既存移管合算）'!AT66</f>
        <v>1</v>
      </c>
      <c r="AL20" s="3">
        <f>'10月（既存移管合算）'!AU66</f>
        <v>1</v>
      </c>
      <c r="AM20" s="3">
        <f>'10月（既存移管合算）'!AV66</f>
        <v>1</v>
      </c>
      <c r="AN20" s="3">
        <f>'10月（既存移管合算）'!AW66</f>
        <v>1</v>
      </c>
      <c r="AO20" s="3">
        <f>'10月（既存移管合算）'!AX66</f>
        <v>1</v>
      </c>
      <c r="AP20" s="3">
        <f>'10月（既存移管合算）'!AY66</f>
        <v>1</v>
      </c>
      <c r="AQ20" s="3">
        <f>'10月（既存移管合算）'!AZ66</f>
        <v>1</v>
      </c>
      <c r="AR20" s="3">
        <f>'10月（既存移管合算）'!BA66</f>
        <v>1</v>
      </c>
      <c r="AS20" s="3">
        <f>'10月（既存移管合算）'!BB66</f>
        <v>1</v>
      </c>
      <c r="AT20" s="3">
        <f>'10月（既存移管合算）'!BC66</f>
        <v>1</v>
      </c>
      <c r="AU20" s="3">
        <f>'10月（既存移管合算）'!BD66</f>
        <v>1</v>
      </c>
      <c r="AV20" s="3">
        <f>'10月（既存移管合算）'!BE66</f>
        <v>1</v>
      </c>
      <c r="AW20" s="10">
        <f t="shared" si="6"/>
        <v>33</v>
      </c>
    </row>
    <row r="21" spans="1:49" ht="22" customHeight="1">
      <c r="A21" s="34" t="s">
        <v>64</v>
      </c>
      <c r="B21" s="35" t="s">
        <v>65</v>
      </c>
      <c r="C21" s="32" t="s">
        <v>212</v>
      </c>
      <c r="D21" s="39"/>
      <c r="E21" s="43">
        <v>9000</v>
      </c>
      <c r="F21" s="43">
        <v>9000</v>
      </c>
      <c r="G21" s="43">
        <v>13000</v>
      </c>
      <c r="H21" s="43">
        <v>9000</v>
      </c>
      <c r="I21" s="43">
        <v>9000</v>
      </c>
      <c r="J21" s="43">
        <v>9000</v>
      </c>
      <c r="K21" s="38">
        <v>0.72435897435897434</v>
      </c>
      <c r="L21" s="36">
        <f t="shared" si="4"/>
        <v>163</v>
      </c>
      <c r="M21" s="38">
        <v>0.78200000000000003</v>
      </c>
      <c r="N21" s="38">
        <v>0.72435897435897434</v>
      </c>
      <c r="O21" s="36">
        <f t="shared" si="5"/>
        <v>163</v>
      </c>
      <c r="P21" s="36">
        <f>'10月（既存移管合算）'!Y70</f>
        <v>10</v>
      </c>
      <c r="Q21" s="36">
        <f>'10月（既存移管合算）'!Z70</f>
        <v>7</v>
      </c>
      <c r="R21" s="36">
        <f>'10月（既存移管合算）'!AA70</f>
        <v>11</v>
      </c>
      <c r="S21" s="36">
        <f>'10月（既存移管合算）'!AB70</f>
        <v>12</v>
      </c>
      <c r="T21" s="36">
        <f>'10月（既存移管合算）'!AC70</f>
        <v>12</v>
      </c>
      <c r="U21" s="36">
        <f>'10月（既存移管合算）'!AD70</f>
        <v>12</v>
      </c>
      <c r="V21" s="36">
        <f>'10月（既存移管合算）'!AE70</f>
        <v>13</v>
      </c>
      <c r="W21" s="36">
        <f>'10月（既存移管合算）'!AF70</f>
        <v>14</v>
      </c>
      <c r="X21" s="36">
        <f>'10月（既存移管合算）'!AG70</f>
        <v>12</v>
      </c>
      <c r="Y21" s="36">
        <f>'10月（既存移管合算）'!AH70</f>
        <v>8</v>
      </c>
      <c r="Z21" s="36">
        <f>'10月（既存移管合算）'!AI70</f>
        <v>9</v>
      </c>
      <c r="AA21" s="36">
        <f>'10月（既存移管合算）'!AJ70</f>
        <v>3</v>
      </c>
      <c r="AB21" s="36">
        <f>'10月（既存移管合算）'!AK70</f>
        <v>3</v>
      </c>
      <c r="AC21" s="36">
        <f>'10月（既存移管合算）'!AL70</f>
        <v>3</v>
      </c>
      <c r="AD21" s="36">
        <f>'10月（既存移管合算）'!AM70</f>
        <v>3</v>
      </c>
      <c r="AE21" s="36">
        <f>'10月（既存移管合算）'!AN70</f>
        <v>7</v>
      </c>
      <c r="AF21" s="36">
        <f>'10月（既存移管合算）'!AO70</f>
        <v>7</v>
      </c>
      <c r="AG21" s="36">
        <f>'10月（既存移管合算）'!AP70</f>
        <v>4</v>
      </c>
      <c r="AH21" s="36">
        <f>'10月（既存移管合算）'!AQ70</f>
        <v>4</v>
      </c>
      <c r="AI21" s="36">
        <f>'10月（既存移管合算）'!AR70</f>
        <v>4</v>
      </c>
      <c r="AJ21" s="36">
        <f>'10月（既存移管合算）'!AS70</f>
        <v>4</v>
      </c>
      <c r="AK21" s="36">
        <f>'10月（既存移管合算）'!AT70</f>
        <v>4</v>
      </c>
      <c r="AL21" s="36">
        <f>'10月（既存移管合算）'!AU70</f>
        <v>7</v>
      </c>
      <c r="AM21" s="36">
        <f>'10月（既存移管合算）'!AV70</f>
        <v>7</v>
      </c>
      <c r="AN21" s="36">
        <f>'10月（既存移管合算）'!AW70</f>
        <v>7</v>
      </c>
      <c r="AO21" s="36">
        <f>'10月（既存移管合算）'!AX70</f>
        <v>4</v>
      </c>
      <c r="AP21" s="36">
        <f>'10月（既存移管合算）'!AY70</f>
        <v>4</v>
      </c>
      <c r="AQ21" s="36">
        <f>'10月（既存移管合算）'!AZ70</f>
        <v>4</v>
      </c>
      <c r="AR21" s="36">
        <f>'10月（既存移管合算）'!BA70</f>
        <v>4</v>
      </c>
      <c r="AS21" s="36">
        <f>'10月（既存移管合算）'!BB70</f>
        <v>7</v>
      </c>
      <c r="AT21" s="36">
        <f>'10月（既存移管合算）'!BC70</f>
        <v>7</v>
      </c>
      <c r="AU21" s="36">
        <f>'10月（既存移管合算）'!BD70</f>
        <v>4</v>
      </c>
      <c r="AV21" s="36">
        <f>'10月（既存移管合算）'!BE70</f>
        <v>4</v>
      </c>
      <c r="AW21" s="10">
        <f t="shared" si="6"/>
        <v>225</v>
      </c>
    </row>
    <row r="22" spans="1:49" ht="22" customHeight="1">
      <c r="A22" s="26" t="s">
        <v>66</v>
      </c>
      <c r="B22" s="27" t="s">
        <v>67</v>
      </c>
      <c r="C22" s="25" t="s">
        <v>212</v>
      </c>
      <c r="D22" s="9"/>
      <c r="E22" s="31">
        <v>12000</v>
      </c>
      <c r="F22" s="31">
        <v>12000</v>
      </c>
      <c r="G22" s="31">
        <v>12000</v>
      </c>
      <c r="H22" s="31">
        <v>12000</v>
      </c>
      <c r="I22" s="31">
        <v>11000</v>
      </c>
      <c r="J22" s="31">
        <v>12000</v>
      </c>
      <c r="K22" s="28">
        <v>0.53968253968253965</v>
      </c>
      <c r="L22" s="3">
        <f t="shared" si="4"/>
        <v>138</v>
      </c>
      <c r="M22" s="28">
        <v>0.50600000000000001</v>
      </c>
      <c r="N22" s="28">
        <v>0.53968253968253965</v>
      </c>
      <c r="O22" s="3">
        <f t="shared" si="5"/>
        <v>138</v>
      </c>
      <c r="P22" s="3">
        <f>'10月（既存移管合算）'!Y74</f>
        <v>10</v>
      </c>
      <c r="Q22" s="3">
        <f>'10月（既存移管合算）'!Z74</f>
        <v>8</v>
      </c>
      <c r="R22" s="3">
        <f>'10月（既存移管合算）'!AA74</f>
        <v>4</v>
      </c>
      <c r="S22" s="3">
        <f>'10月（既存移管合算）'!AB74</f>
        <v>7</v>
      </c>
      <c r="T22" s="3">
        <f>'10月（既存移管合算）'!AC74</f>
        <v>7</v>
      </c>
      <c r="U22" s="3">
        <f>'10月（既存移管合算）'!AD74</f>
        <v>11</v>
      </c>
      <c r="V22" s="3">
        <f>'10月（既存移管合算）'!AE74</f>
        <v>4</v>
      </c>
      <c r="W22" s="3">
        <f>'10月（既存移管合算）'!AF74</f>
        <v>10</v>
      </c>
      <c r="X22" s="3">
        <f>'10月（既存移管合算）'!AG74</f>
        <v>10</v>
      </c>
      <c r="Y22" s="3">
        <f>'10月（既存移管合算）'!AH74</f>
        <v>11</v>
      </c>
      <c r="Z22" s="3">
        <f>'10月（既存移管合算）'!AI74</f>
        <v>8</v>
      </c>
      <c r="AA22" s="3">
        <f>'10月（既存移管合算）'!AJ74</f>
        <v>7</v>
      </c>
      <c r="AB22" s="3">
        <f>'10月（既存移管合算）'!AK74</f>
        <v>7</v>
      </c>
      <c r="AC22" s="3">
        <f>'10月（既存移管合算）'!AL74</f>
        <v>7</v>
      </c>
      <c r="AD22" s="3">
        <f>'10月（既存移管合算）'!AM74</f>
        <v>7</v>
      </c>
      <c r="AE22" s="3">
        <f>'10月（既存移管合算）'!AN74</f>
        <v>8</v>
      </c>
      <c r="AF22" s="3">
        <f>'10月（既存移管合算）'!AO74</f>
        <v>9</v>
      </c>
      <c r="AG22" s="3">
        <f>'10月（既存移管合算）'!AP74</f>
        <v>7</v>
      </c>
      <c r="AH22" s="3">
        <f>'10月（既存移管合算）'!AQ74</f>
        <v>7</v>
      </c>
      <c r="AI22" s="3">
        <f>'10月（既存移管合算）'!AR74</f>
        <v>7</v>
      </c>
      <c r="AJ22" s="3">
        <f>'10月（既存移管合算）'!AS74</f>
        <v>7</v>
      </c>
      <c r="AK22" s="3">
        <f>'10月（既存移管合算）'!AT74</f>
        <v>7</v>
      </c>
      <c r="AL22" s="3">
        <f>'10月（既存移管合算）'!AU74</f>
        <v>8</v>
      </c>
      <c r="AM22" s="3">
        <f>'10月（既存移管合算）'!AV74</f>
        <v>9</v>
      </c>
      <c r="AN22" s="3">
        <f>'10月（既存移管合算）'!AW74</f>
        <v>10</v>
      </c>
      <c r="AO22" s="3">
        <f>'10月（既存移管合算）'!AX74</f>
        <v>7</v>
      </c>
      <c r="AP22" s="3">
        <f>'10月（既存移管合算）'!AY74</f>
        <v>7</v>
      </c>
      <c r="AQ22" s="3">
        <f>'10月（既存移管合算）'!AZ74</f>
        <v>7</v>
      </c>
      <c r="AR22" s="3">
        <f>'10月（既存移管合算）'!BA74</f>
        <v>7</v>
      </c>
      <c r="AS22" s="3">
        <f>'10月（既存移管合算）'!BB74</f>
        <v>8</v>
      </c>
      <c r="AT22" s="3">
        <f>'10月（既存移管合算）'!BC74</f>
        <v>9</v>
      </c>
      <c r="AU22" s="3">
        <f>'10月（既存移管合算）'!BD74</f>
        <v>7</v>
      </c>
      <c r="AV22" s="3">
        <f>'10月（既存移管合算）'!BE74</f>
        <v>7</v>
      </c>
      <c r="AW22" s="10">
        <f t="shared" si="6"/>
        <v>256</v>
      </c>
    </row>
    <row r="23" spans="1:49" ht="22" customHeight="1">
      <c r="A23" s="34" t="s">
        <v>68</v>
      </c>
      <c r="B23" s="35" t="s">
        <v>69</v>
      </c>
      <c r="C23" s="32"/>
      <c r="D23" s="39"/>
      <c r="E23" s="43">
        <v>12000</v>
      </c>
      <c r="F23" s="43">
        <v>12000</v>
      </c>
      <c r="G23" s="43">
        <v>27000</v>
      </c>
      <c r="H23" s="43">
        <v>12000</v>
      </c>
      <c r="I23" s="43">
        <v>12000</v>
      </c>
      <c r="J23" s="43">
        <v>12000</v>
      </c>
      <c r="K23" s="38">
        <v>0.2857142857142857</v>
      </c>
      <c r="L23" s="36">
        <f t="shared" si="4"/>
        <v>115</v>
      </c>
      <c r="M23" s="38">
        <v>0.38600000000000001</v>
      </c>
      <c r="N23" s="38">
        <v>0.2857142857142857</v>
      </c>
      <c r="O23" s="36">
        <f t="shared" si="5"/>
        <v>115</v>
      </c>
      <c r="P23" s="36">
        <f>'10月（既存移管合算）'!Y78</f>
        <v>24</v>
      </c>
      <c r="Q23" s="36">
        <f>'10月（既存移管合算）'!Z78</f>
        <v>28</v>
      </c>
      <c r="R23" s="36">
        <f>'10月（既存移管合算）'!AA78</f>
        <v>32</v>
      </c>
      <c r="S23" s="36">
        <f>'10月（既存移管合算）'!AB78</f>
        <v>25</v>
      </c>
      <c r="T23" s="36">
        <f>'10月（既存移管合算）'!AC78</f>
        <v>33</v>
      </c>
      <c r="U23" s="36">
        <f>'10月（既存移管合算）'!AD78</f>
        <v>38</v>
      </c>
      <c r="V23" s="36">
        <f>'10月（既存移管合算）'!AE78</f>
        <v>27</v>
      </c>
      <c r="W23" s="36">
        <f>'10月（既存移管合算）'!AF78</f>
        <v>26</v>
      </c>
      <c r="X23" s="36">
        <f>'10月（既存移管合算）'!AG78</f>
        <v>27</v>
      </c>
      <c r="Y23" s="36">
        <f>'10月（既存移管合算）'!AH78</f>
        <v>40</v>
      </c>
      <c r="Z23" s="36">
        <f>'10月（既存移管合算）'!AI78</f>
        <v>20</v>
      </c>
      <c r="AA23" s="36">
        <f>'10月（既存移管合算）'!AJ78</f>
        <v>3</v>
      </c>
      <c r="AB23" s="36">
        <f>'10月（既存移管合算）'!AK78</f>
        <v>3</v>
      </c>
      <c r="AC23" s="36">
        <f>'10月（既存移管合算）'!AL78</f>
        <v>3</v>
      </c>
      <c r="AD23" s="36">
        <f>'10月（既存移管合算）'!AM78</f>
        <v>3</v>
      </c>
      <c r="AE23" s="36">
        <f>'10月（既存移管合算）'!AN78</f>
        <v>4</v>
      </c>
      <c r="AF23" s="36">
        <f>'10月（既存移管合算）'!AO78</f>
        <v>4</v>
      </c>
      <c r="AG23" s="36">
        <f>'10月（既存移管合算）'!AP78</f>
        <v>4</v>
      </c>
      <c r="AH23" s="36">
        <f>'10月（既存移管合算）'!AQ78</f>
        <v>6</v>
      </c>
      <c r="AI23" s="36">
        <f>'10月（既存移管合算）'!AR78</f>
        <v>6</v>
      </c>
      <c r="AJ23" s="36">
        <f>'10月（既存移管合算）'!AS78</f>
        <v>5</v>
      </c>
      <c r="AK23" s="36">
        <f>'10月（既存移管合算）'!AT78</f>
        <v>5</v>
      </c>
      <c r="AL23" s="36">
        <f>'10月（既存移管合算）'!AU78</f>
        <v>4</v>
      </c>
      <c r="AM23" s="36">
        <f>'10月（既存移管合算）'!AV78</f>
        <v>3</v>
      </c>
      <c r="AN23" s="36">
        <f>'10月（既存移管合算）'!AW78</f>
        <v>3</v>
      </c>
      <c r="AO23" s="36">
        <f>'10月（既存移管合算）'!AX78</f>
        <v>3</v>
      </c>
      <c r="AP23" s="36">
        <f>'10月（既存移管合算）'!AY78</f>
        <v>3</v>
      </c>
      <c r="AQ23" s="36">
        <f>'10月（既存移管合算）'!AZ78</f>
        <v>3</v>
      </c>
      <c r="AR23" s="36">
        <f>'10月（既存移管合算）'!BA78</f>
        <v>3</v>
      </c>
      <c r="AS23" s="36">
        <f>'10月（既存移管合算）'!BB78</f>
        <v>4</v>
      </c>
      <c r="AT23" s="36">
        <f>'10月（既存移管合算）'!BC78</f>
        <v>3</v>
      </c>
      <c r="AU23" s="36">
        <f>'10月（既存移管合算）'!BD78</f>
        <v>3</v>
      </c>
      <c r="AV23" s="36">
        <f>'10月（既存移管合算）'!BE78</f>
        <v>3</v>
      </c>
      <c r="AW23" s="10">
        <f t="shared" si="6"/>
        <v>401</v>
      </c>
    </row>
    <row r="24" spans="1:49" ht="22" customHeight="1">
      <c r="A24" s="26" t="s">
        <v>70</v>
      </c>
      <c r="B24" s="27" t="s">
        <v>71</v>
      </c>
      <c r="C24" s="25"/>
      <c r="D24" s="9"/>
      <c r="E24" s="31">
        <v>4000</v>
      </c>
      <c r="F24" s="31">
        <v>4000</v>
      </c>
      <c r="G24" s="31">
        <v>4000</v>
      </c>
      <c r="H24" s="31">
        <v>4000</v>
      </c>
      <c r="I24" s="31">
        <v>4000</v>
      </c>
      <c r="J24" s="31">
        <v>4000</v>
      </c>
      <c r="K24" s="28">
        <v>8.9743589743589744E-2</v>
      </c>
      <c r="L24" s="3">
        <f t="shared" si="4"/>
        <v>9</v>
      </c>
      <c r="M24" s="28">
        <v>0.24199999999999999</v>
      </c>
      <c r="N24" s="28">
        <v>8.9743589743589744E-2</v>
      </c>
      <c r="O24" s="3">
        <f t="shared" si="5"/>
        <v>9</v>
      </c>
      <c r="P24" s="3">
        <f>'10月（既存移管合算）'!Y81</f>
        <v>4</v>
      </c>
      <c r="Q24" s="3">
        <f>'10月（既存移管合算）'!Z81</f>
        <v>5</v>
      </c>
      <c r="R24" s="3">
        <f>'10月（既存移管合算）'!AA81</f>
        <v>3</v>
      </c>
      <c r="S24" s="3">
        <f>'10月（既存移管合算）'!AB81</f>
        <v>4</v>
      </c>
      <c r="T24" s="3">
        <f>'10月（既存移管合算）'!AC81</f>
        <v>4</v>
      </c>
      <c r="U24" s="3">
        <f>'10月（既存移管合算）'!AD81</f>
        <v>4</v>
      </c>
      <c r="V24" s="3">
        <f>'10月（既存移管合算）'!AE81</f>
        <v>4</v>
      </c>
      <c r="W24" s="3">
        <f>'10月（既存移管合算）'!AF81</f>
        <v>4</v>
      </c>
      <c r="X24" s="3">
        <f>'10月（既存移管合算）'!AG81</f>
        <v>5</v>
      </c>
      <c r="Y24" s="3">
        <f>'10月（既存移管合算）'!AH81</f>
        <v>2</v>
      </c>
      <c r="Z24" s="3">
        <f>'10月（既存移管合算）'!AI81</f>
        <v>2</v>
      </c>
      <c r="AA24" s="3">
        <f>'10月（既存移管合算）'!AJ81</f>
        <v>4</v>
      </c>
      <c r="AB24" s="3">
        <f>'10月（既存移管合算）'!AK81</f>
        <v>4</v>
      </c>
      <c r="AC24" s="3">
        <f>'10月（既存移管合算）'!AL81</f>
        <v>4</v>
      </c>
      <c r="AD24" s="3">
        <f>'10月（既存移管合算）'!AM81</f>
        <v>4</v>
      </c>
      <c r="AE24" s="3">
        <f>'10月（既存移管合算）'!AN81</f>
        <v>5</v>
      </c>
      <c r="AF24" s="3">
        <f>'10月（既存移管合算）'!AO81</f>
        <v>2</v>
      </c>
      <c r="AG24" s="3">
        <f>'10月（既存移管合算）'!AP81</f>
        <v>2</v>
      </c>
      <c r="AH24" s="3">
        <f>'10月（既存移管合算）'!AQ81</f>
        <v>1</v>
      </c>
      <c r="AI24" s="3">
        <f>'10月（既存移管合算）'!AR81</f>
        <v>1</v>
      </c>
      <c r="AJ24" s="3">
        <f>'10月（既存移管合算）'!AS81</f>
        <v>1</v>
      </c>
      <c r="AK24" s="3">
        <f>'10月（既存移管合算）'!AT81</f>
        <v>1</v>
      </c>
      <c r="AL24" s="3">
        <f>'10月（既存移管合算）'!AU81</f>
        <v>2</v>
      </c>
      <c r="AM24" s="3">
        <f>'10月（既存移管合算）'!AV81</f>
        <v>1</v>
      </c>
      <c r="AN24" s="3">
        <f>'10月（既存移管合算）'!AW81</f>
        <v>2</v>
      </c>
      <c r="AO24" s="3">
        <f>'10月（既存移管合算）'!AX81</f>
        <v>3</v>
      </c>
      <c r="AP24" s="3">
        <f>'10月（既存移管合算）'!AY81</f>
        <v>3</v>
      </c>
      <c r="AQ24" s="3">
        <f>'10月（既存移管合算）'!AZ81</f>
        <v>3</v>
      </c>
      <c r="AR24" s="3">
        <f>'10月（既存移管合算）'!BA81</f>
        <v>3</v>
      </c>
      <c r="AS24" s="3">
        <f>'10月（既存移管合算）'!BB81</f>
        <v>4</v>
      </c>
      <c r="AT24" s="3">
        <f>'10月（既存移管合算）'!BC81</f>
        <v>2</v>
      </c>
      <c r="AU24" s="3">
        <f>'10月（既存移管合算）'!BD81</f>
        <v>3</v>
      </c>
      <c r="AV24" s="3">
        <f>'10月（既存移管合算）'!BE81</f>
        <v>3</v>
      </c>
      <c r="AW24" s="10">
        <f t="shared" si="6"/>
        <v>99</v>
      </c>
    </row>
    <row r="25" spans="1:49" ht="22" customHeight="1">
      <c r="A25" s="34" t="s">
        <v>72</v>
      </c>
      <c r="B25" s="35" t="s">
        <v>73</v>
      </c>
      <c r="C25" s="32"/>
      <c r="D25" s="39"/>
      <c r="E25" s="43">
        <v>18000</v>
      </c>
      <c r="F25" s="43">
        <v>18000</v>
      </c>
      <c r="G25" s="43">
        <v>18000</v>
      </c>
      <c r="H25" s="43">
        <v>18000</v>
      </c>
      <c r="I25" s="43">
        <v>18000</v>
      </c>
      <c r="J25" s="43">
        <v>18000</v>
      </c>
      <c r="K25" s="38">
        <v>0.23809523809523811</v>
      </c>
      <c r="L25" s="36">
        <f t="shared" si="4"/>
        <v>21</v>
      </c>
      <c r="M25" s="38">
        <v>0.2</v>
      </c>
      <c r="N25" s="38">
        <v>0.23809523809523811</v>
      </c>
      <c r="O25" s="36">
        <f t="shared" si="5"/>
        <v>21</v>
      </c>
      <c r="P25" s="36">
        <f>'10月（既存移管合算）'!Y84</f>
        <v>2</v>
      </c>
      <c r="Q25" s="36">
        <f>'10月（既存移管合算）'!Z84</f>
        <v>2</v>
      </c>
      <c r="R25" s="36">
        <f>'10月（既存移管合算）'!AA84</f>
        <v>3</v>
      </c>
      <c r="S25" s="36">
        <f>'10月（既存移管合算）'!AB84</f>
        <v>2</v>
      </c>
      <c r="T25" s="36">
        <f>'10月（既存移管合算）'!AC84</f>
        <v>2</v>
      </c>
      <c r="U25" s="36">
        <f>'10月（既存移管合算）'!AD84</f>
        <v>2</v>
      </c>
      <c r="V25" s="36">
        <f>'10月（既存移管合算）'!AE84</f>
        <v>2</v>
      </c>
      <c r="W25" s="36">
        <f>'10月（既存移管合算）'!AF84</f>
        <v>2</v>
      </c>
      <c r="X25" s="36">
        <f>'10月（既存移管合算）'!AG84</f>
        <v>2</v>
      </c>
      <c r="Y25" s="36">
        <f>'10月（既存移管合算）'!AH84</f>
        <v>3</v>
      </c>
      <c r="Z25" s="36">
        <f>'10月（既存移管合算）'!AI84</f>
        <v>2</v>
      </c>
      <c r="AA25" s="36">
        <f>'10月（既存移管合算）'!AJ84</f>
        <v>2</v>
      </c>
      <c r="AB25" s="36">
        <f>'10月（既存移管合算）'!AK84</f>
        <v>2</v>
      </c>
      <c r="AC25" s="36">
        <f>'10月（既存移管合算）'!AL84</f>
        <v>2</v>
      </c>
      <c r="AD25" s="36">
        <f>'10月（既存移管合算）'!AM84</f>
        <v>2</v>
      </c>
      <c r="AE25" s="36">
        <f>'10月（既存移管合算）'!AN84</f>
        <v>2</v>
      </c>
      <c r="AF25" s="36">
        <f>'10月（既存移管合算）'!AO84</f>
        <v>3</v>
      </c>
      <c r="AG25" s="36">
        <f>'10月（既存移管合算）'!AP84</f>
        <v>2</v>
      </c>
      <c r="AH25" s="36">
        <f>'10月（既存移管合算）'!AQ84</f>
        <v>3</v>
      </c>
      <c r="AI25" s="36">
        <f>'10月（既存移管合算）'!AR84</f>
        <v>3</v>
      </c>
      <c r="AJ25" s="36">
        <f>'10月（既存移管合算）'!AS84</f>
        <v>3</v>
      </c>
      <c r="AK25" s="36">
        <f>'10月（既存移管合算）'!AT84</f>
        <v>3</v>
      </c>
      <c r="AL25" s="36">
        <f>'10月（既存移管合算）'!AU84</f>
        <v>1</v>
      </c>
      <c r="AM25" s="36">
        <f>'10月（既存移管合算）'!AV84</f>
        <v>2</v>
      </c>
      <c r="AN25" s="36">
        <f>'10月（既存移管合算）'!AW84</f>
        <v>1</v>
      </c>
      <c r="AO25" s="36">
        <f>'10月（既存移管合算）'!AX84</f>
        <v>4</v>
      </c>
      <c r="AP25" s="36">
        <f>'10月（既存移管合算）'!AY84</f>
        <v>4</v>
      </c>
      <c r="AQ25" s="36">
        <f>'10月（既存移管合算）'!AZ84</f>
        <v>4</v>
      </c>
      <c r="AR25" s="36">
        <f>'10月（既存移管合算）'!BA84</f>
        <v>4</v>
      </c>
      <c r="AS25" s="36">
        <f>'10月（既存移管合算）'!BB84</f>
        <v>3</v>
      </c>
      <c r="AT25" s="36">
        <f>'10月（既存移管合算）'!BC84</f>
        <v>5</v>
      </c>
      <c r="AU25" s="36">
        <f>'10月（既存移管合算）'!BD84</f>
        <v>4</v>
      </c>
      <c r="AV25" s="36">
        <f>'10月（既存移管合算）'!BE84</f>
        <v>4</v>
      </c>
      <c r="AW25" s="10">
        <f t="shared" si="6"/>
        <v>87</v>
      </c>
    </row>
    <row r="26" spans="1:49" ht="22" customHeight="1">
      <c r="A26" s="26" t="s">
        <v>74</v>
      </c>
      <c r="B26" s="27" t="s">
        <v>75</v>
      </c>
      <c r="C26" s="25"/>
      <c r="D26" s="9"/>
      <c r="E26" s="31">
        <v>14000</v>
      </c>
      <c r="F26" s="31">
        <v>14000</v>
      </c>
      <c r="G26" s="31">
        <v>14000</v>
      </c>
      <c r="H26" s="31">
        <v>14000</v>
      </c>
      <c r="I26" s="31">
        <v>14000</v>
      </c>
      <c r="J26" s="31">
        <v>14000</v>
      </c>
      <c r="K26" s="28">
        <v>0.33750000000000002</v>
      </c>
      <c r="L26" s="3">
        <f t="shared" si="4"/>
        <v>29</v>
      </c>
      <c r="M26" s="28">
        <v>0.60499999999999998</v>
      </c>
      <c r="N26" s="28">
        <v>0.33750000000000002</v>
      </c>
      <c r="O26" s="3">
        <f t="shared" si="5"/>
        <v>29</v>
      </c>
      <c r="P26" s="3">
        <f>'10月（既存移管合算）'!Y87</f>
        <v>4</v>
      </c>
      <c r="Q26" s="3">
        <f>'10月（既存移管合算）'!Z87</f>
        <v>1</v>
      </c>
      <c r="R26" s="3">
        <f>'10月（既存移管合算）'!AA87</f>
        <v>2</v>
      </c>
      <c r="S26" s="3">
        <f>'10月（既存移管合算）'!AB87</f>
        <v>4</v>
      </c>
      <c r="T26" s="3">
        <f>'10月（既存移管合算）'!AC87</f>
        <v>4</v>
      </c>
      <c r="U26" s="3">
        <f>'10月（既存移管合算）'!AD87</f>
        <v>4</v>
      </c>
      <c r="V26" s="3">
        <f>'10月（既存移管合算）'!AE87</f>
        <v>4</v>
      </c>
      <c r="W26" s="3">
        <f>'10月（既存移管合算）'!AF87</f>
        <v>4</v>
      </c>
      <c r="X26" s="3">
        <f>'10月（既存移管合算）'!AG87</f>
        <v>1</v>
      </c>
      <c r="Y26" s="3">
        <f>'10月（既存移管合算）'!AH87</f>
        <v>1</v>
      </c>
      <c r="Z26" s="3">
        <f>'10月（既存移管合算）'!AI87</f>
        <v>3</v>
      </c>
      <c r="AA26" s="3">
        <f>'10月（既存移管合算）'!AJ87</f>
        <v>4</v>
      </c>
      <c r="AB26" s="3">
        <f>'10月（既存移管合算）'!AK87</f>
        <v>4</v>
      </c>
      <c r="AC26" s="3">
        <f>'10月（既存移管合算）'!AL87</f>
        <v>4</v>
      </c>
      <c r="AD26" s="3">
        <f>'10月（既存移管合算）'!AM87</f>
        <v>4</v>
      </c>
      <c r="AE26" s="3">
        <f>'10月（既存移管合算）'!AN87</f>
        <v>1</v>
      </c>
      <c r="AF26" s="3">
        <f>'10月（既存移管合算）'!AO87</f>
        <v>1</v>
      </c>
      <c r="AG26" s="3">
        <f>'10月（既存移管合算）'!AP87</f>
        <v>3</v>
      </c>
      <c r="AH26" s="3">
        <f>'10月（既存移管合算）'!AQ87</f>
        <v>4</v>
      </c>
      <c r="AI26" s="3">
        <f>'10月（既存移管合算）'!AR87</f>
        <v>4</v>
      </c>
      <c r="AJ26" s="3">
        <f>'10月（既存移管合算）'!AS87</f>
        <v>4</v>
      </c>
      <c r="AK26" s="3">
        <f>'10月（既存移管合算）'!AT87</f>
        <v>4</v>
      </c>
      <c r="AL26" s="3">
        <f>'10月（既存移管合算）'!AU87</f>
        <v>1</v>
      </c>
      <c r="AM26" s="3">
        <f>'10月（既存移管合算）'!AV87</f>
        <v>1</v>
      </c>
      <c r="AN26" s="3">
        <f>'10月（既存移管合算）'!AW87</f>
        <v>3</v>
      </c>
      <c r="AO26" s="3">
        <f>'10月（既存移管合算）'!AX87</f>
        <v>3</v>
      </c>
      <c r="AP26" s="3">
        <f>'10月（既存移管合算）'!AY87</f>
        <v>2</v>
      </c>
      <c r="AQ26" s="3">
        <f>'10月（既存移管合算）'!AZ87</f>
        <v>2</v>
      </c>
      <c r="AR26" s="3">
        <f>'10月（既存移管合算）'!BA87</f>
        <v>2</v>
      </c>
      <c r="AS26" s="3">
        <f>'10月（既存移管合算）'!BB87</f>
        <v>0</v>
      </c>
      <c r="AT26" s="3">
        <f>'10月（既存移管合算）'!BC87</f>
        <v>0</v>
      </c>
      <c r="AU26" s="3">
        <f>'10月（既存移管合算）'!BD87</f>
        <v>2</v>
      </c>
      <c r="AV26" s="3">
        <f>'10月（既存移管合算）'!BE87</f>
        <v>2</v>
      </c>
      <c r="AW26" s="10">
        <f t="shared" si="6"/>
        <v>87</v>
      </c>
    </row>
    <row r="27" spans="1:49" ht="22" customHeight="1">
      <c r="A27" s="34" t="s">
        <v>76</v>
      </c>
      <c r="B27" s="35" t="s">
        <v>77</v>
      </c>
      <c r="C27" s="32" t="s">
        <v>212</v>
      </c>
      <c r="D27" s="39"/>
      <c r="E27" s="43">
        <v>4000</v>
      </c>
      <c r="F27" s="43">
        <v>4000</v>
      </c>
      <c r="G27" s="43">
        <v>17000</v>
      </c>
      <c r="H27" s="43">
        <v>4000</v>
      </c>
      <c r="I27" s="43">
        <v>4000</v>
      </c>
      <c r="J27" s="43">
        <v>4000</v>
      </c>
      <c r="K27" s="38">
        <v>9.0909090909090912E-2</v>
      </c>
      <c r="L27" s="36">
        <f t="shared" si="4"/>
        <v>18</v>
      </c>
      <c r="M27" s="38">
        <v>6.5000000000000002E-2</v>
      </c>
      <c r="N27" s="38">
        <v>9.0909090909090912E-2</v>
      </c>
      <c r="O27" s="36">
        <f t="shared" si="5"/>
        <v>18</v>
      </c>
      <c r="P27" s="36">
        <f>'10月（既存移管合算）'!Y90</f>
        <v>8</v>
      </c>
      <c r="Q27" s="36">
        <f>'10月（既存移管合算）'!Z90</f>
        <v>8</v>
      </c>
      <c r="R27" s="36">
        <f>'10月（既存移管合算）'!AA90</f>
        <v>8</v>
      </c>
      <c r="S27" s="36">
        <f>'10月（既存移管合算）'!AB90</f>
        <v>8</v>
      </c>
      <c r="T27" s="36">
        <f>'10月（既存移管合算）'!AC90</f>
        <v>8</v>
      </c>
      <c r="U27" s="36">
        <f>'10月（既存移管合算）'!AD90</f>
        <v>8</v>
      </c>
      <c r="V27" s="36">
        <f>'10月（既存移管合算）'!AE90</f>
        <v>8</v>
      </c>
      <c r="W27" s="36">
        <f>'10月（既存移管合算）'!AF90</f>
        <v>8</v>
      </c>
      <c r="X27" s="36">
        <f>'10月（既存移管合算）'!AG90</f>
        <v>8</v>
      </c>
      <c r="Y27" s="36">
        <f>'10月（既存移管合算）'!AH90</f>
        <v>9</v>
      </c>
      <c r="Z27" s="36">
        <f>'10月（既存移管合算）'!AI90</f>
        <v>10</v>
      </c>
      <c r="AA27" s="36">
        <f>'10月（既存移管合算）'!AJ90</f>
        <v>3</v>
      </c>
      <c r="AB27" s="36">
        <f>'10月（既存移管合算）'!AK90</f>
        <v>3</v>
      </c>
      <c r="AC27" s="36">
        <f>'10月（既存移管合算）'!AL90</f>
        <v>3</v>
      </c>
      <c r="AD27" s="36">
        <f>'10月（既存移管合算）'!AM90</f>
        <v>3</v>
      </c>
      <c r="AE27" s="36">
        <f>'10月（既存移管合算）'!AN90</f>
        <v>7</v>
      </c>
      <c r="AF27" s="36">
        <f>'10月（既存移管合算）'!AO90</f>
        <v>7</v>
      </c>
      <c r="AG27" s="36">
        <f>'10月（既存移管合算）'!AP90</f>
        <v>4</v>
      </c>
      <c r="AH27" s="36">
        <f>'10月（既存移管合算）'!AQ90</f>
        <v>4</v>
      </c>
      <c r="AI27" s="36">
        <f>'10月（既存移管合算）'!AR90</f>
        <v>4</v>
      </c>
      <c r="AJ27" s="36">
        <f>'10月（既存移管合算）'!AS90</f>
        <v>4</v>
      </c>
      <c r="AK27" s="36">
        <f>'10月（既存移管合算）'!AT90</f>
        <v>4</v>
      </c>
      <c r="AL27" s="36">
        <f>'10月（既存移管合算）'!AU90</f>
        <v>7</v>
      </c>
      <c r="AM27" s="36">
        <f>'10月（既存移管合算）'!AV90</f>
        <v>7</v>
      </c>
      <c r="AN27" s="36">
        <f>'10月（既存移管合算）'!AW90</f>
        <v>7</v>
      </c>
      <c r="AO27" s="36">
        <f>'10月（既存移管合算）'!AX90</f>
        <v>4</v>
      </c>
      <c r="AP27" s="36">
        <f>'10月（既存移管合算）'!AY90</f>
        <v>4</v>
      </c>
      <c r="AQ27" s="36">
        <f>'10月（既存移管合算）'!AZ90</f>
        <v>4</v>
      </c>
      <c r="AR27" s="36">
        <f>'10月（既存移管合算）'!BA90</f>
        <v>4</v>
      </c>
      <c r="AS27" s="36">
        <f>'10月（既存移管合算）'!BB90</f>
        <v>7</v>
      </c>
      <c r="AT27" s="36">
        <f>'10月（既存移管合算）'!BC90</f>
        <v>7</v>
      </c>
      <c r="AU27" s="36">
        <f>'10月（既存移管合算）'!BD90</f>
        <v>4</v>
      </c>
      <c r="AV27" s="36">
        <f>'10月（既存移管合算）'!BE90</f>
        <v>4</v>
      </c>
      <c r="AW27" s="10">
        <f t="shared" si="6"/>
        <v>196</v>
      </c>
    </row>
    <row r="28" spans="1:49" ht="22" customHeight="1">
      <c r="A28" s="26" t="s">
        <v>78</v>
      </c>
      <c r="B28" s="27" t="s">
        <v>79</v>
      </c>
      <c r="C28" s="25" t="s">
        <v>212</v>
      </c>
      <c r="D28" s="9"/>
      <c r="E28" s="31">
        <v>8200</v>
      </c>
      <c r="F28" s="31">
        <v>8200</v>
      </c>
      <c r="G28" s="31">
        <v>8200</v>
      </c>
      <c r="H28" s="31">
        <v>8200</v>
      </c>
      <c r="I28" s="31">
        <v>8200</v>
      </c>
      <c r="J28" s="31">
        <v>8200</v>
      </c>
      <c r="K28" s="28">
        <v>0.3923076923076923</v>
      </c>
      <c r="L28" s="3">
        <f t="shared" si="4"/>
        <v>52</v>
      </c>
      <c r="M28" s="28">
        <v>0.52200000000000002</v>
      </c>
      <c r="N28" s="28">
        <v>0.3923076923076923</v>
      </c>
      <c r="O28" s="3">
        <f t="shared" si="5"/>
        <v>52</v>
      </c>
      <c r="P28" s="3">
        <f>'10月（既存移管合算）'!Y94</f>
        <v>7</v>
      </c>
      <c r="Q28" s="3">
        <f>'10月（既存移管合算）'!Z94</f>
        <v>8</v>
      </c>
      <c r="R28" s="3">
        <f>'10月（既存移管合算）'!AA94</f>
        <v>9</v>
      </c>
      <c r="S28" s="3">
        <f>'10月（既存移管合算）'!AB94</f>
        <v>7</v>
      </c>
      <c r="T28" s="3">
        <f>'10月（既存移管合算）'!AC94</f>
        <v>7</v>
      </c>
      <c r="U28" s="3">
        <f>'10月（既存移管合算）'!AD94</f>
        <v>7</v>
      </c>
      <c r="V28" s="3">
        <f>'10月（既存移管合算）'!AE94</f>
        <v>7</v>
      </c>
      <c r="W28" s="3">
        <f>'10月（既存移管合算）'!AF94</f>
        <v>6</v>
      </c>
      <c r="X28" s="3">
        <f>'10月（既存移管合算）'!AG94</f>
        <v>7</v>
      </c>
      <c r="Y28" s="3">
        <f>'10月（既存移管合算）'!AH94</f>
        <v>3</v>
      </c>
      <c r="Z28" s="3">
        <f>'10月（既存移管合算）'!AI94</f>
        <v>2</v>
      </c>
      <c r="AA28" s="3">
        <f>'10月（既存移管合算）'!AJ94</f>
        <v>2</v>
      </c>
      <c r="AB28" s="3">
        <f>'10月（既存移管合算）'!AK94</f>
        <v>2</v>
      </c>
      <c r="AC28" s="3">
        <f>'10月（既存移管合算）'!AL94</f>
        <v>2</v>
      </c>
      <c r="AD28" s="3">
        <f>'10月（既存移管合算）'!AM94</f>
        <v>2</v>
      </c>
      <c r="AE28" s="3">
        <f>'10月（既存移管合算）'!AN94</f>
        <v>2</v>
      </c>
      <c r="AF28" s="3">
        <f>'10月（既存移管合算）'!AO94</f>
        <v>3</v>
      </c>
      <c r="AG28" s="3">
        <f>'10月（既存移管合算）'!AP94</f>
        <v>2</v>
      </c>
      <c r="AH28" s="3">
        <f>'10月（既存移管合算）'!AQ94</f>
        <v>3</v>
      </c>
      <c r="AI28" s="3">
        <f>'10月（既存移管合算）'!AR94</f>
        <v>3</v>
      </c>
      <c r="AJ28" s="3">
        <f>'10月（既存移管合算）'!AS94</f>
        <v>3</v>
      </c>
      <c r="AK28" s="3">
        <f>'10月（既存移管合算）'!AT94</f>
        <v>3</v>
      </c>
      <c r="AL28" s="3">
        <f>'10月（既存移管合算）'!AU94</f>
        <v>1</v>
      </c>
      <c r="AM28" s="3">
        <f>'10月（既存移管合算）'!AV94</f>
        <v>2</v>
      </c>
      <c r="AN28" s="3">
        <f>'10月（既存移管合算）'!AW94</f>
        <v>1</v>
      </c>
      <c r="AO28" s="3">
        <f>'10月（既存移管合算）'!AX94</f>
        <v>4</v>
      </c>
      <c r="AP28" s="3">
        <f>'10月（既存移管合算）'!AY94</f>
        <v>4</v>
      </c>
      <c r="AQ28" s="3">
        <f>'10月（既存移管合算）'!AZ94</f>
        <v>4</v>
      </c>
      <c r="AR28" s="3">
        <f>'10月（既存移管合算）'!BA94</f>
        <v>4</v>
      </c>
      <c r="AS28" s="3">
        <f>'10月（既存移管合算）'!BB94</f>
        <v>3</v>
      </c>
      <c r="AT28" s="3">
        <f>'10月（既存移管合算）'!BC94</f>
        <v>5</v>
      </c>
      <c r="AU28" s="3">
        <f>'10月（既存移管合算）'!BD94</f>
        <v>4</v>
      </c>
      <c r="AV28" s="3">
        <f>'10月（既存移管合算）'!BE94</f>
        <v>4</v>
      </c>
      <c r="AW28" s="10">
        <f t="shared" si="6"/>
        <v>133</v>
      </c>
    </row>
    <row r="29" spans="1:49" ht="22" customHeight="1">
      <c r="A29" s="34" t="s">
        <v>80</v>
      </c>
      <c r="B29" s="35" t="s">
        <v>81</v>
      </c>
      <c r="C29" s="32"/>
      <c r="D29" s="39"/>
      <c r="E29" s="43">
        <v>17000</v>
      </c>
      <c r="F29" s="43">
        <v>17000</v>
      </c>
      <c r="G29" s="43">
        <v>1300</v>
      </c>
      <c r="H29" s="43">
        <v>17000</v>
      </c>
      <c r="I29" s="43">
        <v>17000</v>
      </c>
      <c r="J29" s="43">
        <v>17000</v>
      </c>
      <c r="K29" s="38">
        <v>0.19626168224299059</v>
      </c>
      <c r="L29" s="36">
        <f t="shared" si="4"/>
        <v>20</v>
      </c>
      <c r="M29" s="38">
        <v>0.13</v>
      </c>
      <c r="N29" s="38">
        <v>0.19626168224299059</v>
      </c>
      <c r="O29" s="36">
        <f t="shared" si="5"/>
        <v>20</v>
      </c>
      <c r="P29" s="36">
        <f>'10月（既存移管合算）'!Y98</f>
        <v>5</v>
      </c>
      <c r="Q29" s="36">
        <f>'10月（既存移管合算）'!Z98</f>
        <v>4</v>
      </c>
      <c r="R29" s="36">
        <f>'10月（既存移管合算）'!AA98</f>
        <v>5</v>
      </c>
      <c r="S29" s="36">
        <f>'10月（既存移管合算）'!AB98</f>
        <v>5</v>
      </c>
      <c r="T29" s="36">
        <f>'10月（既存移管合算）'!AC98</f>
        <v>5</v>
      </c>
      <c r="U29" s="36">
        <f>'10月（既存移管合算）'!AD98</f>
        <v>5</v>
      </c>
      <c r="V29" s="36">
        <f>'10月（既存移管合算）'!AE98</f>
        <v>5</v>
      </c>
      <c r="W29" s="36">
        <f>'10月（既存移管合算）'!AF98</f>
        <v>5</v>
      </c>
      <c r="X29" s="36">
        <f>'10月（既存移管合算）'!AG98</f>
        <v>4</v>
      </c>
      <c r="Y29" s="36">
        <f>'10月（既存移管合算）'!AH98</f>
        <v>4</v>
      </c>
      <c r="Z29" s="36">
        <f>'10月（既存移管合算）'!AI98</f>
        <v>4</v>
      </c>
      <c r="AA29" s="36">
        <f>'10月（既存移管合算）'!AJ98</f>
        <v>2</v>
      </c>
      <c r="AB29" s="36">
        <f>'10月（既存移管合算）'!AK98</f>
        <v>2</v>
      </c>
      <c r="AC29" s="36">
        <f>'10月（既存移管合算）'!AL98</f>
        <v>2</v>
      </c>
      <c r="AD29" s="36">
        <f>'10月（既存移管合算）'!AM98</f>
        <v>2</v>
      </c>
      <c r="AE29" s="36">
        <f>'10月（既存移管合算）'!AN98</f>
        <v>3</v>
      </c>
      <c r="AF29" s="36">
        <f>'10月（既存移管合算）'!AO98</f>
        <v>3</v>
      </c>
      <c r="AG29" s="36">
        <f>'10月（既存移管合算）'!AP98</f>
        <v>2</v>
      </c>
      <c r="AH29" s="36">
        <f>'10月（既存移管合算）'!AQ98</f>
        <v>2</v>
      </c>
      <c r="AI29" s="36">
        <f>'10月（既存移管合算）'!AR98</f>
        <v>2</v>
      </c>
      <c r="AJ29" s="36">
        <f>'10月（既存移管合算）'!AS98</f>
        <v>2</v>
      </c>
      <c r="AK29" s="36">
        <f>'10月（既存移管合算）'!AT98</f>
        <v>2</v>
      </c>
      <c r="AL29" s="36">
        <f>'10月（既存移管合算）'!AU98</f>
        <v>3</v>
      </c>
      <c r="AM29" s="36">
        <f>'10月（既存移管合算）'!AV98</f>
        <v>3</v>
      </c>
      <c r="AN29" s="36">
        <f>'10月（既存移管合算）'!AW98</f>
        <v>3</v>
      </c>
      <c r="AO29" s="36">
        <f>'10月（既存移管合算）'!AX98</f>
        <v>2</v>
      </c>
      <c r="AP29" s="36">
        <f>'10月（既存移管合算）'!AY98</f>
        <v>2</v>
      </c>
      <c r="AQ29" s="36">
        <f>'10月（既存移管合算）'!AZ98</f>
        <v>2</v>
      </c>
      <c r="AR29" s="36">
        <f>'10月（既存移管合算）'!BA98</f>
        <v>2</v>
      </c>
      <c r="AS29" s="36">
        <f>'10月（既存移管合算）'!BB98</f>
        <v>3</v>
      </c>
      <c r="AT29" s="36">
        <f>'10月（既存移管合算）'!BC98</f>
        <v>4</v>
      </c>
      <c r="AU29" s="36">
        <f>'10月（既存移管合算）'!BD98</f>
        <v>2</v>
      </c>
      <c r="AV29" s="36">
        <f>'10月（既存移管合算）'!BE98</f>
        <v>2</v>
      </c>
      <c r="AW29" s="10">
        <f t="shared" si="6"/>
        <v>103</v>
      </c>
    </row>
    <row r="30" spans="1:49" ht="22" customHeight="1">
      <c r="A30" s="26" t="s">
        <v>82</v>
      </c>
      <c r="B30" s="27" t="s">
        <v>83</v>
      </c>
      <c r="C30" s="25" t="s">
        <v>212</v>
      </c>
      <c r="D30" s="9"/>
      <c r="E30" s="31">
        <v>11000</v>
      </c>
      <c r="F30" s="31">
        <v>11000</v>
      </c>
      <c r="G30" s="31">
        <v>12000</v>
      </c>
      <c r="H30" s="31">
        <v>12000</v>
      </c>
      <c r="I30" s="31">
        <v>11000</v>
      </c>
      <c r="J30" s="31">
        <v>12000</v>
      </c>
      <c r="K30" s="28">
        <v>0.40136054421768708</v>
      </c>
      <c r="L30" s="3">
        <f t="shared" si="4"/>
        <v>72</v>
      </c>
      <c r="M30" s="28">
        <v>0.34200000000000003</v>
      </c>
      <c r="N30" s="28">
        <v>0.40136054421768708</v>
      </c>
      <c r="O30" s="3">
        <f t="shared" si="5"/>
        <v>72</v>
      </c>
      <c r="P30" s="3">
        <f>'10月（既存移管合算）'!Y101</f>
        <v>6</v>
      </c>
      <c r="Q30" s="3">
        <f>'10月（既存移管合算）'!Z101</f>
        <v>8</v>
      </c>
      <c r="R30" s="3">
        <f>'10月（既存移管合算）'!AA101</f>
        <v>8</v>
      </c>
      <c r="S30" s="3">
        <f>'10月（既存移管合算）'!AB101</f>
        <v>7</v>
      </c>
      <c r="T30" s="3">
        <f>'10月（既存移管合算）'!AC101</f>
        <v>7</v>
      </c>
      <c r="U30" s="3">
        <f>'10月（既存移管合算）'!AD101</f>
        <v>8</v>
      </c>
      <c r="V30" s="3">
        <f>'10月（既存移管合算）'!AE101</f>
        <v>8</v>
      </c>
      <c r="W30" s="3">
        <f>'10月（既存移管合算）'!AF101</f>
        <v>6</v>
      </c>
      <c r="X30" s="3">
        <f>'10月（既存移管合算）'!AG101</f>
        <v>8</v>
      </c>
      <c r="Y30" s="3">
        <f>'10月（既存移管合算）'!AH101</f>
        <v>8</v>
      </c>
      <c r="Z30" s="3">
        <f>'10月（既存移管合算）'!AI101</f>
        <v>6</v>
      </c>
      <c r="AA30" s="3">
        <f>'10月（既存移管合算）'!AJ101</f>
        <v>4</v>
      </c>
      <c r="AB30" s="3">
        <f>'10月（既存移管合算）'!AK101</f>
        <v>4</v>
      </c>
      <c r="AC30" s="3">
        <f>'10月（既存移管合算）'!AL101</f>
        <v>4</v>
      </c>
      <c r="AD30" s="3">
        <f>'10月（既存移管合算）'!AM101</f>
        <v>4</v>
      </c>
      <c r="AE30" s="3">
        <f>'10月（既存移管合算）'!AN101</f>
        <v>5</v>
      </c>
      <c r="AF30" s="3">
        <f>'10月（既存移管合算）'!AO101</f>
        <v>6</v>
      </c>
      <c r="AG30" s="3">
        <f>'10月（既存移管合算）'!AP101</f>
        <v>4</v>
      </c>
      <c r="AH30" s="3">
        <f>'10月（既存移管合算）'!AQ101</f>
        <v>4</v>
      </c>
      <c r="AI30" s="3">
        <f>'10月（既存移管合算）'!AR101</f>
        <v>4</v>
      </c>
      <c r="AJ30" s="3">
        <f>'10月（既存移管合算）'!AS101</f>
        <v>4</v>
      </c>
      <c r="AK30" s="3">
        <f>'10月（既存移管合算）'!AT101</f>
        <v>4</v>
      </c>
      <c r="AL30" s="3">
        <f>'10月（既存移管合算）'!AU101</f>
        <v>5</v>
      </c>
      <c r="AM30" s="3">
        <f>'10月（既存移管合算）'!AV101</f>
        <v>6</v>
      </c>
      <c r="AN30" s="3">
        <f>'10月（既存移管合算）'!AW101</f>
        <v>6</v>
      </c>
      <c r="AO30" s="3">
        <f>'10月（既存移管合算）'!AX101</f>
        <v>4</v>
      </c>
      <c r="AP30" s="3">
        <f>'10月（既存移管合算）'!AY101</f>
        <v>4</v>
      </c>
      <c r="AQ30" s="3">
        <f>'10月（既存移管合算）'!AZ101</f>
        <v>4</v>
      </c>
      <c r="AR30" s="3">
        <f>'10月（既存移管合算）'!BA101</f>
        <v>4</v>
      </c>
      <c r="AS30" s="3">
        <f>'10月（既存移管合算）'!BB101</f>
        <v>5</v>
      </c>
      <c r="AT30" s="3">
        <f>'10月（既存移管合算）'!BC101</f>
        <v>6</v>
      </c>
      <c r="AU30" s="3">
        <f>'10月（既存移管合算）'!BD101</f>
        <v>4</v>
      </c>
      <c r="AV30" s="3">
        <f>'10月（既存移管合算）'!BE101</f>
        <v>4</v>
      </c>
      <c r="AW30" s="10">
        <f t="shared" si="6"/>
        <v>179</v>
      </c>
    </row>
    <row r="31" spans="1:49" ht="22" customHeight="1">
      <c r="A31" s="34" t="s">
        <v>84</v>
      </c>
      <c r="B31" s="35" t="s">
        <v>85</v>
      </c>
      <c r="C31" s="32" t="s">
        <v>212</v>
      </c>
      <c r="D31" s="39"/>
      <c r="E31" s="43">
        <v>9000</v>
      </c>
      <c r="F31" s="43">
        <v>9000</v>
      </c>
      <c r="G31" s="43">
        <v>13000</v>
      </c>
      <c r="H31" s="43">
        <v>11000</v>
      </c>
      <c r="I31" s="43">
        <v>10000</v>
      </c>
      <c r="J31" s="43">
        <v>11000</v>
      </c>
      <c r="K31" s="38">
        <v>0.50909090909090904</v>
      </c>
      <c r="L31" s="36">
        <f t="shared" si="4"/>
        <v>28</v>
      </c>
      <c r="M31" s="38">
        <v>0.71399999999999997</v>
      </c>
      <c r="N31" s="38">
        <v>0.50909090909090904</v>
      </c>
      <c r="O31" s="36">
        <f t="shared" si="5"/>
        <v>28</v>
      </c>
      <c r="P31" s="36">
        <f>'10月（既存移管合算）'!Y105</f>
        <v>3</v>
      </c>
      <c r="Q31" s="36">
        <f>'10月（既存移管合算）'!Z105</f>
        <v>3</v>
      </c>
      <c r="R31" s="36">
        <f>'10月（既存移管合算）'!AA105</f>
        <v>3</v>
      </c>
      <c r="S31" s="36">
        <f>'10月（既存移管合算）'!AB105</f>
        <v>3</v>
      </c>
      <c r="T31" s="36">
        <f>'10月（既存移管合算）'!AC105</f>
        <v>3</v>
      </c>
      <c r="U31" s="36">
        <f>'10月（既存移管合算）'!AD105</f>
        <v>3</v>
      </c>
      <c r="V31" s="36">
        <f>'10月（既存移管合算）'!AE105</f>
        <v>3</v>
      </c>
      <c r="W31" s="36">
        <f>'10月（既存移管合算）'!AF105</f>
        <v>3</v>
      </c>
      <c r="X31" s="36">
        <f>'10月（既存移管合算）'!AG105</f>
        <v>3</v>
      </c>
      <c r="Y31" s="36">
        <f>'10月（既存移管合算）'!AH105</f>
        <v>3</v>
      </c>
      <c r="Z31" s="36">
        <f>'10月（既存移管合算）'!AI105</f>
        <v>3</v>
      </c>
      <c r="AA31" s="36">
        <f>'10月（既存移管合算）'!AJ105</f>
        <v>1</v>
      </c>
      <c r="AB31" s="36">
        <f>'10月（既存移管合算）'!AK105</f>
        <v>1</v>
      </c>
      <c r="AC31" s="36">
        <f>'10月（既存移管合算）'!AL105</f>
        <v>1</v>
      </c>
      <c r="AD31" s="36">
        <f>'10月（既存移管合算）'!AM105</f>
        <v>1</v>
      </c>
      <c r="AE31" s="36">
        <f>'10月（既存移管合算）'!AN105</f>
        <v>1</v>
      </c>
      <c r="AF31" s="36">
        <f>'10月（既存移管合算）'!AO105</f>
        <v>1</v>
      </c>
      <c r="AG31" s="36">
        <f>'10月（既存移管合算）'!AP105</f>
        <v>1</v>
      </c>
      <c r="AH31" s="36">
        <f>'10月（既存移管合算）'!AQ105</f>
        <v>1</v>
      </c>
      <c r="AI31" s="36">
        <f>'10月（既存移管合算）'!AR105</f>
        <v>1</v>
      </c>
      <c r="AJ31" s="36">
        <f>'10月（既存移管合算）'!AS105</f>
        <v>1</v>
      </c>
      <c r="AK31" s="36">
        <f>'10月（既存移管合算）'!AT105</f>
        <v>1</v>
      </c>
      <c r="AL31" s="36">
        <f>'10月（既存移管合算）'!AU105</f>
        <v>1</v>
      </c>
      <c r="AM31" s="36">
        <f>'10月（既存移管合算）'!AV105</f>
        <v>1</v>
      </c>
      <c r="AN31" s="36">
        <f>'10月（既存移管合算）'!AW105</f>
        <v>1</v>
      </c>
      <c r="AO31" s="36">
        <f>'10月（既存移管合算）'!AX105</f>
        <v>1</v>
      </c>
      <c r="AP31" s="36">
        <f>'10月（既存移管合算）'!AY105</f>
        <v>1</v>
      </c>
      <c r="AQ31" s="36">
        <f>'10月（既存移管合算）'!AZ105</f>
        <v>1</v>
      </c>
      <c r="AR31" s="36">
        <f>'10月（既存移管合算）'!BA105</f>
        <v>1</v>
      </c>
      <c r="AS31" s="36">
        <f>'10月（既存移管合算）'!BB105</f>
        <v>1</v>
      </c>
      <c r="AT31" s="36">
        <f>'10月（既存移管合算）'!BC105</f>
        <v>1</v>
      </c>
      <c r="AU31" s="36">
        <f>'10月（既存移管合算）'!BD105</f>
        <v>1</v>
      </c>
      <c r="AV31" s="36">
        <f>'10月（既存移管合算）'!BE105</f>
        <v>1</v>
      </c>
      <c r="AW31" s="10">
        <f t="shared" si="6"/>
        <v>55</v>
      </c>
    </row>
    <row r="32" spans="1:49" ht="22" customHeight="1">
      <c r="A32" s="26" t="s">
        <v>86</v>
      </c>
      <c r="B32" s="27" t="s">
        <v>87</v>
      </c>
      <c r="C32" s="25"/>
      <c r="D32" s="9"/>
      <c r="E32" s="31">
        <v>6000</v>
      </c>
      <c r="F32" s="31">
        <v>6000</v>
      </c>
      <c r="G32" s="31">
        <v>5500</v>
      </c>
      <c r="H32" s="31">
        <v>6000</v>
      </c>
      <c r="I32" s="31">
        <v>6000</v>
      </c>
      <c r="J32" s="31">
        <v>6000</v>
      </c>
      <c r="K32" s="28">
        <v>0.2068965517241379</v>
      </c>
      <c r="L32" s="3">
        <f t="shared" si="4"/>
        <v>19</v>
      </c>
      <c r="M32" s="28">
        <v>0.2</v>
      </c>
      <c r="N32" s="28">
        <v>0.2068965517241379</v>
      </c>
      <c r="O32" s="3">
        <f t="shared" si="5"/>
        <v>19</v>
      </c>
      <c r="P32" s="3">
        <f>'10月（既存移管合算）'!Y109</f>
        <v>5</v>
      </c>
      <c r="Q32" s="3">
        <f>'10月（既存移管合算）'!Z109</f>
        <v>5</v>
      </c>
      <c r="R32" s="3">
        <f>'10月（既存移管合算）'!AA109</f>
        <v>5</v>
      </c>
      <c r="S32" s="3">
        <f>'10月（既存移管合算）'!AB109</f>
        <v>5</v>
      </c>
      <c r="T32" s="3">
        <f>'10月（既存移管合算）'!AC109</f>
        <v>5</v>
      </c>
      <c r="U32" s="3">
        <f>'10月（既存移管合算）'!AD109</f>
        <v>5</v>
      </c>
      <c r="V32" s="3">
        <f>'10月（既存移管合算）'!AE109</f>
        <v>5</v>
      </c>
      <c r="W32" s="3">
        <f>'10月（既存移管合算）'!AF109</f>
        <v>5</v>
      </c>
      <c r="X32" s="3">
        <f>'10月（既存移管合算）'!AG109</f>
        <v>5</v>
      </c>
      <c r="Y32" s="3">
        <f>'10月（既存移管合算）'!AH109</f>
        <v>5</v>
      </c>
      <c r="Z32" s="3">
        <f>'10月（既存移管合算）'!AI109</f>
        <v>5</v>
      </c>
      <c r="AA32" s="3">
        <f>'10月（既存移管合算）'!AJ109</f>
        <v>1</v>
      </c>
      <c r="AB32" s="3">
        <f>'10月（既存移管合算）'!AK109</f>
        <v>1</v>
      </c>
      <c r="AC32" s="3">
        <f>'10月（既存移管合算）'!AL109</f>
        <v>1</v>
      </c>
      <c r="AD32" s="3">
        <f>'10月（既存移管合算）'!AM109</f>
        <v>1</v>
      </c>
      <c r="AE32" s="3">
        <f>'10月（既存移管合算）'!AN109</f>
        <v>3</v>
      </c>
      <c r="AF32" s="3">
        <f>'10月（既存移管合算）'!AO109</f>
        <v>3</v>
      </c>
      <c r="AG32" s="3">
        <f>'10月（既存移管合算）'!AP109</f>
        <v>2</v>
      </c>
      <c r="AH32" s="3">
        <f>'10月（既存移管合算）'!AQ109</f>
        <v>2</v>
      </c>
      <c r="AI32" s="3">
        <f>'10月（既存移管合算）'!AR109</f>
        <v>2</v>
      </c>
      <c r="AJ32" s="3">
        <f>'10月（既存移管合算）'!AS109</f>
        <v>2</v>
      </c>
      <c r="AK32" s="3">
        <f>'10月（既存移管合算）'!AT109</f>
        <v>1</v>
      </c>
      <c r="AL32" s="3">
        <f>'10月（既存移管合算）'!AU109</f>
        <v>3</v>
      </c>
      <c r="AM32" s="3">
        <f>'10月（既存移管合算）'!AV109</f>
        <v>3</v>
      </c>
      <c r="AN32" s="3">
        <f>'10月（既存移管合算）'!AW109</f>
        <v>2</v>
      </c>
      <c r="AO32" s="3">
        <f>'10月（既存移管合算）'!AX109</f>
        <v>1</v>
      </c>
      <c r="AP32" s="3">
        <f>'10月（既存移管合算）'!AY109</f>
        <v>1</v>
      </c>
      <c r="AQ32" s="3">
        <f>'10月（既存移管合算）'!AZ109</f>
        <v>1</v>
      </c>
      <c r="AR32" s="3">
        <f>'10月（既存移管合算）'!BA109</f>
        <v>1</v>
      </c>
      <c r="AS32" s="3">
        <f>'10月（既存移管合算）'!BB109</f>
        <v>2</v>
      </c>
      <c r="AT32" s="3">
        <f>'10月（既存移管合算）'!BC109</f>
        <v>3</v>
      </c>
      <c r="AU32" s="3">
        <f>'10月（既存移管合算）'!BD109</f>
        <v>1</v>
      </c>
      <c r="AV32" s="3">
        <f>'10月（既存移管合算）'!BE109</f>
        <v>1</v>
      </c>
      <c r="AW32" s="10">
        <f t="shared" si="6"/>
        <v>93</v>
      </c>
    </row>
    <row r="33" spans="1:49" ht="22" customHeight="1">
      <c r="A33" s="34" t="s">
        <v>88</v>
      </c>
      <c r="B33" s="35" t="s">
        <v>89</v>
      </c>
      <c r="C33" s="32"/>
      <c r="D33" s="39"/>
      <c r="E33" s="43">
        <v>15000</v>
      </c>
      <c r="F33" s="43">
        <v>15000</v>
      </c>
      <c r="G33" s="43">
        <v>1300</v>
      </c>
      <c r="H33" s="43">
        <v>15000</v>
      </c>
      <c r="I33" s="43">
        <v>15000</v>
      </c>
      <c r="J33" s="43">
        <v>15000</v>
      </c>
      <c r="K33" s="38">
        <v>0.1176470588235294</v>
      </c>
      <c r="L33" s="36">
        <f t="shared" si="4"/>
        <v>3</v>
      </c>
      <c r="M33" s="38">
        <v>0.125</v>
      </c>
      <c r="N33" s="38">
        <v>0.1176470588235294</v>
      </c>
      <c r="O33" s="36">
        <f t="shared" si="5"/>
        <v>3</v>
      </c>
      <c r="P33" s="36">
        <f>'10月（既存移管合算）'!Y112</f>
        <v>1</v>
      </c>
      <c r="Q33" s="36">
        <f>'10月（既存移管合算）'!Z112</f>
        <v>1</v>
      </c>
      <c r="R33" s="36">
        <f>'10月（既存移管合算）'!AA112</f>
        <v>1</v>
      </c>
      <c r="S33" s="36">
        <f>'10月（既存移管合算）'!AB112</f>
        <v>1</v>
      </c>
      <c r="T33" s="36">
        <f>'10月（既存移管合算）'!AC112</f>
        <v>1</v>
      </c>
      <c r="U33" s="36">
        <f>'10月（既存移管合算）'!AD112</f>
        <v>1</v>
      </c>
      <c r="V33" s="36">
        <f>'10月（既存移管合算）'!AE112</f>
        <v>1</v>
      </c>
      <c r="W33" s="36">
        <f>'10月（既存移管合算）'!AF112</f>
        <v>1</v>
      </c>
      <c r="X33" s="36">
        <f>'10月（既存移管合算）'!AG112</f>
        <v>1</v>
      </c>
      <c r="Y33" s="36">
        <f>'10月（既存移管合算）'!AH112</f>
        <v>1</v>
      </c>
      <c r="Z33" s="36">
        <f>'10月（既存移管合算）'!AI112</f>
        <v>1</v>
      </c>
      <c r="AA33" s="36">
        <f>'10月（既存移管合算）'!AJ112</f>
        <v>1</v>
      </c>
      <c r="AB33" s="36">
        <f>'10月（既存移管合算）'!AK112</f>
        <v>1</v>
      </c>
      <c r="AC33" s="36">
        <f>'10月（既存移管合算）'!AL112</f>
        <v>1</v>
      </c>
      <c r="AD33" s="36">
        <f>'10月（既存移管合算）'!AM112</f>
        <v>1</v>
      </c>
      <c r="AE33" s="36">
        <f>'10月（既存移管合算）'!AN112</f>
        <v>1</v>
      </c>
      <c r="AF33" s="36">
        <f>'10月（既存移管合算）'!AO112</f>
        <v>1</v>
      </c>
      <c r="AG33" s="36">
        <f>'10月（既存移管合算）'!AP112</f>
        <v>1</v>
      </c>
      <c r="AH33" s="36">
        <f>'10月（既存移管合算）'!AQ112</f>
        <v>1</v>
      </c>
      <c r="AI33" s="36">
        <f>'10月（既存移管合算）'!AR112</f>
        <v>0</v>
      </c>
      <c r="AJ33" s="36">
        <f>'10月（既存移管合算）'!AS112</f>
        <v>0</v>
      </c>
      <c r="AK33" s="36">
        <f>'10月（既存移管合算）'!AT112</f>
        <v>0</v>
      </c>
      <c r="AL33" s="36">
        <f>'10月（既存移管合算）'!AU112</f>
        <v>0</v>
      </c>
      <c r="AM33" s="36">
        <f>'10月（既存移管合算）'!AV112</f>
        <v>0</v>
      </c>
      <c r="AN33" s="36">
        <f>'10月（既存移管合算）'!AW112</f>
        <v>0</v>
      </c>
      <c r="AO33" s="36">
        <f>'10月（既存移管合算）'!AX112</f>
        <v>1</v>
      </c>
      <c r="AP33" s="36">
        <f>'10月（既存移管合算）'!AY112</f>
        <v>1</v>
      </c>
      <c r="AQ33" s="36">
        <f>'10月（既存移管合算）'!AZ112</f>
        <v>1</v>
      </c>
      <c r="AR33" s="36">
        <f>'10月（既存移管合算）'!BA112</f>
        <v>1</v>
      </c>
      <c r="AS33" s="36">
        <f>'10月（既存移管合算）'!BB112</f>
        <v>0</v>
      </c>
      <c r="AT33" s="36">
        <f>'10月（既存移管合算）'!BC112</f>
        <v>0</v>
      </c>
      <c r="AU33" s="36">
        <f>'10月（既存移管合算）'!BD112</f>
        <v>1</v>
      </c>
      <c r="AV33" s="36">
        <f>'10月（既存移管合算）'!BE112</f>
        <v>1</v>
      </c>
      <c r="AW33" s="10">
        <f t="shared" si="6"/>
        <v>25</v>
      </c>
    </row>
    <row r="34" spans="1:49" ht="22" customHeight="1">
      <c r="A34" s="26" t="s">
        <v>90</v>
      </c>
      <c r="B34" s="27" t="s">
        <v>91</v>
      </c>
      <c r="C34" s="25"/>
      <c r="D34" s="9"/>
      <c r="E34" s="31">
        <v>5000</v>
      </c>
      <c r="F34" s="31">
        <v>5000</v>
      </c>
      <c r="G34" s="31">
        <v>5000</v>
      </c>
      <c r="H34" s="31">
        <v>5000</v>
      </c>
      <c r="I34" s="31">
        <v>5000</v>
      </c>
      <c r="J34" s="31">
        <v>5000</v>
      </c>
      <c r="K34" s="28">
        <v>0.6</v>
      </c>
      <c r="L34" s="3">
        <f t="shared" si="4"/>
        <v>29</v>
      </c>
      <c r="M34" s="28">
        <v>0.6</v>
      </c>
      <c r="N34" s="28">
        <v>0.6</v>
      </c>
      <c r="O34" s="3">
        <f t="shared" si="5"/>
        <v>29</v>
      </c>
      <c r="P34" s="3">
        <f>'10月（既存移管合算）'!Y115</f>
        <v>1</v>
      </c>
      <c r="Q34" s="3">
        <f>'10月（既存移管合算）'!Z115</f>
        <v>1</v>
      </c>
      <c r="R34" s="3">
        <f>'10月（既存移管合算）'!AA115</f>
        <v>1</v>
      </c>
      <c r="S34" s="3">
        <f>'10月（既存移管合算）'!AB115</f>
        <v>1</v>
      </c>
      <c r="T34" s="3">
        <f>'10月（既存移管合算）'!AC115</f>
        <v>1</v>
      </c>
      <c r="U34" s="3">
        <f>'10月（既存移管合算）'!AD115</f>
        <v>1</v>
      </c>
      <c r="V34" s="3">
        <f>'10月（既存移管合算）'!AE115</f>
        <v>1</v>
      </c>
      <c r="W34" s="3">
        <f>'10月（既存移管合算）'!AF115</f>
        <v>1</v>
      </c>
      <c r="X34" s="3">
        <f>'10月（既存移管合算）'!AG115</f>
        <v>1</v>
      </c>
      <c r="Y34" s="3">
        <f>'10月（既存移管合算）'!AH115</f>
        <v>1</v>
      </c>
      <c r="Z34" s="3">
        <f>'10月（既存移管合算）'!AI115</f>
        <v>0</v>
      </c>
      <c r="AA34" s="3">
        <f>'10月（既存移管合算）'!AJ115</f>
        <v>1</v>
      </c>
      <c r="AB34" s="3">
        <f>'10月（既存移管合算）'!AK115</f>
        <v>1</v>
      </c>
      <c r="AC34" s="3">
        <f>'10月（既存移管合算）'!AL115</f>
        <v>1</v>
      </c>
      <c r="AD34" s="3">
        <f>'10月（既存移管合算）'!AM115</f>
        <v>1</v>
      </c>
      <c r="AE34" s="3">
        <f>'10月（既存移管合算）'!AN115</f>
        <v>3</v>
      </c>
      <c r="AF34" s="3">
        <f>'10月（既存移管合算）'!AO115</f>
        <v>3</v>
      </c>
      <c r="AG34" s="3">
        <f>'10月（既存移管合算）'!AP115</f>
        <v>2</v>
      </c>
      <c r="AH34" s="3">
        <f>'10月（既存移管合算）'!AQ115</f>
        <v>2</v>
      </c>
      <c r="AI34" s="3">
        <f>'10月（既存移管合算）'!AR115</f>
        <v>2</v>
      </c>
      <c r="AJ34" s="3">
        <f>'10月（既存移管合算）'!AS115</f>
        <v>2</v>
      </c>
      <c r="AK34" s="3">
        <f>'10月（既存移管合算）'!AT115</f>
        <v>1</v>
      </c>
      <c r="AL34" s="3">
        <f>'10月（既存移管合算）'!AU115</f>
        <v>3</v>
      </c>
      <c r="AM34" s="3">
        <f>'10月（既存移管合算）'!AV115</f>
        <v>3</v>
      </c>
      <c r="AN34" s="3">
        <f>'10月（既存移管合算）'!AW115</f>
        <v>2</v>
      </c>
      <c r="AO34" s="3">
        <f>'10月（既存移管合算）'!AX115</f>
        <v>1</v>
      </c>
      <c r="AP34" s="3">
        <f>'10月（既存移管合算）'!AY115</f>
        <v>1</v>
      </c>
      <c r="AQ34" s="3">
        <f>'10月（既存移管合算）'!AZ115</f>
        <v>1</v>
      </c>
      <c r="AR34" s="3">
        <f>'10月（既存移管合算）'!BA115</f>
        <v>1</v>
      </c>
      <c r="AS34" s="3">
        <f>'10月（既存移管合算）'!BB115</f>
        <v>2</v>
      </c>
      <c r="AT34" s="3">
        <f>'10月（既存移管合算）'!BC115</f>
        <v>3</v>
      </c>
      <c r="AU34" s="3">
        <f>'10月（既存移管合算）'!BD115</f>
        <v>1</v>
      </c>
      <c r="AV34" s="3">
        <f>'10月（既存移管合算）'!BE115</f>
        <v>1</v>
      </c>
      <c r="AW34" s="10">
        <f t="shared" si="6"/>
        <v>48</v>
      </c>
    </row>
    <row r="35" spans="1:49" ht="22" customHeight="1">
      <c r="A35" s="34" t="s">
        <v>92</v>
      </c>
      <c r="B35" s="35" t="s">
        <v>93</v>
      </c>
      <c r="C35" s="32"/>
      <c r="D35" s="39"/>
      <c r="E35" s="43">
        <v>5000</v>
      </c>
      <c r="F35" s="43">
        <v>5000</v>
      </c>
      <c r="G35" s="43">
        <v>5000</v>
      </c>
      <c r="H35" s="43">
        <v>5000</v>
      </c>
      <c r="I35" s="43">
        <v>5000</v>
      </c>
      <c r="J35" s="43">
        <v>5000</v>
      </c>
      <c r="K35" s="38">
        <v>0</v>
      </c>
      <c r="L35" s="36">
        <f t="shared" si="4"/>
        <v>0</v>
      </c>
      <c r="M35" s="38">
        <v>0</v>
      </c>
      <c r="N35" s="38">
        <v>0</v>
      </c>
      <c r="O35" s="36">
        <f t="shared" si="5"/>
        <v>0</v>
      </c>
      <c r="P35" s="36">
        <f>'10月（既存移管合算）'!Y118</f>
        <v>0</v>
      </c>
      <c r="Q35" s="36">
        <f>'10月（既存移管合算）'!Z118</f>
        <v>0</v>
      </c>
      <c r="R35" s="36">
        <f>'10月（既存移管合算）'!AA118</f>
        <v>0</v>
      </c>
      <c r="S35" s="36">
        <f>'10月（既存移管合算）'!AB118</f>
        <v>0</v>
      </c>
      <c r="T35" s="36">
        <f>'10月（既存移管合算）'!AC118</f>
        <v>0</v>
      </c>
      <c r="U35" s="36">
        <f>'10月（既存移管合算）'!AD118</f>
        <v>0</v>
      </c>
      <c r="V35" s="36">
        <f>'10月（既存移管合算）'!AE118</f>
        <v>0</v>
      </c>
      <c r="W35" s="36">
        <f>'10月（既存移管合算）'!AF118</f>
        <v>0</v>
      </c>
      <c r="X35" s="36">
        <f>'10月（既存移管合算）'!AG118</f>
        <v>0</v>
      </c>
      <c r="Y35" s="36">
        <f>'10月（既存移管合算）'!AH118</f>
        <v>0</v>
      </c>
      <c r="Z35" s="36">
        <f>'10月（既存移管合算）'!AI118</f>
        <v>0</v>
      </c>
      <c r="AA35" s="36">
        <f>'10月（既存移管合算）'!AJ118</f>
        <v>0</v>
      </c>
      <c r="AB35" s="36">
        <f>'10月（既存移管合算）'!AK118</f>
        <v>0</v>
      </c>
      <c r="AC35" s="36">
        <f>'10月（既存移管合算）'!AL118</f>
        <v>0</v>
      </c>
      <c r="AD35" s="36">
        <f>'10月（既存移管合算）'!AM118</f>
        <v>0</v>
      </c>
      <c r="AE35" s="36">
        <f>'10月（既存移管合算）'!AN118</f>
        <v>0</v>
      </c>
      <c r="AF35" s="36">
        <f>'10月（既存移管合算）'!AO118</f>
        <v>0</v>
      </c>
      <c r="AG35" s="36">
        <f>'10月（既存移管合算）'!AP118</f>
        <v>0</v>
      </c>
      <c r="AH35" s="36">
        <f>'10月（既存移管合算）'!AQ118</f>
        <v>0</v>
      </c>
      <c r="AI35" s="36">
        <f>'10月（既存移管合算）'!AR118</f>
        <v>0</v>
      </c>
      <c r="AJ35" s="36">
        <f>'10月（既存移管合算）'!AS118</f>
        <v>0</v>
      </c>
      <c r="AK35" s="36">
        <f>'10月（既存移管合算）'!AT118</f>
        <v>0</v>
      </c>
      <c r="AL35" s="36">
        <f>'10月（既存移管合算）'!AU118</f>
        <v>0</v>
      </c>
      <c r="AM35" s="36">
        <f>'10月（既存移管合算）'!AV118</f>
        <v>0</v>
      </c>
      <c r="AN35" s="36">
        <f>'10月（既存移管合算）'!AW118</f>
        <v>0</v>
      </c>
      <c r="AO35" s="36">
        <f>'10月（既存移管合算）'!AX118</f>
        <v>0</v>
      </c>
      <c r="AP35" s="36">
        <f>'10月（既存移管合算）'!AY118</f>
        <v>0</v>
      </c>
      <c r="AQ35" s="36">
        <f>'10月（既存移管合算）'!AZ118</f>
        <v>0</v>
      </c>
      <c r="AR35" s="36">
        <f>'10月（既存移管合算）'!BA118</f>
        <v>0</v>
      </c>
      <c r="AS35" s="36">
        <f>'10月（既存移管合算）'!BB118</f>
        <v>0</v>
      </c>
      <c r="AT35" s="36">
        <f>'10月（既存移管合算）'!BC118</f>
        <v>0</v>
      </c>
      <c r="AU35" s="36">
        <f>'10月（既存移管合算）'!BD118</f>
        <v>0</v>
      </c>
      <c r="AV35" s="36">
        <f>'10月（既存移管合算）'!BE118</f>
        <v>0</v>
      </c>
      <c r="AW35" s="10">
        <f t="shared" si="6"/>
        <v>0</v>
      </c>
    </row>
    <row r="36" spans="1:49" ht="22" customHeight="1">
      <c r="A36" s="26" t="s">
        <v>94</v>
      </c>
      <c r="B36" s="27" t="s">
        <v>95</v>
      </c>
      <c r="C36" s="25" t="s">
        <v>212</v>
      </c>
      <c r="D36" s="9"/>
      <c r="E36" s="31">
        <v>2400</v>
      </c>
      <c r="F36" s="31">
        <v>2400</v>
      </c>
      <c r="G36" s="31">
        <v>11000</v>
      </c>
      <c r="H36" s="31">
        <v>11000</v>
      </c>
      <c r="I36" s="31">
        <v>10000</v>
      </c>
      <c r="J36" s="31">
        <v>11000</v>
      </c>
      <c r="K36" s="28">
        <v>0.59090909090909094</v>
      </c>
      <c r="L36" s="3">
        <f t="shared" si="4"/>
        <v>18</v>
      </c>
      <c r="M36" s="28">
        <v>0.5</v>
      </c>
      <c r="N36" s="28">
        <v>0.59090909090909094</v>
      </c>
      <c r="O36" s="3">
        <f t="shared" si="5"/>
        <v>18</v>
      </c>
      <c r="P36" s="3">
        <f>'10月（既存移管合算）'!Y121</f>
        <v>2</v>
      </c>
      <c r="Q36" s="3">
        <f>'10月（既存移管合算）'!Z121</f>
        <v>3</v>
      </c>
      <c r="R36" s="3">
        <f>'10月（既存移管合算）'!AA121</f>
        <v>2</v>
      </c>
      <c r="S36" s="3">
        <f>'10月（既存移管合算）'!AB121</f>
        <v>2</v>
      </c>
      <c r="T36" s="3">
        <f>'10月（既存移管合算）'!AC121</f>
        <v>2</v>
      </c>
      <c r="U36" s="3">
        <f>'10月（既存移管合算）'!AD121</f>
        <v>2</v>
      </c>
      <c r="V36" s="3">
        <f>'10月（既存移管合算）'!AE121</f>
        <v>2</v>
      </c>
      <c r="W36" s="3">
        <f>'10月（既存移管合算）'!AF121</f>
        <v>2</v>
      </c>
      <c r="X36" s="3">
        <f>'10月（既存移管合算）'!AG121</f>
        <v>3</v>
      </c>
      <c r="Y36" s="3">
        <f>'10月（既存移管合算）'!AH121</f>
        <v>2</v>
      </c>
      <c r="Z36" s="3">
        <f>'10月（既存移管合算）'!AI121</f>
        <v>1</v>
      </c>
      <c r="AA36" s="3">
        <f>'10月（既存移管合算）'!AJ121</f>
        <v>0</v>
      </c>
      <c r="AB36" s="3">
        <f>'10月（既存移管合算）'!AK121</f>
        <v>0</v>
      </c>
      <c r="AC36" s="3">
        <f>'10月（既存移管合算）'!AL121</f>
        <v>0</v>
      </c>
      <c r="AD36" s="3">
        <f>'10月（既存移管合算）'!AM121</f>
        <v>0</v>
      </c>
      <c r="AE36" s="3">
        <f>'10月（既存移管合算）'!AN121</f>
        <v>1</v>
      </c>
      <c r="AF36" s="3">
        <f>'10月（既存移管合算）'!AO121</f>
        <v>1</v>
      </c>
      <c r="AG36" s="3">
        <f>'10月（既存移管合算）'!AP121</f>
        <v>0</v>
      </c>
      <c r="AH36" s="3">
        <f>'10月（既存移管合算）'!AQ121</f>
        <v>0</v>
      </c>
      <c r="AI36" s="3">
        <f>'10月（既存移管合算）'!AR121</f>
        <v>0</v>
      </c>
      <c r="AJ36" s="3">
        <f>'10月（既存移管合算）'!AS121</f>
        <v>0</v>
      </c>
      <c r="AK36" s="3">
        <f>'10月（既存移管合算）'!AT121</f>
        <v>0</v>
      </c>
      <c r="AL36" s="3">
        <f>'10月（既存移管合算）'!AU121</f>
        <v>1</v>
      </c>
      <c r="AM36" s="3">
        <f>'10月（既存移管合算）'!AV121</f>
        <v>1</v>
      </c>
      <c r="AN36" s="3">
        <f>'10月（既存移管合算）'!AW121</f>
        <v>1</v>
      </c>
      <c r="AO36" s="3">
        <f>'10月（既存移管合算）'!AX121</f>
        <v>0</v>
      </c>
      <c r="AP36" s="3">
        <f>'10月（既存移管合算）'!AY121</f>
        <v>0</v>
      </c>
      <c r="AQ36" s="3">
        <f>'10月（既存移管合算）'!AZ121</f>
        <v>0</v>
      </c>
      <c r="AR36" s="3">
        <f>'10月（既存移管合算）'!BA121</f>
        <v>0</v>
      </c>
      <c r="AS36" s="3">
        <f>'10月（既存移管合算）'!BB121</f>
        <v>1</v>
      </c>
      <c r="AT36" s="3">
        <f>'10月（既存移管合算）'!BC121</f>
        <v>1</v>
      </c>
      <c r="AU36" s="3">
        <f>'10月（既存移管合算）'!BD121</f>
        <v>0</v>
      </c>
      <c r="AV36" s="3">
        <f>'10月（既存移管合算）'!BE121</f>
        <v>0</v>
      </c>
      <c r="AW36" s="10">
        <f t="shared" si="6"/>
        <v>30</v>
      </c>
    </row>
    <row r="37" spans="1:49" ht="22" customHeight="1">
      <c r="A37" s="34" t="s">
        <v>96</v>
      </c>
      <c r="B37" s="35" t="s">
        <v>97</v>
      </c>
      <c r="C37" s="32" t="s">
        <v>212</v>
      </c>
      <c r="D37" s="39"/>
      <c r="E37" s="43">
        <v>10000</v>
      </c>
      <c r="F37" s="43">
        <v>11000</v>
      </c>
      <c r="G37" s="43">
        <v>13000</v>
      </c>
      <c r="H37" s="43">
        <v>11000</v>
      </c>
      <c r="I37" s="43">
        <v>10000</v>
      </c>
      <c r="J37" s="43">
        <v>11000</v>
      </c>
      <c r="K37" s="38">
        <v>0.46875</v>
      </c>
      <c r="L37" s="36">
        <f t="shared" si="4"/>
        <v>23</v>
      </c>
      <c r="M37" s="38">
        <v>0.59099999999999997</v>
      </c>
      <c r="N37" s="38">
        <v>0.46875</v>
      </c>
      <c r="O37" s="36">
        <f t="shared" si="5"/>
        <v>23</v>
      </c>
      <c r="P37" s="36">
        <f>'10月（既存移管合算）'!Y125</f>
        <v>1</v>
      </c>
      <c r="Q37" s="36">
        <f>'10月（既存移管合算）'!Z125</f>
        <v>1</v>
      </c>
      <c r="R37" s="36">
        <f>'10月（既存移管合算）'!AA125</f>
        <v>1</v>
      </c>
      <c r="S37" s="36">
        <f>'10月（既存移管合算）'!AB125</f>
        <v>1</v>
      </c>
      <c r="T37" s="36">
        <f>'10月（既存移管合算）'!AC125</f>
        <v>1</v>
      </c>
      <c r="U37" s="36">
        <f>'10月（既存移管合算）'!AD125</f>
        <v>1</v>
      </c>
      <c r="V37" s="36">
        <f>'10月（既存移管合算）'!AE125</f>
        <v>1</v>
      </c>
      <c r="W37" s="36">
        <f>'10月（既存移管合算）'!AF125</f>
        <v>1</v>
      </c>
      <c r="X37" s="36">
        <f>'10月（既存移管合算）'!AG125</f>
        <v>5</v>
      </c>
      <c r="Y37" s="36">
        <f>'10月（既存移管合算）'!AH125</f>
        <v>6</v>
      </c>
      <c r="Z37" s="36">
        <f>'10月（既存移管合算）'!AI125</f>
        <v>1</v>
      </c>
      <c r="AA37" s="36">
        <f>'10月（既存移管合算）'!AJ125</f>
        <v>1</v>
      </c>
      <c r="AB37" s="36">
        <f>'10月（既存移管合算）'!AK125</f>
        <v>1</v>
      </c>
      <c r="AC37" s="36">
        <f>'10月（既存移管合算）'!AL125</f>
        <v>1</v>
      </c>
      <c r="AD37" s="36">
        <f>'10月（既存移管合算）'!AM125</f>
        <v>1</v>
      </c>
      <c r="AE37" s="36">
        <f>'10月（既存移管合算）'!AN125</f>
        <v>2</v>
      </c>
      <c r="AF37" s="36">
        <f>'10月（既存移管合算）'!AO125</f>
        <v>2</v>
      </c>
      <c r="AG37" s="36">
        <f>'10月（既存移管合算）'!AP125</f>
        <v>1</v>
      </c>
      <c r="AH37" s="36">
        <f>'10月（既存移管合算）'!AQ125</f>
        <v>1</v>
      </c>
      <c r="AI37" s="36">
        <f>'10月（既存移管合算）'!AR125</f>
        <v>1</v>
      </c>
      <c r="AJ37" s="36">
        <f>'10月（既存移管合算）'!AS125</f>
        <v>1</v>
      </c>
      <c r="AK37" s="36">
        <f>'10月（既存移管合算）'!AT125</f>
        <v>1</v>
      </c>
      <c r="AL37" s="36">
        <f>'10月（既存移管合算）'!AU125</f>
        <v>2</v>
      </c>
      <c r="AM37" s="36">
        <f>'10月（既存移管合算）'!AV125</f>
        <v>2</v>
      </c>
      <c r="AN37" s="36">
        <f>'10月（既存移管合算）'!AW125</f>
        <v>2</v>
      </c>
      <c r="AO37" s="36">
        <f>'10月（既存移管合算）'!AX125</f>
        <v>1</v>
      </c>
      <c r="AP37" s="36">
        <f>'10月（既存移管合算）'!AY125</f>
        <v>1</v>
      </c>
      <c r="AQ37" s="36">
        <f>'10月（既存移管合算）'!AZ125</f>
        <v>1</v>
      </c>
      <c r="AR37" s="36">
        <f>'10月（既存移管合算）'!BA125</f>
        <v>1</v>
      </c>
      <c r="AS37" s="36">
        <f>'10月（既存移管合算）'!BB125</f>
        <v>2</v>
      </c>
      <c r="AT37" s="36">
        <f>'10月（既存移管合算）'!BC125</f>
        <v>2</v>
      </c>
      <c r="AU37" s="36">
        <f>'10月（既存移管合算）'!BD125</f>
        <v>1</v>
      </c>
      <c r="AV37" s="36">
        <f>'10月（既存移管合算）'!BE125</f>
        <v>1</v>
      </c>
      <c r="AW37" s="10">
        <f t="shared" si="6"/>
        <v>49</v>
      </c>
    </row>
    <row r="38" spans="1:49" ht="22" customHeight="1">
      <c r="A38" s="26" t="s">
        <v>98</v>
      </c>
      <c r="B38" s="27" t="s">
        <v>99</v>
      </c>
      <c r="C38" s="25"/>
      <c r="D38" s="9"/>
      <c r="E38" s="31">
        <v>5000</v>
      </c>
      <c r="F38" s="31">
        <v>5000</v>
      </c>
      <c r="G38" s="31">
        <v>5000</v>
      </c>
      <c r="H38" s="31">
        <v>5000</v>
      </c>
      <c r="I38" s="31">
        <v>5000</v>
      </c>
      <c r="J38" s="31">
        <v>5000</v>
      </c>
      <c r="K38" s="28">
        <v>0.1875</v>
      </c>
      <c r="L38" s="3">
        <f t="shared" si="4"/>
        <v>5</v>
      </c>
      <c r="M38" s="28">
        <v>0.1875</v>
      </c>
      <c r="N38" s="28">
        <v>0.1875</v>
      </c>
      <c r="O38" s="3">
        <f t="shared" si="5"/>
        <v>5</v>
      </c>
      <c r="P38" s="3">
        <f>'10月（既存移管合算）'!Y129</f>
        <v>1</v>
      </c>
      <c r="Q38" s="3">
        <f>'10月（既存移管合算）'!Z129</f>
        <v>1</v>
      </c>
      <c r="R38" s="3">
        <f>'10月（既存移管合算）'!AA129</f>
        <v>1</v>
      </c>
      <c r="S38" s="3">
        <f>'10月（既存移管合算）'!AB129</f>
        <v>1</v>
      </c>
      <c r="T38" s="3">
        <f>'10月（既存移管合算）'!AC129</f>
        <v>1</v>
      </c>
      <c r="U38" s="3">
        <f>'10月（既存移管合算）'!AD129</f>
        <v>1</v>
      </c>
      <c r="V38" s="3">
        <f>'10月（既存移管合算）'!AE129</f>
        <v>1</v>
      </c>
      <c r="W38" s="3">
        <f>'10月（既存移管合算）'!AF129</f>
        <v>1</v>
      </c>
      <c r="X38" s="3">
        <f>'10月（既存移管合算）'!AG129</f>
        <v>1</v>
      </c>
      <c r="Y38" s="3">
        <f>'10月（既存移管合算）'!AH129</f>
        <v>1</v>
      </c>
      <c r="Z38" s="3">
        <f>'10月（既存移管合算）'!AI129</f>
        <v>1</v>
      </c>
      <c r="AA38" s="3">
        <f>'10月（既存移管合算）'!AJ129</f>
        <v>1</v>
      </c>
      <c r="AB38" s="3">
        <f>'10月（既存移管合算）'!AK129</f>
        <v>1</v>
      </c>
      <c r="AC38" s="3">
        <f>'10月（既存移管合算）'!AL129</f>
        <v>1</v>
      </c>
      <c r="AD38" s="3">
        <f>'10月（既存移管合算）'!AM129</f>
        <v>1</v>
      </c>
      <c r="AE38" s="3">
        <f>'10月（既存移管合算）'!AN129</f>
        <v>1</v>
      </c>
      <c r="AF38" s="3">
        <f>'10月（既存移管合算）'!AO129</f>
        <v>1</v>
      </c>
      <c r="AG38" s="3">
        <f>'10月（既存移管合算）'!AP129</f>
        <v>1</v>
      </c>
      <c r="AH38" s="3">
        <f>'10月（既存移管合算）'!AQ129</f>
        <v>1</v>
      </c>
      <c r="AI38" s="3">
        <f>'10月（既存移管合算）'!AR129</f>
        <v>0</v>
      </c>
      <c r="AJ38" s="3">
        <f>'10月（既存移管合算）'!AS129</f>
        <v>0</v>
      </c>
      <c r="AK38" s="3">
        <f>'10月（既存移管合算）'!AT129</f>
        <v>0</v>
      </c>
      <c r="AL38" s="3">
        <f>'10月（既存移管合算）'!AU129</f>
        <v>0</v>
      </c>
      <c r="AM38" s="3">
        <f>'10月（既存移管合算）'!AV129</f>
        <v>0</v>
      </c>
      <c r="AN38" s="3">
        <f>'10月（既存移管合算）'!AW129</f>
        <v>0</v>
      </c>
      <c r="AO38" s="3">
        <f>'10月（既存移管合算）'!AX129</f>
        <v>1</v>
      </c>
      <c r="AP38" s="3">
        <f>'10月（既存移管合算）'!AY129</f>
        <v>1</v>
      </c>
      <c r="AQ38" s="3">
        <f>'10月（既存移管合算）'!AZ129</f>
        <v>1</v>
      </c>
      <c r="AR38" s="3">
        <f>'10月（既存移管合算）'!BA129</f>
        <v>1</v>
      </c>
      <c r="AS38" s="3">
        <f>'10月（既存移管合算）'!BB129</f>
        <v>0</v>
      </c>
      <c r="AT38" s="3">
        <f>'10月（既存移管合算）'!BC129</f>
        <v>0</v>
      </c>
      <c r="AU38" s="3">
        <f>'10月（既存移管合算）'!BD129</f>
        <v>1</v>
      </c>
      <c r="AV38" s="3">
        <f>'10月（既存移管合算）'!BE129</f>
        <v>1</v>
      </c>
      <c r="AW38" s="10">
        <f t="shared" si="6"/>
        <v>25</v>
      </c>
    </row>
    <row r="39" spans="1:49" ht="22" customHeight="1">
      <c r="A39" s="34" t="s">
        <v>100</v>
      </c>
      <c r="B39" s="35" t="s">
        <v>101</v>
      </c>
      <c r="C39" s="32" t="s">
        <v>212</v>
      </c>
      <c r="D39" s="39"/>
      <c r="E39" s="43">
        <v>9000</v>
      </c>
      <c r="F39" s="43">
        <v>9000</v>
      </c>
      <c r="G39" s="43">
        <v>13000</v>
      </c>
      <c r="H39" s="43">
        <v>11000</v>
      </c>
      <c r="I39" s="43">
        <v>10000</v>
      </c>
      <c r="J39" s="43">
        <v>11000</v>
      </c>
      <c r="K39" s="38">
        <v>0.4</v>
      </c>
      <c r="L39" s="36">
        <f t="shared" si="4"/>
        <v>30</v>
      </c>
      <c r="M39" s="38">
        <v>0.57699999999999996</v>
      </c>
      <c r="N39" s="38">
        <v>0.4</v>
      </c>
      <c r="O39" s="36">
        <f t="shared" si="5"/>
        <v>30</v>
      </c>
      <c r="P39" s="36">
        <f>'10月（既存移管合算）'!Y132</f>
        <v>4</v>
      </c>
      <c r="Q39" s="36">
        <f>'10月（既存移管合算）'!Z132</f>
        <v>4</v>
      </c>
      <c r="R39" s="36">
        <f>'10月（既存移管合算）'!AA132</f>
        <v>4</v>
      </c>
      <c r="S39" s="36">
        <f>'10月（既存移管合算）'!AB132</f>
        <v>4</v>
      </c>
      <c r="T39" s="36">
        <f>'10月（既存移管合算）'!AC132</f>
        <v>4</v>
      </c>
      <c r="U39" s="36">
        <f>'10月（既存移管合算）'!AD132</f>
        <v>4</v>
      </c>
      <c r="V39" s="36">
        <f>'10月（既存移管合算）'!AE132</f>
        <v>4</v>
      </c>
      <c r="W39" s="36">
        <f>'10月（既存移管合算）'!AF132</f>
        <v>4</v>
      </c>
      <c r="X39" s="36">
        <f>'10月（既存移管合算）'!AG132</f>
        <v>4</v>
      </c>
      <c r="Y39" s="36">
        <f>'10月（既存移管合算）'!AH132</f>
        <v>4</v>
      </c>
      <c r="Z39" s="36">
        <f>'10月（既存移管合算）'!AI132</f>
        <v>4</v>
      </c>
      <c r="AA39" s="36">
        <f>'10月（既存移管合算）'!AJ132</f>
        <v>1</v>
      </c>
      <c r="AB39" s="36">
        <f>'10月（既存移管合算）'!AK132</f>
        <v>1</v>
      </c>
      <c r="AC39" s="36">
        <f>'10月（既存移管合算）'!AL132</f>
        <v>1</v>
      </c>
      <c r="AD39" s="36">
        <f>'10月（既存移管合算）'!AM132</f>
        <v>1</v>
      </c>
      <c r="AE39" s="36">
        <f>'10月（既存移管合算）'!AN132</f>
        <v>2</v>
      </c>
      <c r="AF39" s="36">
        <f>'10月（既存移管合算）'!AO132</f>
        <v>2</v>
      </c>
      <c r="AG39" s="36">
        <f>'10月（既存移管合算）'!AP132</f>
        <v>1</v>
      </c>
      <c r="AH39" s="36">
        <f>'10月（既存移管合算）'!AQ132</f>
        <v>1</v>
      </c>
      <c r="AI39" s="36">
        <f>'10月（既存移管合算）'!AR132</f>
        <v>1</v>
      </c>
      <c r="AJ39" s="36">
        <f>'10月（既存移管合算）'!AS132</f>
        <v>1</v>
      </c>
      <c r="AK39" s="36">
        <f>'10月（既存移管合算）'!AT132</f>
        <v>1</v>
      </c>
      <c r="AL39" s="36">
        <f>'10月（既存移管合算）'!AU132</f>
        <v>2</v>
      </c>
      <c r="AM39" s="36">
        <f>'10月（既存移管合算）'!AV132</f>
        <v>2</v>
      </c>
      <c r="AN39" s="36">
        <f>'10月（既存移管合算）'!AW132</f>
        <v>2</v>
      </c>
      <c r="AO39" s="36">
        <f>'10月（既存移管合算）'!AX132</f>
        <v>2</v>
      </c>
      <c r="AP39" s="36">
        <f>'10月（既存移管合算）'!AY132</f>
        <v>1</v>
      </c>
      <c r="AQ39" s="36">
        <f>'10月（既存移管合算）'!AZ132</f>
        <v>1</v>
      </c>
      <c r="AR39" s="36">
        <f>'10月（既存移管合算）'!BA132</f>
        <v>1</v>
      </c>
      <c r="AS39" s="36">
        <f>'10月（既存移管合算）'!BB132</f>
        <v>2</v>
      </c>
      <c r="AT39" s="36">
        <f>'10月（既存移管合算）'!BC132</f>
        <v>2</v>
      </c>
      <c r="AU39" s="36">
        <f>'10月（既存移管合算）'!BD132</f>
        <v>1</v>
      </c>
      <c r="AV39" s="36">
        <f>'10月（既存移管合算）'!BE132</f>
        <v>1</v>
      </c>
      <c r="AW39" s="10">
        <f t="shared" si="6"/>
        <v>74</v>
      </c>
    </row>
    <row r="40" spans="1:49" ht="22" customHeight="1">
      <c r="A40" s="26" t="s">
        <v>102</v>
      </c>
      <c r="B40" s="27" t="s">
        <v>103</v>
      </c>
      <c r="C40" s="25"/>
      <c r="D40" s="9"/>
      <c r="E40" s="31">
        <v>11000</v>
      </c>
      <c r="F40" s="31">
        <v>11000</v>
      </c>
      <c r="G40" s="31">
        <v>13000</v>
      </c>
      <c r="H40" s="31">
        <v>11000</v>
      </c>
      <c r="I40" s="31">
        <v>11000</v>
      </c>
      <c r="J40" s="31">
        <v>11000</v>
      </c>
      <c r="K40" s="28">
        <v>0.21917808219178081</v>
      </c>
      <c r="L40" s="3">
        <f t="shared" ref="L40:L71" si="7">ROUND(AW40*K40,0)</f>
        <v>19</v>
      </c>
      <c r="M40" s="28">
        <v>0.22500000000000001</v>
      </c>
      <c r="N40" s="28">
        <v>0.21917808219178081</v>
      </c>
      <c r="O40" s="3">
        <f t="shared" ref="O40:O71" si="8">ROUND(AW40*N40,0)</f>
        <v>19</v>
      </c>
      <c r="P40" s="3">
        <f>'10月（既存移管合算）'!Y136</f>
        <v>5</v>
      </c>
      <c r="Q40" s="3">
        <f>'10月（既存移管合算）'!Z136</f>
        <v>5</v>
      </c>
      <c r="R40" s="3">
        <f>'10月（既存移管合算）'!AA136</f>
        <v>5</v>
      </c>
      <c r="S40" s="3">
        <f>'10月（既存移管合算）'!AB136</f>
        <v>5</v>
      </c>
      <c r="T40" s="3">
        <f>'10月（既存移管合算）'!AC136</f>
        <v>5</v>
      </c>
      <c r="U40" s="3">
        <f>'10月（既存移管合算）'!AD136</f>
        <v>5</v>
      </c>
      <c r="V40" s="3">
        <f>'10月（既存移管合算）'!AE136</f>
        <v>5</v>
      </c>
      <c r="W40" s="3">
        <f>'10月（既存移管合算）'!AF136</f>
        <v>5</v>
      </c>
      <c r="X40" s="3">
        <f>'10月（既存移管合算）'!AG136</f>
        <v>5</v>
      </c>
      <c r="Y40" s="3">
        <f>'10月（既存移管合算）'!AH136</f>
        <v>5</v>
      </c>
      <c r="Z40" s="3">
        <f>'10月（既存移管合算）'!AI136</f>
        <v>5</v>
      </c>
      <c r="AA40" s="3">
        <f>'10月（既存移管合算）'!AJ136</f>
        <v>1</v>
      </c>
      <c r="AB40" s="3">
        <f>'10月（既存移管合算）'!AK136</f>
        <v>1</v>
      </c>
      <c r="AC40" s="3">
        <f>'10月（既存移管合算）'!AL136</f>
        <v>1</v>
      </c>
      <c r="AD40" s="3">
        <f>'10月（既存移管合算）'!AM136</f>
        <v>1</v>
      </c>
      <c r="AE40" s="3">
        <f>'10月（既存移管合算）'!AN136</f>
        <v>2</v>
      </c>
      <c r="AF40" s="3">
        <f>'10月（既存移管合算）'!AO136</f>
        <v>2</v>
      </c>
      <c r="AG40" s="3">
        <f>'10月（既存移管合算）'!AP136</f>
        <v>1</v>
      </c>
      <c r="AH40" s="3">
        <f>'10月（既存移管合算）'!AQ136</f>
        <v>1</v>
      </c>
      <c r="AI40" s="3">
        <f>'10月（既存移管合算）'!AR136</f>
        <v>1</v>
      </c>
      <c r="AJ40" s="3">
        <f>'10月（既存移管合算）'!AS136</f>
        <v>1</v>
      </c>
      <c r="AK40" s="3">
        <f>'10月（既存移管合算）'!AT136</f>
        <v>1</v>
      </c>
      <c r="AL40" s="3">
        <f>'10月（既存移管合算）'!AU136</f>
        <v>2</v>
      </c>
      <c r="AM40" s="3">
        <f>'10月（既存移管合算）'!AV136</f>
        <v>2</v>
      </c>
      <c r="AN40" s="3">
        <f>'10月（既存移管合算）'!AW136</f>
        <v>2</v>
      </c>
      <c r="AO40" s="3">
        <f>'10月（既存移管合算）'!AX136</f>
        <v>2</v>
      </c>
      <c r="AP40" s="3">
        <f>'10月（既存移管合算）'!AY136</f>
        <v>1</v>
      </c>
      <c r="AQ40" s="3">
        <f>'10月（既存移管合算）'!AZ136</f>
        <v>1</v>
      </c>
      <c r="AR40" s="3">
        <f>'10月（既存移管合算）'!BA136</f>
        <v>1</v>
      </c>
      <c r="AS40" s="3">
        <f>'10月（既存移管合算）'!BB136</f>
        <v>2</v>
      </c>
      <c r="AT40" s="3">
        <f>'10月（既存移管合算）'!BC136</f>
        <v>2</v>
      </c>
      <c r="AU40" s="3">
        <f>'10月（既存移管合算）'!BD136</f>
        <v>1</v>
      </c>
      <c r="AV40" s="3">
        <f>'10月（既存移管合算）'!BE136</f>
        <v>1</v>
      </c>
      <c r="AW40" s="10">
        <f t="shared" ref="AW40:AW71" si="9">SUM(P40:AV40)</f>
        <v>85</v>
      </c>
    </row>
    <row r="41" spans="1:49" ht="22" customHeight="1">
      <c r="A41" s="34" t="s">
        <v>104</v>
      </c>
      <c r="B41" s="35" t="s">
        <v>105</v>
      </c>
      <c r="C41" s="32"/>
      <c r="D41" s="39"/>
      <c r="E41" s="43">
        <v>18000</v>
      </c>
      <c r="F41" s="43">
        <v>18000</v>
      </c>
      <c r="G41" s="43">
        <v>18000</v>
      </c>
      <c r="H41" s="43">
        <v>18000</v>
      </c>
      <c r="I41" s="43">
        <v>18000</v>
      </c>
      <c r="J41" s="43">
        <v>18000</v>
      </c>
      <c r="K41" s="38">
        <v>7.3529411764705885E-2</v>
      </c>
      <c r="L41" s="36">
        <f t="shared" si="7"/>
        <v>2</v>
      </c>
      <c r="M41" s="38">
        <v>0.107</v>
      </c>
      <c r="N41" s="38">
        <v>7.3529411764705885E-2</v>
      </c>
      <c r="O41" s="36">
        <f t="shared" si="8"/>
        <v>2</v>
      </c>
      <c r="P41" s="36">
        <f>'10月（既存移管合算）'!Y139</f>
        <v>2</v>
      </c>
      <c r="Q41" s="36">
        <f>'10月（既存移管合算）'!Z139</f>
        <v>1</v>
      </c>
      <c r="R41" s="36">
        <f>'10月（既存移管合算）'!AA139</f>
        <v>1</v>
      </c>
      <c r="S41" s="36">
        <f>'10月（既存移管合算）'!AB139</f>
        <v>2</v>
      </c>
      <c r="T41" s="36">
        <f>'10月（既存移管合算）'!AC139</f>
        <v>2</v>
      </c>
      <c r="U41" s="36">
        <f>'10月（既存移管合算）'!AD139</f>
        <v>2</v>
      </c>
      <c r="V41" s="36">
        <f>'10月（既存移管合算）'!AE139</f>
        <v>2</v>
      </c>
      <c r="W41" s="36">
        <f>'10月（既存移管合算）'!AF139</f>
        <v>2</v>
      </c>
      <c r="X41" s="36">
        <f>'10月（既存移管合算）'!AG139</f>
        <v>1</v>
      </c>
      <c r="Y41" s="36">
        <f>'10月（既存移管合算）'!AH139</f>
        <v>1</v>
      </c>
      <c r="Z41" s="36">
        <f>'10月（既存移管合算）'!AI139</f>
        <v>1</v>
      </c>
      <c r="AA41" s="36">
        <f>'10月（既存移管合算）'!AJ139</f>
        <v>1</v>
      </c>
      <c r="AB41" s="36">
        <f>'10月（既存移管合算）'!AK139</f>
        <v>1</v>
      </c>
      <c r="AC41" s="36">
        <f>'10月（既存移管合算）'!AL139</f>
        <v>1</v>
      </c>
      <c r="AD41" s="36">
        <f>'10月（既存移管合算）'!AM139</f>
        <v>1</v>
      </c>
      <c r="AE41" s="36">
        <f>'10月（既存移管合算）'!AN139</f>
        <v>1</v>
      </c>
      <c r="AF41" s="36">
        <f>'10月（既存移管合算）'!AO139</f>
        <v>0</v>
      </c>
      <c r="AG41" s="36">
        <f>'10月（既存移管合算）'!AP139</f>
        <v>0</v>
      </c>
      <c r="AH41" s="36">
        <f>'10月（既存移管合算）'!AQ139</f>
        <v>0</v>
      </c>
      <c r="AI41" s="36">
        <f>'10月（既存移管合算）'!AR139</f>
        <v>0</v>
      </c>
      <c r="AJ41" s="36">
        <f>'10月（既存移管合算）'!AS139</f>
        <v>0</v>
      </c>
      <c r="AK41" s="36">
        <f>'10月（既存移管合算）'!AT139</f>
        <v>0</v>
      </c>
      <c r="AL41" s="36">
        <f>'10月（既存移管合算）'!AU139</f>
        <v>0</v>
      </c>
      <c r="AM41" s="36">
        <f>'10月（既存移管合算）'!AV139</f>
        <v>0</v>
      </c>
      <c r="AN41" s="36">
        <f>'10月（既存移管合算）'!AW139</f>
        <v>0</v>
      </c>
      <c r="AO41" s="36">
        <f>'10月（既存移管合算）'!AX139</f>
        <v>0</v>
      </c>
      <c r="AP41" s="36">
        <f>'10月（既存移管合算）'!AY139</f>
        <v>0</v>
      </c>
      <c r="AQ41" s="36">
        <f>'10月（既存移管合算）'!AZ139</f>
        <v>0</v>
      </c>
      <c r="AR41" s="36">
        <f>'10月（既存移管合算）'!BA139</f>
        <v>0</v>
      </c>
      <c r="AS41" s="36">
        <f>'10月（既存移管合算）'!BB139</f>
        <v>0</v>
      </c>
      <c r="AT41" s="36">
        <f>'10月（既存移管合算）'!BC139</f>
        <v>0</v>
      </c>
      <c r="AU41" s="36">
        <f>'10月（既存移管合算）'!BD139</f>
        <v>0</v>
      </c>
      <c r="AV41" s="36">
        <f>'10月（既存移管合算）'!BE139</f>
        <v>0</v>
      </c>
      <c r="AW41" s="10">
        <f t="shared" si="9"/>
        <v>22</v>
      </c>
    </row>
    <row r="42" spans="1:49" ht="22" customHeight="1">
      <c r="A42" s="26" t="s">
        <v>106</v>
      </c>
      <c r="B42" s="27" t="s">
        <v>107</v>
      </c>
      <c r="C42" s="25"/>
      <c r="D42" s="9"/>
      <c r="E42" s="31">
        <v>5000</v>
      </c>
      <c r="F42" s="31">
        <v>5000</v>
      </c>
      <c r="G42" s="31">
        <v>5000</v>
      </c>
      <c r="H42" s="31">
        <v>5000</v>
      </c>
      <c r="I42" s="31">
        <v>5000</v>
      </c>
      <c r="J42" s="31">
        <v>5000</v>
      </c>
      <c r="K42" s="28">
        <v>8.3333333333333329E-2</v>
      </c>
      <c r="L42" s="3">
        <f t="shared" si="7"/>
        <v>1</v>
      </c>
      <c r="M42" s="28">
        <v>8.3333333333333329E-2</v>
      </c>
      <c r="N42" s="28">
        <v>8.3333333333333329E-2</v>
      </c>
      <c r="O42" s="3">
        <f t="shared" si="8"/>
        <v>1</v>
      </c>
      <c r="P42" s="3">
        <f>'10月（既存移管合算）'!Y142</f>
        <v>1</v>
      </c>
      <c r="Q42" s="3">
        <f>'10月（既存移管合算）'!Z142</f>
        <v>2</v>
      </c>
      <c r="R42" s="3">
        <f>'10月（既存移管合算）'!AA142</f>
        <v>1</v>
      </c>
      <c r="S42" s="3">
        <f>'10月（既存移管合算）'!AB142</f>
        <v>1</v>
      </c>
      <c r="T42" s="3">
        <f>'10月（既存移管合算）'!AC142</f>
        <v>1</v>
      </c>
      <c r="U42" s="3">
        <f>'10月（既存移管合算）'!AD142</f>
        <v>1</v>
      </c>
      <c r="V42" s="3">
        <f>'10月（既存移管合算）'!AE142</f>
        <v>1</v>
      </c>
      <c r="W42" s="3">
        <f>'10月（既存移管合算）'!AF142</f>
        <v>1</v>
      </c>
      <c r="X42" s="3">
        <f>'10月（既存移管合算）'!AG142</f>
        <v>1</v>
      </c>
      <c r="Y42" s="3">
        <f>'10月（既存移管合算）'!AH142</f>
        <v>1</v>
      </c>
      <c r="Z42" s="3">
        <f>'10月（既存移管合算）'!AI142</f>
        <v>1</v>
      </c>
      <c r="AA42" s="3">
        <f>'10月（既存移管合算）'!AJ142</f>
        <v>1</v>
      </c>
      <c r="AB42" s="3">
        <f>'10月（既存移管合算）'!AK142</f>
        <v>1</v>
      </c>
      <c r="AC42" s="3">
        <f>'10月（既存移管合算）'!AL142</f>
        <v>1</v>
      </c>
      <c r="AD42" s="3">
        <f>'10月（既存移管合算）'!AM142</f>
        <v>1</v>
      </c>
      <c r="AE42" s="3">
        <f>'10月（既存移管合算）'!AN142</f>
        <v>1</v>
      </c>
      <c r="AF42" s="3">
        <f>'10月（既存移管合算）'!AO142</f>
        <v>0</v>
      </c>
      <c r="AG42" s="3">
        <f>'10月（既存移管合算）'!AP142</f>
        <v>0</v>
      </c>
      <c r="AH42" s="3">
        <f>'10月（既存移管合算）'!AQ142</f>
        <v>0</v>
      </c>
      <c r="AI42" s="3">
        <f>'10月（既存移管合算）'!AR142</f>
        <v>0</v>
      </c>
      <c r="AJ42" s="3">
        <f>'10月（既存移管合算）'!AS142</f>
        <v>0</v>
      </c>
      <c r="AK42" s="3">
        <f>'10月（既存移管合算）'!AT142</f>
        <v>0</v>
      </c>
      <c r="AL42" s="3">
        <f>'10月（既存移管合算）'!AU142</f>
        <v>0</v>
      </c>
      <c r="AM42" s="3">
        <f>'10月（既存移管合算）'!AV142</f>
        <v>0</v>
      </c>
      <c r="AN42" s="3">
        <f>'10月（既存移管合算）'!AW142</f>
        <v>0</v>
      </c>
      <c r="AO42" s="3">
        <f>'10月（既存移管合算）'!AX142</f>
        <v>0</v>
      </c>
      <c r="AP42" s="3">
        <f>'10月（既存移管合算）'!AY142</f>
        <v>0</v>
      </c>
      <c r="AQ42" s="3">
        <f>'10月（既存移管合算）'!AZ142</f>
        <v>0</v>
      </c>
      <c r="AR42" s="3">
        <f>'10月（既存移管合算）'!BA142</f>
        <v>0</v>
      </c>
      <c r="AS42" s="3">
        <f>'10月（既存移管合算）'!BB142</f>
        <v>0</v>
      </c>
      <c r="AT42" s="3">
        <f>'10月（既存移管合算）'!BC142</f>
        <v>0</v>
      </c>
      <c r="AU42" s="3">
        <f>'10月（既存移管合算）'!BD142</f>
        <v>0</v>
      </c>
      <c r="AV42" s="3">
        <f>'10月（既存移管合算）'!BE142</f>
        <v>0</v>
      </c>
      <c r="AW42" s="10">
        <f t="shared" si="9"/>
        <v>17</v>
      </c>
    </row>
    <row r="43" spans="1:49" ht="22" customHeight="1">
      <c r="A43" s="34" t="s">
        <v>108</v>
      </c>
      <c r="B43" s="35" t="s">
        <v>109</v>
      </c>
      <c r="C43" s="32"/>
      <c r="D43" s="39"/>
      <c r="E43" s="43">
        <v>4000</v>
      </c>
      <c r="F43" s="43">
        <v>4000</v>
      </c>
      <c r="G43" s="43">
        <v>4000</v>
      </c>
      <c r="H43" s="43">
        <v>4000</v>
      </c>
      <c r="I43" s="43">
        <v>4000</v>
      </c>
      <c r="J43" s="43">
        <v>4000</v>
      </c>
      <c r="K43" s="38">
        <v>0.2857142857142857</v>
      </c>
      <c r="L43" s="36">
        <f t="shared" si="7"/>
        <v>5</v>
      </c>
      <c r="M43" s="38">
        <v>0.2857142857142857</v>
      </c>
      <c r="N43" s="38">
        <v>0.2857142857142857</v>
      </c>
      <c r="O43" s="36">
        <f t="shared" si="8"/>
        <v>5</v>
      </c>
      <c r="P43" s="36">
        <f>'10月（既存移管合算）'!Y145</f>
        <v>1</v>
      </c>
      <c r="Q43" s="36">
        <f>'10月（既存移管合算）'!Z145</f>
        <v>1</v>
      </c>
      <c r="R43" s="36">
        <f>'10月（既存移管合算）'!AA145</f>
        <v>1</v>
      </c>
      <c r="S43" s="36">
        <f>'10月（既存移管合算）'!AB145</f>
        <v>1</v>
      </c>
      <c r="T43" s="36">
        <f>'10月（既存移管合算）'!AC145</f>
        <v>1</v>
      </c>
      <c r="U43" s="36">
        <f>'10月（既存移管合算）'!AD145</f>
        <v>1</v>
      </c>
      <c r="V43" s="36">
        <f>'10月（既存移管合算）'!AE145</f>
        <v>1</v>
      </c>
      <c r="W43" s="36">
        <f>'10月（既存移管合算）'!AF145</f>
        <v>1</v>
      </c>
      <c r="X43" s="36">
        <f>'10月（既存移管合算）'!AG145</f>
        <v>1</v>
      </c>
      <c r="Y43" s="36">
        <f>'10月（既存移管合算）'!AH145</f>
        <v>1</v>
      </c>
      <c r="Z43" s="36">
        <f>'10月（既存移管合算）'!AI145</f>
        <v>1</v>
      </c>
      <c r="AA43" s="36">
        <f>'10月（既存移管合算）'!AJ145</f>
        <v>1</v>
      </c>
      <c r="AB43" s="36">
        <f>'10月（既存移管合算）'!AK145</f>
        <v>1</v>
      </c>
      <c r="AC43" s="36">
        <f>'10月（既存移管合算）'!AL145</f>
        <v>1</v>
      </c>
      <c r="AD43" s="36">
        <f>'10月（既存移管合算）'!AM145</f>
        <v>1</v>
      </c>
      <c r="AE43" s="36">
        <f>'10月（既存移管合算）'!AN145</f>
        <v>1</v>
      </c>
      <c r="AF43" s="36">
        <f>'10月（既存移管合算）'!AO145</f>
        <v>1</v>
      </c>
      <c r="AG43" s="36">
        <f>'10月（既存移管合算）'!AP145</f>
        <v>0</v>
      </c>
      <c r="AH43" s="36">
        <f>'10月（既存移管合算）'!AQ145</f>
        <v>0</v>
      </c>
      <c r="AI43" s="36">
        <f>'10月（既存移管合算）'!AR145</f>
        <v>0</v>
      </c>
      <c r="AJ43" s="36">
        <f>'10月（既存移管合算）'!AS145</f>
        <v>0</v>
      </c>
      <c r="AK43" s="36">
        <f>'10月（既存移管合算）'!AT145</f>
        <v>0</v>
      </c>
      <c r="AL43" s="36">
        <f>'10月（既存移管合算）'!AU145</f>
        <v>0</v>
      </c>
      <c r="AM43" s="36">
        <f>'10月（既存移管合算）'!AV145</f>
        <v>0</v>
      </c>
      <c r="AN43" s="36">
        <f>'10月（既存移管合算）'!AW145</f>
        <v>0</v>
      </c>
      <c r="AO43" s="36">
        <f>'10月（既存移管合算）'!AX145</f>
        <v>0</v>
      </c>
      <c r="AP43" s="36">
        <f>'10月（既存移管合算）'!AY145</f>
        <v>0</v>
      </c>
      <c r="AQ43" s="36">
        <f>'10月（既存移管合算）'!AZ145</f>
        <v>0</v>
      </c>
      <c r="AR43" s="36">
        <f>'10月（既存移管合算）'!BA145</f>
        <v>0</v>
      </c>
      <c r="AS43" s="36">
        <f>'10月（既存移管合算）'!BB145</f>
        <v>0</v>
      </c>
      <c r="AT43" s="36">
        <f>'10月（既存移管合算）'!BC145</f>
        <v>0</v>
      </c>
      <c r="AU43" s="36">
        <f>'10月（既存移管合算）'!BD145</f>
        <v>0</v>
      </c>
      <c r="AV43" s="36">
        <f>'10月（既存移管合算）'!BE145</f>
        <v>0</v>
      </c>
      <c r="AW43" s="10">
        <f t="shared" si="9"/>
        <v>17</v>
      </c>
    </row>
    <row r="44" spans="1:49" ht="22" customHeight="1">
      <c r="A44" s="26" t="s">
        <v>110</v>
      </c>
      <c r="B44" s="27" t="s">
        <v>111</v>
      </c>
      <c r="C44" s="25"/>
      <c r="D44" s="9"/>
      <c r="E44" s="31">
        <v>3500</v>
      </c>
      <c r="F44" s="31">
        <v>3500</v>
      </c>
      <c r="G44" s="31">
        <v>3500</v>
      </c>
      <c r="H44" s="31">
        <v>3500</v>
      </c>
      <c r="I44" s="31">
        <v>3500</v>
      </c>
      <c r="J44" s="31">
        <v>3500</v>
      </c>
      <c r="K44" s="28">
        <v>0.1020408163265306</v>
      </c>
      <c r="L44" s="3">
        <f t="shared" si="7"/>
        <v>7</v>
      </c>
      <c r="M44" s="28">
        <v>0.151</v>
      </c>
      <c r="N44" s="28">
        <v>0.1020408163265306</v>
      </c>
      <c r="O44" s="3">
        <f t="shared" si="8"/>
        <v>7</v>
      </c>
      <c r="P44" s="3">
        <f>'10月（既存移管合算）'!Y148</f>
        <v>5</v>
      </c>
      <c r="Q44" s="3">
        <f>'10月（既存移管合算）'!Z148</f>
        <v>5</v>
      </c>
      <c r="R44" s="3">
        <f>'10月（既存移管合算）'!AA148</f>
        <v>5</v>
      </c>
      <c r="S44" s="3">
        <f>'10月（既存移管合算）'!AB148</f>
        <v>4</v>
      </c>
      <c r="T44" s="3">
        <f>'10月（既存移管合算）'!AC148</f>
        <v>4</v>
      </c>
      <c r="U44" s="3">
        <f>'10月（既存移管合算）'!AD148</f>
        <v>4</v>
      </c>
      <c r="V44" s="3">
        <f>'10月（既存移管合算）'!AE148</f>
        <v>4</v>
      </c>
      <c r="W44" s="3">
        <f>'10月（既存移管合算）'!AF148</f>
        <v>4</v>
      </c>
      <c r="X44" s="3">
        <f>'10月（既存移管合算）'!AG148</f>
        <v>5</v>
      </c>
      <c r="Y44" s="3">
        <f>'10月（既存移管合算）'!AH148</f>
        <v>5</v>
      </c>
      <c r="Z44" s="3">
        <f>'10月（既存移管合算）'!AI148</f>
        <v>5</v>
      </c>
      <c r="AA44" s="3">
        <f>'10月（既存移管合算）'!AJ148</f>
        <v>1</v>
      </c>
      <c r="AB44" s="3">
        <f>'10月（既存移管合算）'!AK148</f>
        <v>1</v>
      </c>
      <c r="AC44" s="3">
        <f>'10月（既存移管合算）'!AL148</f>
        <v>1</v>
      </c>
      <c r="AD44" s="3">
        <f>'10月（既存移管合算）'!AM148</f>
        <v>1</v>
      </c>
      <c r="AE44" s="3">
        <f>'10月（既存移管合算）'!AN148</f>
        <v>1</v>
      </c>
      <c r="AF44" s="3">
        <f>'10月（既存移管合算）'!AO148</f>
        <v>1</v>
      </c>
      <c r="AG44" s="3">
        <f>'10月（既存移管合算）'!AP148</f>
        <v>1</v>
      </c>
      <c r="AH44" s="3">
        <f>'10月（既存移管合算）'!AQ148</f>
        <v>1</v>
      </c>
      <c r="AI44" s="3">
        <f>'10月（既存移管合算）'!AR148</f>
        <v>1</v>
      </c>
      <c r="AJ44" s="3">
        <f>'10月（既存移管合算）'!AS148</f>
        <v>1</v>
      </c>
      <c r="AK44" s="3">
        <f>'10月（既存移管合算）'!AT148</f>
        <v>1</v>
      </c>
      <c r="AL44" s="3">
        <f>'10月（既存移管合算）'!AU148</f>
        <v>1</v>
      </c>
      <c r="AM44" s="3">
        <f>'10月（既存移管合算）'!AV148</f>
        <v>1</v>
      </c>
      <c r="AN44" s="3">
        <f>'10月（既存移管合算）'!AW148</f>
        <v>1</v>
      </c>
      <c r="AO44" s="3">
        <f>'10月（既存移管合算）'!AX148</f>
        <v>1</v>
      </c>
      <c r="AP44" s="3">
        <f>'10月（既存移管合算）'!AY148</f>
        <v>1</v>
      </c>
      <c r="AQ44" s="3">
        <f>'10月（既存移管合算）'!AZ148</f>
        <v>1</v>
      </c>
      <c r="AR44" s="3">
        <f>'10月（既存移管合算）'!BA148</f>
        <v>1</v>
      </c>
      <c r="AS44" s="3">
        <f>'10月（既存移管合算）'!BB148</f>
        <v>1</v>
      </c>
      <c r="AT44" s="3">
        <f>'10月（既存移管合算）'!BC148</f>
        <v>1</v>
      </c>
      <c r="AU44" s="3">
        <f>'10月（既存移管合算）'!BD148</f>
        <v>1</v>
      </c>
      <c r="AV44" s="3">
        <f>'10月（既存移管合算）'!BE148</f>
        <v>1</v>
      </c>
      <c r="AW44" s="10">
        <f t="shared" si="9"/>
        <v>72</v>
      </c>
    </row>
    <row r="45" spans="1:49" ht="22" customHeight="1">
      <c r="A45" s="34" t="s">
        <v>112</v>
      </c>
      <c r="B45" s="35" t="s">
        <v>113</v>
      </c>
      <c r="C45" s="32"/>
      <c r="D45" s="39"/>
      <c r="E45" s="43">
        <v>8000</v>
      </c>
      <c r="F45" s="43">
        <v>8000</v>
      </c>
      <c r="G45" s="43">
        <v>8000</v>
      </c>
      <c r="H45" s="43">
        <v>8000</v>
      </c>
      <c r="I45" s="43">
        <v>8000</v>
      </c>
      <c r="J45" s="43">
        <v>8000</v>
      </c>
      <c r="K45" s="38">
        <v>0.29032258064516131</v>
      </c>
      <c r="L45" s="36">
        <f t="shared" si="7"/>
        <v>12</v>
      </c>
      <c r="M45" s="38">
        <v>0.29399999999999998</v>
      </c>
      <c r="N45" s="38">
        <v>0.29032258064516131</v>
      </c>
      <c r="O45" s="36">
        <f t="shared" si="8"/>
        <v>12</v>
      </c>
      <c r="P45" s="36">
        <f>'10月（既存移管合算）'!Y151</f>
        <v>2</v>
      </c>
      <c r="Q45" s="36">
        <f>'10月（既存移管合算）'!Z151</f>
        <v>1</v>
      </c>
      <c r="R45" s="36">
        <f>'10月（既存移管合算）'!AA151</f>
        <v>2</v>
      </c>
      <c r="S45" s="36">
        <f>'10月（既存移管合算）'!AB151</f>
        <v>2</v>
      </c>
      <c r="T45" s="36">
        <f>'10月（既存移管合算）'!AC151</f>
        <v>2</v>
      </c>
      <c r="U45" s="36">
        <f>'10月（既存移管合算）'!AD151</f>
        <v>2</v>
      </c>
      <c r="V45" s="36">
        <f>'10月（既存移管合算）'!AE151</f>
        <v>2</v>
      </c>
      <c r="W45" s="36">
        <f>'10月（既存移管合算）'!AF151</f>
        <v>2</v>
      </c>
      <c r="X45" s="36">
        <f>'10月（既存移管合算）'!AG151</f>
        <v>1</v>
      </c>
      <c r="Y45" s="36">
        <f>'10月（既存移管合算）'!AH151</f>
        <v>2</v>
      </c>
      <c r="Z45" s="36">
        <f>'10月（既存移管合算）'!AI151</f>
        <v>1</v>
      </c>
      <c r="AA45" s="36">
        <f>'10月（既存移管合算）'!AJ151</f>
        <v>2</v>
      </c>
      <c r="AB45" s="36">
        <f>'10月（既存移管合算）'!AK151</f>
        <v>2</v>
      </c>
      <c r="AC45" s="36">
        <f>'10月（既存移管合算）'!AL151</f>
        <v>2</v>
      </c>
      <c r="AD45" s="36">
        <f>'10月（既存移管合算）'!AM151</f>
        <v>2</v>
      </c>
      <c r="AE45" s="36">
        <f>'10月（既存移管合算）'!AN151</f>
        <v>1</v>
      </c>
      <c r="AF45" s="36">
        <f>'10月（既存移管合算）'!AO151</f>
        <v>2</v>
      </c>
      <c r="AG45" s="36">
        <f>'10月（既存移管合算）'!AP151</f>
        <v>1</v>
      </c>
      <c r="AH45" s="36">
        <f>'10月（既存移管合算）'!AQ151</f>
        <v>0</v>
      </c>
      <c r="AI45" s="36">
        <f>'10月（既存移管合算）'!AR151</f>
        <v>0</v>
      </c>
      <c r="AJ45" s="36">
        <f>'10月（既存移管合算）'!AS151</f>
        <v>0</v>
      </c>
      <c r="AK45" s="36">
        <f>'10月（既存移管合算）'!AT151</f>
        <v>0</v>
      </c>
      <c r="AL45" s="36">
        <f>'10月（既存移管合算）'!AU151</f>
        <v>0</v>
      </c>
      <c r="AM45" s="36">
        <f>'10月（既存移管合算）'!AV151</f>
        <v>1</v>
      </c>
      <c r="AN45" s="36">
        <f>'10月（既存移管合算）'!AW151</f>
        <v>1</v>
      </c>
      <c r="AO45" s="36">
        <f>'10月（既存移管合算）'!AX151</f>
        <v>1</v>
      </c>
      <c r="AP45" s="36">
        <f>'10月（既存移管合算）'!AY151</f>
        <v>1</v>
      </c>
      <c r="AQ45" s="36">
        <f>'10月（既存移管合算）'!AZ151</f>
        <v>1</v>
      </c>
      <c r="AR45" s="36">
        <f>'10月（既存移管合算）'!BA151</f>
        <v>1</v>
      </c>
      <c r="AS45" s="36">
        <f>'10月（既存移管合算）'!BB151</f>
        <v>0</v>
      </c>
      <c r="AT45" s="36">
        <f>'10月（既存移管合算）'!BC151</f>
        <v>1</v>
      </c>
      <c r="AU45" s="36">
        <f>'10月（既存移管合算）'!BD151</f>
        <v>1</v>
      </c>
      <c r="AV45" s="36">
        <f>'10月（既存移管合算）'!BE151</f>
        <v>1</v>
      </c>
      <c r="AW45" s="10">
        <f t="shared" si="9"/>
        <v>40</v>
      </c>
    </row>
    <row r="46" spans="1:49" ht="22" customHeight="1">
      <c r="A46" s="26" t="s">
        <v>114</v>
      </c>
      <c r="B46" s="27" t="s">
        <v>115</v>
      </c>
      <c r="C46" s="25"/>
      <c r="D46" s="9"/>
      <c r="E46" s="31">
        <v>5000</v>
      </c>
      <c r="F46" s="31">
        <v>5000</v>
      </c>
      <c r="G46" s="31">
        <v>5000</v>
      </c>
      <c r="H46" s="31">
        <v>5000</v>
      </c>
      <c r="I46" s="31">
        <v>5000</v>
      </c>
      <c r="J46" s="31">
        <v>5000</v>
      </c>
      <c r="K46" s="28">
        <v>0.33333333333333331</v>
      </c>
      <c r="L46" s="3">
        <f t="shared" si="7"/>
        <v>0</v>
      </c>
      <c r="M46" s="28">
        <v>0.33333333333333331</v>
      </c>
      <c r="N46" s="28">
        <v>0.33333333333333331</v>
      </c>
      <c r="O46" s="3">
        <f t="shared" si="8"/>
        <v>0</v>
      </c>
      <c r="P46" s="3">
        <f>'10月（既存移管合算）'!Y154</f>
        <v>0</v>
      </c>
      <c r="Q46" s="3">
        <f>'10月（既存移管合算）'!Z154</f>
        <v>0</v>
      </c>
      <c r="R46" s="3">
        <f>'10月（既存移管合算）'!AA154</f>
        <v>0</v>
      </c>
      <c r="S46" s="3">
        <f>'10月（既存移管合算）'!AB154</f>
        <v>0</v>
      </c>
      <c r="T46" s="3">
        <f>'10月（既存移管合算）'!AC154</f>
        <v>0</v>
      </c>
      <c r="U46" s="3">
        <f>'10月（既存移管合算）'!AD154</f>
        <v>0</v>
      </c>
      <c r="V46" s="3">
        <f>'10月（既存移管合算）'!AE154</f>
        <v>0</v>
      </c>
      <c r="W46" s="3">
        <f>'10月（既存移管合算）'!AF154</f>
        <v>0</v>
      </c>
      <c r="X46" s="3">
        <f>'10月（既存移管合算）'!AG154</f>
        <v>0</v>
      </c>
      <c r="Y46" s="3">
        <f>'10月（既存移管合算）'!AH154</f>
        <v>0</v>
      </c>
      <c r="Z46" s="3">
        <f>'10月（既存移管合算）'!AI154</f>
        <v>0</v>
      </c>
      <c r="AA46" s="3">
        <f>'10月（既存移管合算）'!AJ154</f>
        <v>0</v>
      </c>
      <c r="AB46" s="3">
        <f>'10月（既存移管合算）'!AK154</f>
        <v>0</v>
      </c>
      <c r="AC46" s="3">
        <f>'10月（既存移管合算）'!AL154</f>
        <v>0</v>
      </c>
      <c r="AD46" s="3">
        <f>'10月（既存移管合算）'!AM154</f>
        <v>0</v>
      </c>
      <c r="AE46" s="3">
        <f>'10月（既存移管合算）'!AN154</f>
        <v>0</v>
      </c>
      <c r="AF46" s="3">
        <f>'10月（既存移管合算）'!AO154</f>
        <v>0</v>
      </c>
      <c r="AG46" s="3">
        <f>'10月（既存移管合算）'!AP154</f>
        <v>0</v>
      </c>
      <c r="AH46" s="3">
        <f>'10月（既存移管合算）'!AQ154</f>
        <v>0</v>
      </c>
      <c r="AI46" s="3">
        <f>'10月（既存移管合算）'!AR154</f>
        <v>0</v>
      </c>
      <c r="AJ46" s="3">
        <f>'10月（既存移管合算）'!AS154</f>
        <v>0</v>
      </c>
      <c r="AK46" s="3">
        <f>'10月（既存移管合算）'!AT154</f>
        <v>0</v>
      </c>
      <c r="AL46" s="3">
        <f>'10月（既存移管合算）'!AU154</f>
        <v>0</v>
      </c>
      <c r="AM46" s="3">
        <f>'10月（既存移管合算）'!AV154</f>
        <v>0</v>
      </c>
      <c r="AN46" s="3">
        <f>'10月（既存移管合算）'!AW154</f>
        <v>0</v>
      </c>
      <c r="AO46" s="3">
        <f>'10月（既存移管合算）'!AX154</f>
        <v>0</v>
      </c>
      <c r="AP46" s="3">
        <f>'10月（既存移管合算）'!AY154</f>
        <v>0</v>
      </c>
      <c r="AQ46" s="3">
        <f>'10月（既存移管合算）'!AZ154</f>
        <v>0</v>
      </c>
      <c r="AR46" s="3">
        <f>'10月（既存移管合算）'!BA154</f>
        <v>0</v>
      </c>
      <c r="AS46" s="3">
        <f>'10月（既存移管合算）'!BB154</f>
        <v>0</v>
      </c>
      <c r="AT46" s="3">
        <f>'10月（既存移管合算）'!BC154</f>
        <v>0</v>
      </c>
      <c r="AU46" s="3">
        <f>'10月（既存移管合算）'!BD154</f>
        <v>0</v>
      </c>
      <c r="AV46" s="3">
        <f>'10月（既存移管合算）'!BE154</f>
        <v>0</v>
      </c>
      <c r="AW46" s="10">
        <f t="shared" si="9"/>
        <v>0</v>
      </c>
    </row>
    <row r="47" spans="1:49" ht="22" customHeight="1">
      <c r="A47" s="34" t="s">
        <v>116</v>
      </c>
      <c r="B47" s="35" t="s">
        <v>117</v>
      </c>
      <c r="C47" s="32"/>
      <c r="D47" s="39"/>
      <c r="E47" s="43">
        <v>12000</v>
      </c>
      <c r="F47" s="43">
        <v>12000</v>
      </c>
      <c r="G47" s="43">
        <v>12000</v>
      </c>
      <c r="H47" s="43">
        <v>12000</v>
      </c>
      <c r="I47" s="43">
        <v>12000</v>
      </c>
      <c r="J47" s="43">
        <v>12000</v>
      </c>
      <c r="K47" s="38">
        <v>9.375E-2</v>
      </c>
      <c r="L47" s="36">
        <f t="shared" si="7"/>
        <v>8</v>
      </c>
      <c r="M47" s="38">
        <v>9.375E-2</v>
      </c>
      <c r="N47" s="38">
        <v>9.375E-2</v>
      </c>
      <c r="O47" s="36">
        <f t="shared" si="8"/>
        <v>8</v>
      </c>
      <c r="P47" s="36">
        <f>'10月（既存移管合算）'!Y157</f>
        <v>4</v>
      </c>
      <c r="Q47" s="36">
        <f>'10月（既存移管合算）'!Z157</f>
        <v>3</v>
      </c>
      <c r="R47" s="36">
        <f>'10月（既存移管合算）'!AA157</f>
        <v>3</v>
      </c>
      <c r="S47" s="36">
        <f>'10月（既存移管合算）'!AB157</f>
        <v>4</v>
      </c>
      <c r="T47" s="36">
        <f>'10月（既存移管合算）'!AC157</f>
        <v>4</v>
      </c>
      <c r="U47" s="36">
        <f>'10月（既存移管合算）'!AD157</f>
        <v>4</v>
      </c>
      <c r="V47" s="36">
        <f>'10月（既存移管合算）'!AE157</f>
        <v>4</v>
      </c>
      <c r="W47" s="36">
        <f>'10月（既存移管合算）'!AF157</f>
        <v>4</v>
      </c>
      <c r="X47" s="36">
        <f>'10月（既存移管合算）'!AG157</f>
        <v>3</v>
      </c>
      <c r="Y47" s="36">
        <f>'10月（既存移管合算）'!AH157</f>
        <v>2</v>
      </c>
      <c r="Z47" s="36">
        <f>'10月（既存移管合算）'!AI157</f>
        <v>2</v>
      </c>
      <c r="AA47" s="36">
        <f>'10月（既存移管合算）'!AJ157</f>
        <v>4</v>
      </c>
      <c r="AB47" s="36">
        <f>'10月（既存移管合算）'!AK157</f>
        <v>4</v>
      </c>
      <c r="AC47" s="36">
        <f>'10月（既存移管合算）'!AL157</f>
        <v>4</v>
      </c>
      <c r="AD47" s="36">
        <f>'10月（既存移管合算）'!AM157</f>
        <v>4</v>
      </c>
      <c r="AE47" s="36">
        <f>'10月（既存移管合算）'!AN157</f>
        <v>3</v>
      </c>
      <c r="AF47" s="36">
        <f>'10月（既存移管合算）'!AO157</f>
        <v>2</v>
      </c>
      <c r="AG47" s="36">
        <f>'10月（既存移管合算）'!AP157</f>
        <v>2</v>
      </c>
      <c r="AH47" s="36">
        <f>'10月（既存移管合算）'!AQ157</f>
        <v>3</v>
      </c>
      <c r="AI47" s="36">
        <f>'10月（既存移管合算）'!AR157</f>
        <v>3</v>
      </c>
      <c r="AJ47" s="36">
        <f>'10月（既存移管合算）'!AS157</f>
        <v>3</v>
      </c>
      <c r="AK47" s="36">
        <f>'10月（既存移管合算）'!AT157</f>
        <v>3</v>
      </c>
      <c r="AL47" s="36">
        <f>'10月（既存移管合算）'!AU157</f>
        <v>1</v>
      </c>
      <c r="AM47" s="36">
        <f>'10月（既存移管合算）'!AV157</f>
        <v>1</v>
      </c>
      <c r="AN47" s="36">
        <f>'10月（既存移管合算）'!AW157</f>
        <v>1</v>
      </c>
      <c r="AO47" s="36">
        <f>'10月（既存移管合算）'!AX157</f>
        <v>1</v>
      </c>
      <c r="AP47" s="36">
        <f>'10月（既存移管合算）'!AY157</f>
        <v>1</v>
      </c>
      <c r="AQ47" s="36">
        <f>'10月（既存移管合算）'!AZ157</f>
        <v>1</v>
      </c>
      <c r="AR47" s="36">
        <f>'10月（既存移管合算）'!BA157</f>
        <v>1</v>
      </c>
      <c r="AS47" s="36">
        <f>'10月（既存移管合算）'!BB157</f>
        <v>0</v>
      </c>
      <c r="AT47" s="36">
        <f>'10月（既存移管合算）'!BC157</f>
        <v>0</v>
      </c>
      <c r="AU47" s="36">
        <f>'10月（既存移管合算）'!BD157</f>
        <v>1</v>
      </c>
      <c r="AV47" s="36">
        <f>'10月（既存移管合算）'!BE157</f>
        <v>1</v>
      </c>
      <c r="AW47" s="10">
        <f t="shared" si="9"/>
        <v>81</v>
      </c>
    </row>
    <row r="48" spans="1:49" ht="22" customHeight="1">
      <c r="A48" s="26" t="s">
        <v>118</v>
      </c>
      <c r="B48" s="27" t="s">
        <v>119</v>
      </c>
      <c r="C48" s="25" t="s">
        <v>212</v>
      </c>
      <c r="D48" s="9"/>
      <c r="E48" s="31">
        <v>1300</v>
      </c>
      <c r="F48" s="31">
        <v>1300</v>
      </c>
      <c r="G48" s="31">
        <v>1300</v>
      </c>
      <c r="H48" s="31">
        <v>18000</v>
      </c>
      <c r="I48" s="31">
        <v>18000</v>
      </c>
      <c r="J48" s="31">
        <v>18000</v>
      </c>
      <c r="K48" s="28">
        <v>0.125</v>
      </c>
      <c r="L48" s="3">
        <f t="shared" si="7"/>
        <v>6</v>
      </c>
      <c r="M48" s="28">
        <v>0.13300000000000001</v>
      </c>
      <c r="N48" s="28">
        <v>0.125</v>
      </c>
      <c r="O48" s="3">
        <f t="shared" si="8"/>
        <v>6</v>
      </c>
      <c r="P48" s="3">
        <f>'10月（既存移管合算）'!Y160</f>
        <v>2</v>
      </c>
      <c r="Q48" s="3">
        <f>'10月（既存移管合算）'!Z160</f>
        <v>2</v>
      </c>
      <c r="R48" s="3">
        <f>'10月（既存移管合算）'!AA160</f>
        <v>2</v>
      </c>
      <c r="S48" s="3">
        <f>'10月（既存移管合算）'!AB160</f>
        <v>2</v>
      </c>
      <c r="T48" s="3">
        <f>'10月（既存移管合算）'!AC160</f>
        <v>2</v>
      </c>
      <c r="U48" s="3">
        <f>'10月（既存移管合算）'!AD160</f>
        <v>2</v>
      </c>
      <c r="V48" s="3">
        <f>'10月（既存移管合算）'!AE160</f>
        <v>2</v>
      </c>
      <c r="W48" s="3">
        <f>'10月（既存移管合算）'!AF160</f>
        <v>2</v>
      </c>
      <c r="X48" s="3">
        <f>'10月（既存移管合算）'!AG160</f>
        <v>2</v>
      </c>
      <c r="Y48" s="3">
        <f>'10月（既存移管合算）'!AH160</f>
        <v>2</v>
      </c>
      <c r="Z48" s="3">
        <f>'10月（既存移管合算）'!AI160</f>
        <v>2</v>
      </c>
      <c r="AA48" s="3">
        <f>'10月（既存移管合算）'!AJ160</f>
        <v>1</v>
      </c>
      <c r="AB48" s="3">
        <f>'10月（既存移管合算）'!AK160</f>
        <v>1</v>
      </c>
      <c r="AC48" s="3">
        <f>'10月（既存移管合算）'!AL160</f>
        <v>1</v>
      </c>
      <c r="AD48" s="3">
        <f>'10月（既存移管合算）'!AM160</f>
        <v>1</v>
      </c>
      <c r="AE48" s="3">
        <f>'10月（既存移管合算）'!AN160</f>
        <v>1</v>
      </c>
      <c r="AF48" s="3">
        <f>'10月（既存移管合算）'!AO160</f>
        <v>1</v>
      </c>
      <c r="AG48" s="3">
        <f>'10月（既存移管合算）'!AP160</f>
        <v>1</v>
      </c>
      <c r="AH48" s="3">
        <f>'10月（既存移管合算）'!AQ160</f>
        <v>1</v>
      </c>
      <c r="AI48" s="3">
        <f>'10月（既存移管合算）'!AR160</f>
        <v>1</v>
      </c>
      <c r="AJ48" s="3">
        <f>'10月（既存移管合算）'!AS160</f>
        <v>1</v>
      </c>
      <c r="AK48" s="3">
        <f>'10月（既存移管合算）'!AT160</f>
        <v>1</v>
      </c>
      <c r="AL48" s="3">
        <f>'10月（既存移管合算）'!AU160</f>
        <v>1</v>
      </c>
      <c r="AM48" s="3">
        <f>'10月（既存移管合算）'!AV160</f>
        <v>1</v>
      </c>
      <c r="AN48" s="3">
        <f>'10月（既存移管合算）'!AW160</f>
        <v>1</v>
      </c>
      <c r="AO48" s="3">
        <f>'10月（既存移管合算）'!AX160</f>
        <v>1</v>
      </c>
      <c r="AP48" s="3">
        <f>'10月（既存移管合算）'!AY160</f>
        <v>1</v>
      </c>
      <c r="AQ48" s="3">
        <f>'10月（既存移管合算）'!AZ160</f>
        <v>1</v>
      </c>
      <c r="AR48" s="3">
        <f>'10月（既存移管合算）'!BA160</f>
        <v>1</v>
      </c>
      <c r="AS48" s="3">
        <f>'10月（既存移管合算）'!BB160</f>
        <v>1</v>
      </c>
      <c r="AT48" s="3">
        <f>'10月（既存移管合算）'!BC160</f>
        <v>1</v>
      </c>
      <c r="AU48" s="3">
        <f>'10月（既存移管合算）'!BD160</f>
        <v>1</v>
      </c>
      <c r="AV48" s="3">
        <f>'10月（既存移管合算）'!BE160</f>
        <v>1</v>
      </c>
      <c r="AW48" s="10">
        <f t="shared" si="9"/>
        <v>44</v>
      </c>
    </row>
    <row r="49" spans="1:49" ht="22" customHeight="1">
      <c r="A49" s="34" t="s">
        <v>120</v>
      </c>
      <c r="B49" s="35" t="s">
        <v>121</v>
      </c>
      <c r="C49" s="32" t="s">
        <v>212</v>
      </c>
      <c r="D49" s="39"/>
      <c r="E49" s="43">
        <v>1300</v>
      </c>
      <c r="F49" s="43">
        <v>1300</v>
      </c>
      <c r="G49" s="43">
        <v>1300</v>
      </c>
      <c r="H49" s="43">
        <v>1300</v>
      </c>
      <c r="I49" s="43">
        <v>1300</v>
      </c>
      <c r="J49" s="43">
        <v>1300</v>
      </c>
      <c r="K49" s="38">
        <v>0.66666666666666663</v>
      </c>
      <c r="L49" s="36">
        <f t="shared" si="7"/>
        <v>7</v>
      </c>
      <c r="M49" s="38">
        <v>0.5</v>
      </c>
      <c r="N49" s="38">
        <v>0.66666666666666663</v>
      </c>
      <c r="O49" s="36">
        <f t="shared" si="8"/>
        <v>7</v>
      </c>
      <c r="P49" s="36">
        <f>'10月（既存移管合算）'!Y164</f>
        <v>1</v>
      </c>
      <c r="Q49" s="36">
        <f>'10月（既存移管合算）'!Z164</f>
        <v>1</v>
      </c>
      <c r="R49" s="36">
        <f>'10月（既存移管合算）'!AA164</f>
        <v>1</v>
      </c>
      <c r="S49" s="36">
        <f>'10月（既存移管合算）'!AB164</f>
        <v>1</v>
      </c>
      <c r="T49" s="36">
        <f>'10月（既存移管合算）'!AC164</f>
        <v>1</v>
      </c>
      <c r="U49" s="36">
        <f>'10月（既存移管合算）'!AD164</f>
        <v>1</v>
      </c>
      <c r="V49" s="36">
        <f>'10月（既存移管合算）'!AE164</f>
        <v>1</v>
      </c>
      <c r="W49" s="36">
        <f>'10月（既存移管合算）'!AF164</f>
        <v>1</v>
      </c>
      <c r="X49" s="36">
        <f>'10月（既存移管合算）'!AG164</f>
        <v>1</v>
      </c>
      <c r="Y49" s="36">
        <f>'10月（既存移管合算）'!AH164</f>
        <v>1</v>
      </c>
      <c r="Z49" s="36">
        <f>'10月（既存移管合算）'!AI164</f>
        <v>0</v>
      </c>
      <c r="AA49" s="36">
        <f>'10月（既存移管合算）'!AJ164</f>
        <v>0</v>
      </c>
      <c r="AB49" s="36">
        <f>'10月（既存移管合算）'!AK164</f>
        <v>0</v>
      </c>
      <c r="AC49" s="36">
        <f>'10月（既存移管合算）'!AL164</f>
        <v>0</v>
      </c>
      <c r="AD49" s="36">
        <f>'10月（既存移管合算）'!AM164</f>
        <v>0</v>
      </c>
      <c r="AE49" s="36">
        <f>'10月（既存移管合算）'!AN164</f>
        <v>0</v>
      </c>
      <c r="AF49" s="36">
        <f>'10月（既存移管合算）'!AO164</f>
        <v>0</v>
      </c>
      <c r="AG49" s="36">
        <f>'10月（既存移管合算）'!AP164</f>
        <v>0</v>
      </c>
      <c r="AH49" s="36">
        <f>'10月（既存移管合算）'!AQ164</f>
        <v>0</v>
      </c>
      <c r="AI49" s="36">
        <f>'10月（既存移管合算）'!AR164</f>
        <v>0</v>
      </c>
      <c r="AJ49" s="36">
        <f>'10月（既存移管合算）'!AS164</f>
        <v>0</v>
      </c>
      <c r="AK49" s="36">
        <f>'10月（既存移管合算）'!AT164</f>
        <v>0</v>
      </c>
      <c r="AL49" s="36">
        <f>'10月（既存移管合算）'!AU164</f>
        <v>0</v>
      </c>
      <c r="AM49" s="36">
        <f>'10月（既存移管合算）'!AV164</f>
        <v>0</v>
      </c>
      <c r="AN49" s="36">
        <f>'10月（既存移管合算）'!AW164</f>
        <v>0</v>
      </c>
      <c r="AO49" s="36">
        <f>'10月（既存移管合算）'!AX164</f>
        <v>0</v>
      </c>
      <c r="AP49" s="36">
        <f>'10月（既存移管合算）'!AY164</f>
        <v>0</v>
      </c>
      <c r="AQ49" s="36">
        <f>'10月（既存移管合算）'!AZ164</f>
        <v>0</v>
      </c>
      <c r="AR49" s="36">
        <f>'10月（既存移管合算）'!BA164</f>
        <v>0</v>
      </c>
      <c r="AS49" s="36">
        <f>'10月（既存移管合算）'!BB164</f>
        <v>0</v>
      </c>
      <c r="AT49" s="36">
        <f>'10月（既存移管合算）'!BC164</f>
        <v>0</v>
      </c>
      <c r="AU49" s="36">
        <f>'10月（既存移管合算）'!BD164</f>
        <v>0</v>
      </c>
      <c r="AV49" s="36">
        <f>'10月（既存移管合算）'!BE164</f>
        <v>0</v>
      </c>
      <c r="AW49" s="10">
        <f t="shared" si="9"/>
        <v>10</v>
      </c>
    </row>
    <row r="50" spans="1:49" ht="22" customHeight="1">
      <c r="A50" s="26" t="s">
        <v>122</v>
      </c>
      <c r="B50" s="27" t="s">
        <v>123</v>
      </c>
      <c r="C50" s="25"/>
      <c r="D50" s="9"/>
      <c r="E50" s="31">
        <v>1300</v>
      </c>
      <c r="F50" s="31">
        <v>1300</v>
      </c>
      <c r="G50" s="31">
        <v>1300</v>
      </c>
      <c r="H50" s="31">
        <v>1300</v>
      </c>
      <c r="I50" s="31">
        <v>1300</v>
      </c>
      <c r="J50" s="31">
        <v>1300</v>
      </c>
      <c r="K50" s="28">
        <v>0</v>
      </c>
      <c r="L50" s="3">
        <f t="shared" si="7"/>
        <v>0</v>
      </c>
      <c r="M50" s="28">
        <v>0</v>
      </c>
      <c r="N50" s="28">
        <v>0</v>
      </c>
      <c r="O50" s="3">
        <f t="shared" si="8"/>
        <v>0</v>
      </c>
      <c r="P50" s="3">
        <f>'10月（既存移管合算）'!Y168</f>
        <v>1</v>
      </c>
      <c r="Q50" s="3">
        <f>'10月（既存移管合算）'!Z168</f>
        <v>1</v>
      </c>
      <c r="R50" s="3">
        <f>'10月（既存移管合算）'!AA168</f>
        <v>1</v>
      </c>
      <c r="S50" s="3">
        <f>'10月（既存移管合算）'!AB168</f>
        <v>1</v>
      </c>
      <c r="T50" s="3">
        <f>'10月（既存移管合算）'!AC168</f>
        <v>1</v>
      </c>
      <c r="U50" s="3">
        <f>'10月（既存移管合算）'!AD168</f>
        <v>1</v>
      </c>
      <c r="V50" s="3">
        <f>'10月（既存移管合算）'!AE168</f>
        <v>1</v>
      </c>
      <c r="W50" s="3">
        <f>'10月（既存移管合算）'!AF168</f>
        <v>1</v>
      </c>
      <c r="X50" s="3">
        <f>'10月（既存移管合算）'!AG168</f>
        <v>1</v>
      </c>
      <c r="Y50" s="3">
        <f>'10月（既存移管合算）'!AH168</f>
        <v>1</v>
      </c>
      <c r="Z50" s="3">
        <f>'10月（既存移管合算）'!AI168</f>
        <v>0</v>
      </c>
      <c r="AA50" s="3">
        <f>'10月（既存移管合算）'!AJ168</f>
        <v>0</v>
      </c>
      <c r="AB50" s="3">
        <f>'10月（既存移管合算）'!AK168</f>
        <v>0</v>
      </c>
      <c r="AC50" s="3">
        <f>'10月（既存移管合算）'!AL168</f>
        <v>0</v>
      </c>
      <c r="AD50" s="3">
        <f>'10月（既存移管合算）'!AM168</f>
        <v>0</v>
      </c>
      <c r="AE50" s="3">
        <f>'10月（既存移管合算）'!AN168</f>
        <v>0</v>
      </c>
      <c r="AF50" s="3">
        <f>'10月（既存移管合算）'!AO168</f>
        <v>0</v>
      </c>
      <c r="AG50" s="3">
        <f>'10月（既存移管合算）'!AP168</f>
        <v>0</v>
      </c>
      <c r="AH50" s="3">
        <f>'10月（既存移管合算）'!AQ168</f>
        <v>0</v>
      </c>
      <c r="AI50" s="3">
        <f>'10月（既存移管合算）'!AR168</f>
        <v>0</v>
      </c>
      <c r="AJ50" s="3">
        <f>'10月（既存移管合算）'!AS168</f>
        <v>0</v>
      </c>
      <c r="AK50" s="3">
        <f>'10月（既存移管合算）'!AT168</f>
        <v>0</v>
      </c>
      <c r="AL50" s="3">
        <f>'10月（既存移管合算）'!AU168</f>
        <v>0</v>
      </c>
      <c r="AM50" s="3">
        <f>'10月（既存移管合算）'!AV168</f>
        <v>0</v>
      </c>
      <c r="AN50" s="3">
        <f>'10月（既存移管合算）'!AW168</f>
        <v>0</v>
      </c>
      <c r="AO50" s="3">
        <f>'10月（既存移管合算）'!AX168</f>
        <v>0</v>
      </c>
      <c r="AP50" s="3">
        <f>'10月（既存移管合算）'!AY168</f>
        <v>0</v>
      </c>
      <c r="AQ50" s="3">
        <f>'10月（既存移管合算）'!AZ168</f>
        <v>0</v>
      </c>
      <c r="AR50" s="3">
        <f>'10月（既存移管合算）'!BA168</f>
        <v>0</v>
      </c>
      <c r="AS50" s="3">
        <f>'10月（既存移管合算）'!BB168</f>
        <v>0</v>
      </c>
      <c r="AT50" s="3">
        <f>'10月（既存移管合算）'!BC168</f>
        <v>0</v>
      </c>
      <c r="AU50" s="3">
        <f>'10月（既存移管合算）'!BD168</f>
        <v>0</v>
      </c>
      <c r="AV50" s="3">
        <f>'10月（既存移管合算）'!BE168</f>
        <v>0</v>
      </c>
      <c r="AW50" s="10">
        <f t="shared" si="9"/>
        <v>10</v>
      </c>
    </row>
    <row r="51" spans="1:49" ht="22" customHeight="1">
      <c r="A51" s="34" t="s">
        <v>124</v>
      </c>
      <c r="B51" s="35" t="s">
        <v>125</v>
      </c>
      <c r="C51" s="32"/>
      <c r="D51" s="39"/>
      <c r="E51" s="43">
        <v>1500</v>
      </c>
      <c r="F51" s="43">
        <v>1500</v>
      </c>
      <c r="G51" s="43">
        <v>1500</v>
      </c>
      <c r="H51" s="43">
        <v>1500</v>
      </c>
      <c r="I51" s="43">
        <v>1500</v>
      </c>
      <c r="J51" s="43">
        <v>1500</v>
      </c>
      <c r="K51" s="38">
        <v>0</v>
      </c>
      <c r="L51" s="36">
        <f t="shared" si="7"/>
        <v>0</v>
      </c>
      <c r="M51" s="38">
        <v>0</v>
      </c>
      <c r="N51" s="38">
        <v>0</v>
      </c>
      <c r="O51" s="36">
        <f t="shared" si="8"/>
        <v>0</v>
      </c>
      <c r="P51" s="36">
        <f>'10月（既存移管合算）'!Y171</f>
        <v>0</v>
      </c>
      <c r="Q51" s="36">
        <f>'10月（既存移管合算）'!Z171</f>
        <v>0</v>
      </c>
      <c r="R51" s="36">
        <f>'10月（既存移管合算）'!AA171</f>
        <v>0</v>
      </c>
      <c r="S51" s="36">
        <f>'10月（既存移管合算）'!AB171</f>
        <v>0</v>
      </c>
      <c r="T51" s="36">
        <f>'10月（既存移管合算）'!AC171</f>
        <v>0</v>
      </c>
      <c r="U51" s="36">
        <f>'10月（既存移管合算）'!AD171</f>
        <v>0</v>
      </c>
      <c r="V51" s="36">
        <f>'10月（既存移管合算）'!AE171</f>
        <v>0</v>
      </c>
      <c r="W51" s="36">
        <f>'10月（既存移管合算）'!AF171</f>
        <v>0</v>
      </c>
      <c r="X51" s="36">
        <f>'10月（既存移管合算）'!AG171</f>
        <v>0</v>
      </c>
      <c r="Y51" s="36">
        <f>'10月（既存移管合算）'!AH171</f>
        <v>0</v>
      </c>
      <c r="Z51" s="36">
        <f>'10月（既存移管合算）'!AI171</f>
        <v>0</v>
      </c>
      <c r="AA51" s="36">
        <f>'10月（既存移管合算）'!AJ171</f>
        <v>0</v>
      </c>
      <c r="AB51" s="36">
        <f>'10月（既存移管合算）'!AK171</f>
        <v>0</v>
      </c>
      <c r="AC51" s="36">
        <f>'10月（既存移管合算）'!AL171</f>
        <v>0</v>
      </c>
      <c r="AD51" s="36">
        <f>'10月（既存移管合算）'!AM171</f>
        <v>0</v>
      </c>
      <c r="AE51" s="36">
        <f>'10月（既存移管合算）'!AN171</f>
        <v>0</v>
      </c>
      <c r="AF51" s="36">
        <f>'10月（既存移管合算）'!AO171</f>
        <v>0</v>
      </c>
      <c r="AG51" s="36">
        <f>'10月（既存移管合算）'!AP171</f>
        <v>0</v>
      </c>
      <c r="AH51" s="36">
        <f>'10月（既存移管合算）'!AQ171</f>
        <v>0</v>
      </c>
      <c r="AI51" s="36">
        <f>'10月（既存移管合算）'!AR171</f>
        <v>0</v>
      </c>
      <c r="AJ51" s="36">
        <f>'10月（既存移管合算）'!AS171</f>
        <v>0</v>
      </c>
      <c r="AK51" s="36">
        <f>'10月（既存移管合算）'!AT171</f>
        <v>0</v>
      </c>
      <c r="AL51" s="36">
        <f>'10月（既存移管合算）'!AU171</f>
        <v>0</v>
      </c>
      <c r="AM51" s="36">
        <f>'10月（既存移管合算）'!AV171</f>
        <v>0</v>
      </c>
      <c r="AN51" s="36">
        <f>'10月（既存移管合算）'!AW171</f>
        <v>0</v>
      </c>
      <c r="AO51" s="36">
        <f>'10月（既存移管合算）'!AX171</f>
        <v>0</v>
      </c>
      <c r="AP51" s="36">
        <f>'10月（既存移管合算）'!AY171</f>
        <v>0</v>
      </c>
      <c r="AQ51" s="36">
        <f>'10月（既存移管合算）'!AZ171</f>
        <v>0</v>
      </c>
      <c r="AR51" s="36">
        <f>'10月（既存移管合算）'!BA171</f>
        <v>0</v>
      </c>
      <c r="AS51" s="36">
        <f>'10月（既存移管合算）'!BB171</f>
        <v>0</v>
      </c>
      <c r="AT51" s="36">
        <f>'10月（既存移管合算）'!BC171</f>
        <v>0</v>
      </c>
      <c r="AU51" s="36">
        <f>'10月（既存移管合算）'!BD171</f>
        <v>0</v>
      </c>
      <c r="AV51" s="36">
        <f>'10月（既存移管合算）'!BE171</f>
        <v>0</v>
      </c>
      <c r="AW51" s="10">
        <f t="shared" si="9"/>
        <v>0</v>
      </c>
    </row>
    <row r="52" spans="1:49" ht="22" customHeight="1">
      <c r="A52" s="26" t="s">
        <v>126</v>
      </c>
      <c r="B52" s="27" t="s">
        <v>127</v>
      </c>
      <c r="C52" s="25"/>
      <c r="D52" s="9"/>
      <c r="E52" s="31">
        <v>4000</v>
      </c>
      <c r="F52" s="31">
        <v>4000</v>
      </c>
      <c r="G52" s="31">
        <v>4000</v>
      </c>
      <c r="H52" s="31">
        <v>4000</v>
      </c>
      <c r="I52" s="31">
        <v>4000</v>
      </c>
      <c r="J52" s="31">
        <v>4000</v>
      </c>
      <c r="K52" s="28">
        <v>0.41666666666666669</v>
      </c>
      <c r="L52" s="3">
        <f t="shared" si="7"/>
        <v>4</v>
      </c>
      <c r="M52" s="28">
        <v>0.25</v>
      </c>
      <c r="N52" s="28">
        <v>0.41666666666666669</v>
      </c>
      <c r="O52" s="3">
        <f t="shared" si="8"/>
        <v>4</v>
      </c>
      <c r="P52" s="3">
        <f>'10月（既存移管合算）'!Y174</f>
        <v>1</v>
      </c>
      <c r="Q52" s="3">
        <f>'10月（既存移管合算）'!Z174</f>
        <v>1</v>
      </c>
      <c r="R52" s="3">
        <f>'10月（既存移管合算）'!AA174</f>
        <v>1</v>
      </c>
      <c r="S52" s="3">
        <f>'10月（既存移管合算）'!AB174</f>
        <v>1</v>
      </c>
      <c r="T52" s="3">
        <f>'10月（既存移管合算）'!AC174</f>
        <v>1</v>
      </c>
      <c r="U52" s="3">
        <f>'10月（既存移管合算）'!AD174</f>
        <v>1</v>
      </c>
      <c r="V52" s="3">
        <f>'10月（既存移管合算）'!AE174</f>
        <v>1</v>
      </c>
      <c r="W52" s="3">
        <f>'10月（既存移管合算）'!AF174</f>
        <v>1</v>
      </c>
      <c r="X52" s="3">
        <f>'10月（既存移管合算）'!AG174</f>
        <v>1</v>
      </c>
      <c r="Y52" s="3">
        <f>'10月（既存移管合算）'!AH174</f>
        <v>1</v>
      </c>
      <c r="Z52" s="3">
        <f>'10月（既存移管合算）'!AI174</f>
        <v>0</v>
      </c>
      <c r="AA52" s="3">
        <f>'10月（既存移管合算）'!AJ174</f>
        <v>0</v>
      </c>
      <c r="AB52" s="3">
        <f>'10月（既存移管合算）'!AK174</f>
        <v>0</v>
      </c>
      <c r="AC52" s="3">
        <f>'10月（既存移管合算）'!AL174</f>
        <v>0</v>
      </c>
      <c r="AD52" s="3">
        <f>'10月（既存移管合算）'!AM174</f>
        <v>0</v>
      </c>
      <c r="AE52" s="3">
        <f>'10月（既存移管合算）'!AN174</f>
        <v>0</v>
      </c>
      <c r="AF52" s="3">
        <f>'10月（既存移管合算）'!AO174</f>
        <v>0</v>
      </c>
      <c r="AG52" s="3">
        <f>'10月（既存移管合算）'!AP174</f>
        <v>0</v>
      </c>
      <c r="AH52" s="3">
        <f>'10月（既存移管合算）'!AQ174</f>
        <v>0</v>
      </c>
      <c r="AI52" s="3">
        <f>'10月（既存移管合算）'!AR174</f>
        <v>0</v>
      </c>
      <c r="AJ52" s="3">
        <f>'10月（既存移管合算）'!AS174</f>
        <v>0</v>
      </c>
      <c r="AK52" s="3">
        <f>'10月（既存移管合算）'!AT174</f>
        <v>0</v>
      </c>
      <c r="AL52" s="3">
        <f>'10月（既存移管合算）'!AU174</f>
        <v>0</v>
      </c>
      <c r="AM52" s="3">
        <f>'10月（既存移管合算）'!AV174</f>
        <v>0</v>
      </c>
      <c r="AN52" s="3">
        <f>'10月（既存移管合算）'!AW174</f>
        <v>0</v>
      </c>
      <c r="AO52" s="3">
        <f>'10月（既存移管合算）'!AX174</f>
        <v>0</v>
      </c>
      <c r="AP52" s="3">
        <f>'10月（既存移管合算）'!AY174</f>
        <v>0</v>
      </c>
      <c r="AQ52" s="3">
        <f>'10月（既存移管合算）'!AZ174</f>
        <v>0</v>
      </c>
      <c r="AR52" s="3">
        <f>'10月（既存移管合算）'!BA174</f>
        <v>0</v>
      </c>
      <c r="AS52" s="3">
        <f>'10月（既存移管合算）'!BB174</f>
        <v>0</v>
      </c>
      <c r="AT52" s="3">
        <f>'10月（既存移管合算）'!BC174</f>
        <v>0</v>
      </c>
      <c r="AU52" s="3">
        <f>'10月（既存移管合算）'!BD174</f>
        <v>0</v>
      </c>
      <c r="AV52" s="3">
        <f>'10月（既存移管合算）'!BE174</f>
        <v>0</v>
      </c>
      <c r="AW52" s="10">
        <f t="shared" si="9"/>
        <v>10</v>
      </c>
    </row>
    <row r="53" spans="1:49" ht="22" customHeight="1">
      <c r="A53" s="34" t="s">
        <v>128</v>
      </c>
      <c r="B53" s="35" t="s">
        <v>129</v>
      </c>
      <c r="C53" s="32"/>
      <c r="D53" s="39"/>
      <c r="E53" s="43">
        <v>1300</v>
      </c>
      <c r="F53" s="43">
        <v>1300</v>
      </c>
      <c r="G53" s="43">
        <v>1300</v>
      </c>
      <c r="H53" s="43">
        <v>1300</v>
      </c>
      <c r="I53" s="43">
        <v>1300</v>
      </c>
      <c r="J53" s="43">
        <v>1300</v>
      </c>
      <c r="K53" s="38">
        <v>1</v>
      </c>
      <c r="L53" s="36">
        <f t="shared" si="7"/>
        <v>0</v>
      </c>
      <c r="M53" s="38">
        <v>1</v>
      </c>
      <c r="N53" s="38">
        <v>1</v>
      </c>
      <c r="O53" s="36">
        <f t="shared" si="8"/>
        <v>0</v>
      </c>
      <c r="P53" s="36">
        <f>'10月（既存移管合算）'!Y177</f>
        <v>0</v>
      </c>
      <c r="Q53" s="36">
        <f>'10月（既存移管合算）'!Z177</f>
        <v>0</v>
      </c>
      <c r="R53" s="36">
        <f>'10月（既存移管合算）'!AA177</f>
        <v>0</v>
      </c>
      <c r="S53" s="36">
        <f>'10月（既存移管合算）'!AB177</f>
        <v>0</v>
      </c>
      <c r="T53" s="36">
        <f>'10月（既存移管合算）'!AC177</f>
        <v>0</v>
      </c>
      <c r="U53" s="36">
        <f>'10月（既存移管合算）'!AD177</f>
        <v>0</v>
      </c>
      <c r="V53" s="36">
        <f>'10月（既存移管合算）'!AE177</f>
        <v>0</v>
      </c>
      <c r="W53" s="36">
        <f>'10月（既存移管合算）'!AF177</f>
        <v>0</v>
      </c>
      <c r="X53" s="36">
        <f>'10月（既存移管合算）'!AG177</f>
        <v>0</v>
      </c>
      <c r="Y53" s="36">
        <f>'10月（既存移管合算）'!AH177</f>
        <v>0</v>
      </c>
      <c r="Z53" s="36">
        <f>'10月（既存移管合算）'!AI177</f>
        <v>0</v>
      </c>
      <c r="AA53" s="36">
        <f>'10月（既存移管合算）'!AJ177</f>
        <v>0</v>
      </c>
      <c r="AB53" s="36">
        <f>'10月（既存移管合算）'!AK177</f>
        <v>0</v>
      </c>
      <c r="AC53" s="36">
        <f>'10月（既存移管合算）'!AL177</f>
        <v>0</v>
      </c>
      <c r="AD53" s="36">
        <f>'10月（既存移管合算）'!AM177</f>
        <v>0</v>
      </c>
      <c r="AE53" s="36">
        <f>'10月（既存移管合算）'!AN177</f>
        <v>0</v>
      </c>
      <c r="AF53" s="36">
        <f>'10月（既存移管合算）'!AO177</f>
        <v>0</v>
      </c>
      <c r="AG53" s="36">
        <f>'10月（既存移管合算）'!AP177</f>
        <v>0</v>
      </c>
      <c r="AH53" s="36">
        <f>'10月（既存移管合算）'!AQ177</f>
        <v>0</v>
      </c>
      <c r="AI53" s="36">
        <f>'10月（既存移管合算）'!AR177</f>
        <v>0</v>
      </c>
      <c r="AJ53" s="36">
        <f>'10月（既存移管合算）'!AS177</f>
        <v>0</v>
      </c>
      <c r="AK53" s="36">
        <f>'10月（既存移管合算）'!AT177</f>
        <v>0</v>
      </c>
      <c r="AL53" s="36">
        <f>'10月（既存移管合算）'!AU177</f>
        <v>0</v>
      </c>
      <c r="AM53" s="36">
        <f>'10月（既存移管合算）'!AV177</f>
        <v>0</v>
      </c>
      <c r="AN53" s="36">
        <f>'10月（既存移管合算）'!AW177</f>
        <v>0</v>
      </c>
      <c r="AO53" s="36">
        <f>'10月（既存移管合算）'!AX177</f>
        <v>0</v>
      </c>
      <c r="AP53" s="36">
        <f>'10月（既存移管合算）'!AY177</f>
        <v>0</v>
      </c>
      <c r="AQ53" s="36">
        <f>'10月（既存移管合算）'!AZ177</f>
        <v>0</v>
      </c>
      <c r="AR53" s="36">
        <f>'10月（既存移管合算）'!BA177</f>
        <v>0</v>
      </c>
      <c r="AS53" s="36">
        <f>'10月（既存移管合算）'!BB177</f>
        <v>0</v>
      </c>
      <c r="AT53" s="36">
        <f>'10月（既存移管合算）'!BC177</f>
        <v>0</v>
      </c>
      <c r="AU53" s="36">
        <f>'10月（既存移管合算）'!BD177</f>
        <v>0</v>
      </c>
      <c r="AV53" s="36">
        <f>'10月（既存移管合算）'!BE177</f>
        <v>0</v>
      </c>
      <c r="AW53" s="10">
        <f t="shared" si="9"/>
        <v>0</v>
      </c>
    </row>
    <row r="54" spans="1:49" ht="22" customHeight="1">
      <c r="A54" s="26" t="s">
        <v>130</v>
      </c>
      <c r="B54" s="27" t="s">
        <v>131</v>
      </c>
      <c r="C54" s="25" t="s">
        <v>212</v>
      </c>
      <c r="D54" s="9"/>
      <c r="E54" s="31">
        <v>2400</v>
      </c>
      <c r="F54" s="31">
        <v>2400</v>
      </c>
      <c r="G54" s="31">
        <v>12000</v>
      </c>
      <c r="H54" s="31">
        <v>2400</v>
      </c>
      <c r="I54" s="31">
        <v>2400</v>
      </c>
      <c r="J54" s="31">
        <v>2400</v>
      </c>
      <c r="K54" s="28">
        <v>0.16666666666666671</v>
      </c>
      <c r="L54" s="3">
        <f t="shared" si="7"/>
        <v>3</v>
      </c>
      <c r="M54" s="28">
        <v>0.57099999999999995</v>
      </c>
      <c r="N54" s="28">
        <v>0.16666666666666671</v>
      </c>
      <c r="O54" s="3">
        <f t="shared" si="8"/>
        <v>3</v>
      </c>
      <c r="P54" s="3">
        <f>'10月（既存移管合算）'!Y180</f>
        <v>1</v>
      </c>
      <c r="Q54" s="3">
        <f>'10月（既存移管合算）'!Z180</f>
        <v>2</v>
      </c>
      <c r="R54" s="3">
        <f>'10月（既存移管合算）'!AA180</f>
        <v>2</v>
      </c>
      <c r="S54" s="3">
        <f>'10月（既存移管合算）'!AB180</f>
        <v>2</v>
      </c>
      <c r="T54" s="3">
        <f>'10月（既存移管合算）'!AC180</f>
        <v>2</v>
      </c>
      <c r="U54" s="3">
        <f>'10月（既存移管合算）'!AD180</f>
        <v>2</v>
      </c>
      <c r="V54" s="3">
        <f>'10月（既存移管合算）'!AE180</f>
        <v>2</v>
      </c>
      <c r="W54" s="3">
        <f>'10月（既存移管合算）'!AF180</f>
        <v>1</v>
      </c>
      <c r="X54" s="3">
        <f>'10月（既存移管合算）'!AG180</f>
        <v>2</v>
      </c>
      <c r="Y54" s="3">
        <f>'10月（既存移管合算）'!AH180</f>
        <v>2</v>
      </c>
      <c r="Z54" s="3">
        <f>'10月（既存移管合算）'!AI180</f>
        <v>2</v>
      </c>
      <c r="AA54" s="3">
        <f>'10月（既存移管合算）'!AJ180</f>
        <v>0</v>
      </c>
      <c r="AB54" s="3">
        <f>'10月（既存移管合算）'!AK180</f>
        <v>0</v>
      </c>
      <c r="AC54" s="3">
        <f>'10月（既存移管合算）'!AL180</f>
        <v>0</v>
      </c>
      <c r="AD54" s="3">
        <f>'10月（既存移管合算）'!AM180</f>
        <v>0</v>
      </c>
      <c r="AE54" s="3">
        <f>'10月（既存移管合算）'!AN180</f>
        <v>0</v>
      </c>
      <c r="AF54" s="3">
        <f>'10月（既存移管合算）'!AO180</f>
        <v>0</v>
      </c>
      <c r="AG54" s="3">
        <f>'10月（既存移管合算）'!AP180</f>
        <v>0</v>
      </c>
      <c r="AH54" s="3">
        <f>'10月（既存移管合算）'!AQ180</f>
        <v>0</v>
      </c>
      <c r="AI54" s="3">
        <f>'10月（既存移管合算）'!AR180</f>
        <v>0</v>
      </c>
      <c r="AJ54" s="3">
        <f>'10月（既存移管合算）'!AS180</f>
        <v>0</v>
      </c>
      <c r="AK54" s="3">
        <f>'10月（既存移管合算）'!AT180</f>
        <v>0</v>
      </c>
      <c r="AL54" s="3">
        <f>'10月（既存移管合算）'!AU180</f>
        <v>0</v>
      </c>
      <c r="AM54" s="3">
        <f>'10月（既存移管合算）'!AV180</f>
        <v>0</v>
      </c>
      <c r="AN54" s="3">
        <f>'10月（既存移管合算）'!AW180</f>
        <v>0</v>
      </c>
      <c r="AO54" s="3">
        <f>'10月（既存移管合算）'!AX180</f>
        <v>0</v>
      </c>
      <c r="AP54" s="3">
        <f>'10月（既存移管合算）'!AY180</f>
        <v>0</v>
      </c>
      <c r="AQ54" s="3">
        <f>'10月（既存移管合算）'!AZ180</f>
        <v>0</v>
      </c>
      <c r="AR54" s="3">
        <f>'10月（既存移管合算）'!BA180</f>
        <v>0</v>
      </c>
      <c r="AS54" s="3">
        <f>'10月（既存移管合算）'!BB180</f>
        <v>0</v>
      </c>
      <c r="AT54" s="3">
        <f>'10月（既存移管合算）'!BC180</f>
        <v>0</v>
      </c>
      <c r="AU54" s="3">
        <f>'10月（既存移管合算）'!BD180</f>
        <v>0</v>
      </c>
      <c r="AV54" s="3">
        <f>'10月（既存移管合算）'!BE180</f>
        <v>0</v>
      </c>
      <c r="AW54" s="10">
        <f t="shared" si="9"/>
        <v>20</v>
      </c>
    </row>
    <row r="55" spans="1:49" ht="22" customHeight="1">
      <c r="A55" s="34" t="s">
        <v>132</v>
      </c>
      <c r="B55" s="35" t="s">
        <v>133</v>
      </c>
      <c r="C55" s="32" t="s">
        <v>212</v>
      </c>
      <c r="D55" s="39"/>
      <c r="E55" s="43">
        <v>6000</v>
      </c>
      <c r="F55" s="43">
        <v>6000</v>
      </c>
      <c r="G55" s="43">
        <v>6000</v>
      </c>
      <c r="H55" s="43">
        <v>6000</v>
      </c>
      <c r="I55" s="43">
        <v>6000</v>
      </c>
      <c r="J55" s="43">
        <v>6000</v>
      </c>
      <c r="K55" s="38">
        <v>0.7142857142857143</v>
      </c>
      <c r="L55" s="36">
        <f t="shared" si="7"/>
        <v>7</v>
      </c>
      <c r="M55" s="38">
        <v>0.875</v>
      </c>
      <c r="N55" s="38">
        <v>0.7142857142857143</v>
      </c>
      <c r="O55" s="36">
        <f t="shared" si="8"/>
        <v>7</v>
      </c>
      <c r="P55" s="36">
        <f>'10月（既存移管合算）'!Y184</f>
        <v>1</v>
      </c>
      <c r="Q55" s="36">
        <f>'10月（既存移管合算）'!Z184</f>
        <v>1</v>
      </c>
      <c r="R55" s="36">
        <f>'10月（既存移管合算）'!AA184</f>
        <v>1</v>
      </c>
      <c r="S55" s="36">
        <f>'10月（既存移管合算）'!AB184</f>
        <v>1</v>
      </c>
      <c r="T55" s="36">
        <f>'10月（既存移管合算）'!AC184</f>
        <v>1</v>
      </c>
      <c r="U55" s="36">
        <f>'10月（既存移管合算）'!AD184</f>
        <v>1</v>
      </c>
      <c r="V55" s="36">
        <f>'10月（既存移管合算）'!AE184</f>
        <v>1</v>
      </c>
      <c r="W55" s="36">
        <f>'10月（既存移管合算）'!AF184</f>
        <v>1</v>
      </c>
      <c r="X55" s="36">
        <f>'10月（既存移管合算）'!AG184</f>
        <v>1</v>
      </c>
      <c r="Y55" s="36">
        <f>'10月（既存移管合算）'!AH184</f>
        <v>0</v>
      </c>
      <c r="Z55" s="36">
        <f>'10月（既存移管合算）'!AI184</f>
        <v>0</v>
      </c>
      <c r="AA55" s="36">
        <f>'10月（既存移管合算）'!AJ184</f>
        <v>0</v>
      </c>
      <c r="AB55" s="36">
        <f>'10月（既存移管合算）'!AK184</f>
        <v>0</v>
      </c>
      <c r="AC55" s="36">
        <f>'10月（既存移管合算）'!AL184</f>
        <v>0</v>
      </c>
      <c r="AD55" s="36">
        <f>'10月（既存移管合算）'!AM184</f>
        <v>0</v>
      </c>
      <c r="AE55" s="36">
        <f>'10月（既存移管合算）'!AN184</f>
        <v>0</v>
      </c>
      <c r="AF55" s="36">
        <f>'10月（既存移管合算）'!AO184</f>
        <v>0</v>
      </c>
      <c r="AG55" s="36">
        <f>'10月（既存移管合算）'!AP184</f>
        <v>0</v>
      </c>
      <c r="AH55" s="36">
        <f>'10月（既存移管合算）'!AQ184</f>
        <v>0</v>
      </c>
      <c r="AI55" s="36">
        <f>'10月（既存移管合算）'!AR184</f>
        <v>0</v>
      </c>
      <c r="AJ55" s="36">
        <f>'10月（既存移管合算）'!AS184</f>
        <v>0</v>
      </c>
      <c r="AK55" s="36">
        <f>'10月（既存移管合算）'!AT184</f>
        <v>0</v>
      </c>
      <c r="AL55" s="36">
        <f>'10月（既存移管合算）'!AU184</f>
        <v>0</v>
      </c>
      <c r="AM55" s="36">
        <f>'10月（既存移管合算）'!AV184</f>
        <v>0</v>
      </c>
      <c r="AN55" s="36">
        <f>'10月（既存移管合算）'!AW184</f>
        <v>0</v>
      </c>
      <c r="AO55" s="36">
        <f>'10月（既存移管合算）'!AX184</f>
        <v>0</v>
      </c>
      <c r="AP55" s="36">
        <f>'10月（既存移管合算）'!AY184</f>
        <v>0</v>
      </c>
      <c r="AQ55" s="36">
        <f>'10月（既存移管合算）'!AZ184</f>
        <v>0</v>
      </c>
      <c r="AR55" s="36">
        <f>'10月（既存移管合算）'!BA184</f>
        <v>0</v>
      </c>
      <c r="AS55" s="36">
        <f>'10月（既存移管合算）'!BB184</f>
        <v>0</v>
      </c>
      <c r="AT55" s="36">
        <f>'10月（既存移管合算）'!BC184</f>
        <v>1</v>
      </c>
      <c r="AU55" s="36">
        <f>'10月（既存移管合算）'!BD184</f>
        <v>0</v>
      </c>
      <c r="AV55" s="36">
        <f>'10月（既存移管合算）'!BE184</f>
        <v>0</v>
      </c>
      <c r="AW55" s="10">
        <f t="shared" si="9"/>
        <v>10</v>
      </c>
    </row>
    <row r="56" spans="1:49" ht="22" customHeight="1">
      <c r="A56" s="26" t="s">
        <v>134</v>
      </c>
      <c r="B56" s="27" t="s">
        <v>135</v>
      </c>
      <c r="C56" s="25"/>
      <c r="D56" s="9"/>
      <c r="E56" s="31">
        <v>1300</v>
      </c>
      <c r="F56" s="31">
        <v>1300</v>
      </c>
      <c r="G56" s="31">
        <v>1300</v>
      </c>
      <c r="H56" s="31">
        <v>1300</v>
      </c>
      <c r="I56" s="31">
        <v>1300</v>
      </c>
      <c r="J56" s="31">
        <v>1300</v>
      </c>
      <c r="K56" s="28">
        <v>0.22222222222222221</v>
      </c>
      <c r="L56" s="3">
        <f t="shared" si="7"/>
        <v>2</v>
      </c>
      <c r="M56" s="28">
        <v>0.22222222222222221</v>
      </c>
      <c r="N56" s="28">
        <v>0.22222222222222221</v>
      </c>
      <c r="O56" s="3">
        <f t="shared" si="8"/>
        <v>2</v>
      </c>
      <c r="P56" s="3">
        <f>'10月（既存移管合算）'!Y188</f>
        <v>1</v>
      </c>
      <c r="Q56" s="3">
        <f>'10月（既存移管合算）'!Z188</f>
        <v>3</v>
      </c>
      <c r="R56" s="3">
        <f>'10月（既存移管合算）'!AA188</f>
        <v>1</v>
      </c>
      <c r="S56" s="3">
        <f>'10月（既存移管合算）'!AB188</f>
        <v>1</v>
      </c>
      <c r="T56" s="3">
        <f>'10月（既存移管合算）'!AC188</f>
        <v>1</v>
      </c>
      <c r="U56" s="3">
        <f>'10月（既存移管合算）'!AD188</f>
        <v>1</v>
      </c>
      <c r="V56" s="3">
        <f>'10月（既存移管合算）'!AE188</f>
        <v>0</v>
      </c>
      <c r="W56" s="3">
        <f>'10月（既存移管合算）'!AF188</f>
        <v>0</v>
      </c>
      <c r="X56" s="3">
        <f>'10月（既存移管合算）'!AG188</f>
        <v>2</v>
      </c>
      <c r="Y56" s="3">
        <f>'10月（既存移管合算）'!AH188</f>
        <v>0</v>
      </c>
      <c r="Z56" s="3">
        <f>'10月（既存移管合算）'!AI188</f>
        <v>0</v>
      </c>
      <c r="AA56" s="3">
        <f>'10月（既存移管合算）'!AJ188</f>
        <v>0</v>
      </c>
      <c r="AB56" s="3">
        <f>'10月（既存移管合算）'!AK188</f>
        <v>0</v>
      </c>
      <c r="AC56" s="3">
        <f>'10月（既存移管合算）'!AL188</f>
        <v>0</v>
      </c>
      <c r="AD56" s="3">
        <f>'10月（既存移管合算）'!AM188</f>
        <v>0</v>
      </c>
      <c r="AE56" s="3">
        <f>'10月（既存移管合算）'!AN188</f>
        <v>0</v>
      </c>
      <c r="AF56" s="3">
        <f>'10月（既存移管合算）'!AO188</f>
        <v>0</v>
      </c>
      <c r="AG56" s="3">
        <f>'10月（既存移管合算）'!AP188</f>
        <v>0</v>
      </c>
      <c r="AH56" s="3">
        <f>'10月（既存移管合算）'!AQ188</f>
        <v>0</v>
      </c>
      <c r="AI56" s="3">
        <f>'10月（既存移管合算）'!AR188</f>
        <v>0</v>
      </c>
      <c r="AJ56" s="3">
        <f>'10月（既存移管合算）'!AS188</f>
        <v>0</v>
      </c>
      <c r="AK56" s="3">
        <f>'10月（既存移管合算）'!AT188</f>
        <v>0</v>
      </c>
      <c r="AL56" s="3">
        <f>'10月（既存移管合算）'!AU188</f>
        <v>0</v>
      </c>
      <c r="AM56" s="3">
        <f>'10月（既存移管合算）'!AV188</f>
        <v>0</v>
      </c>
      <c r="AN56" s="3">
        <f>'10月（既存移管合算）'!AW188</f>
        <v>0</v>
      </c>
      <c r="AO56" s="3">
        <f>'10月（既存移管合算）'!AX188</f>
        <v>0</v>
      </c>
      <c r="AP56" s="3">
        <f>'10月（既存移管合算）'!AY188</f>
        <v>0</v>
      </c>
      <c r="AQ56" s="3">
        <f>'10月（既存移管合算）'!AZ188</f>
        <v>0</v>
      </c>
      <c r="AR56" s="3">
        <f>'10月（既存移管合算）'!BA188</f>
        <v>0</v>
      </c>
      <c r="AS56" s="3">
        <f>'10月（既存移管合算）'!BB188</f>
        <v>0</v>
      </c>
      <c r="AT56" s="3">
        <f>'10月（既存移管合算）'!BC188</f>
        <v>0</v>
      </c>
      <c r="AU56" s="3">
        <f>'10月（既存移管合算）'!BD188</f>
        <v>0</v>
      </c>
      <c r="AV56" s="3">
        <f>'10月（既存移管合算）'!BE188</f>
        <v>0</v>
      </c>
      <c r="AW56" s="10">
        <f t="shared" si="9"/>
        <v>10</v>
      </c>
    </row>
    <row r="57" spans="1:49" ht="22" customHeight="1">
      <c r="A57" s="34" t="s">
        <v>136</v>
      </c>
      <c r="B57" s="35" t="s">
        <v>137</v>
      </c>
      <c r="C57" s="32" t="s">
        <v>212</v>
      </c>
      <c r="D57" s="39"/>
      <c r="E57" s="43">
        <v>8000</v>
      </c>
      <c r="F57" s="43">
        <v>8000</v>
      </c>
      <c r="G57" s="43">
        <v>8000</v>
      </c>
      <c r="H57" s="43">
        <v>8000</v>
      </c>
      <c r="I57" s="43">
        <v>8000</v>
      </c>
      <c r="J57" s="43">
        <v>8000</v>
      </c>
      <c r="K57" s="38">
        <v>0.5</v>
      </c>
      <c r="L57" s="36">
        <f t="shared" si="7"/>
        <v>6</v>
      </c>
      <c r="M57" s="38">
        <v>0.5</v>
      </c>
      <c r="N57" s="38">
        <v>0.5</v>
      </c>
      <c r="O57" s="36">
        <f t="shared" si="8"/>
        <v>6</v>
      </c>
      <c r="P57" s="36">
        <f>'10月（既存移管合算）'!Y191</f>
        <v>1</v>
      </c>
      <c r="Q57" s="36">
        <f>'10月（既存移管合算）'!Z191</f>
        <v>1</v>
      </c>
      <c r="R57" s="36">
        <f>'10月（既存移管合算）'!AA191</f>
        <v>1</v>
      </c>
      <c r="S57" s="36">
        <f>'10月（既存移管合算）'!AB191</f>
        <v>1</v>
      </c>
      <c r="T57" s="36">
        <f>'10月（既存移管合算）'!AC191</f>
        <v>1</v>
      </c>
      <c r="U57" s="36">
        <f>'10月（既存移管合算）'!AD191</f>
        <v>1</v>
      </c>
      <c r="V57" s="36">
        <f>'10月（既存移管合算）'!AE191</f>
        <v>1</v>
      </c>
      <c r="W57" s="36">
        <f>'10月（既存移管合算）'!AF191</f>
        <v>1</v>
      </c>
      <c r="X57" s="36">
        <f>'10月（既存移管合算）'!AG191</f>
        <v>1</v>
      </c>
      <c r="Y57" s="36">
        <f>'10月（既存移管合算）'!AH191</f>
        <v>1</v>
      </c>
      <c r="Z57" s="36">
        <f>'10月（既存移管合算）'!AI191</f>
        <v>1</v>
      </c>
      <c r="AA57" s="36">
        <f>'10月（既存移管合算）'!AJ191</f>
        <v>0</v>
      </c>
      <c r="AB57" s="36">
        <f>'10月（既存移管合算）'!AK191</f>
        <v>0</v>
      </c>
      <c r="AC57" s="36">
        <f>'10月（既存移管合算）'!AL191</f>
        <v>0</v>
      </c>
      <c r="AD57" s="36">
        <f>'10月（既存移管合算）'!AM191</f>
        <v>0</v>
      </c>
      <c r="AE57" s="36">
        <f>'10月（既存移管合算）'!AN191</f>
        <v>0</v>
      </c>
      <c r="AF57" s="36">
        <f>'10月（既存移管合算）'!AO191</f>
        <v>0</v>
      </c>
      <c r="AG57" s="36">
        <f>'10月（既存移管合算）'!AP191</f>
        <v>0</v>
      </c>
      <c r="AH57" s="36">
        <f>'10月（既存移管合算）'!AQ191</f>
        <v>0</v>
      </c>
      <c r="AI57" s="36">
        <f>'10月（既存移管合算）'!AR191</f>
        <v>0</v>
      </c>
      <c r="AJ57" s="36">
        <f>'10月（既存移管合算）'!AS191</f>
        <v>0</v>
      </c>
      <c r="AK57" s="36">
        <f>'10月（既存移管合算）'!AT191</f>
        <v>0</v>
      </c>
      <c r="AL57" s="36">
        <f>'10月（既存移管合算）'!AU191</f>
        <v>0</v>
      </c>
      <c r="AM57" s="36">
        <f>'10月（既存移管合算）'!AV191</f>
        <v>0</v>
      </c>
      <c r="AN57" s="36">
        <f>'10月（既存移管合算）'!AW191</f>
        <v>0</v>
      </c>
      <c r="AO57" s="36">
        <f>'10月（既存移管合算）'!AX191</f>
        <v>0</v>
      </c>
      <c r="AP57" s="36">
        <f>'10月（既存移管合算）'!AY191</f>
        <v>0</v>
      </c>
      <c r="AQ57" s="36">
        <f>'10月（既存移管合算）'!AZ191</f>
        <v>0</v>
      </c>
      <c r="AR57" s="36">
        <f>'10月（既存移管合算）'!BA191</f>
        <v>0</v>
      </c>
      <c r="AS57" s="36">
        <f>'10月（既存移管合算）'!BB191</f>
        <v>0</v>
      </c>
      <c r="AT57" s="36">
        <f>'10月（既存移管合算）'!BC191</f>
        <v>0</v>
      </c>
      <c r="AU57" s="36">
        <f>'10月（既存移管合算）'!BD191</f>
        <v>0</v>
      </c>
      <c r="AV57" s="36">
        <f>'10月（既存移管合算）'!BE191</f>
        <v>0</v>
      </c>
      <c r="AW57" s="10">
        <f t="shared" si="9"/>
        <v>11</v>
      </c>
    </row>
    <row r="58" spans="1:49" ht="22" customHeight="1">
      <c r="A58" s="26" t="s">
        <v>138</v>
      </c>
      <c r="B58" s="27" t="s">
        <v>139</v>
      </c>
      <c r="C58" s="25"/>
      <c r="D58" s="9"/>
      <c r="E58" s="31">
        <v>1300</v>
      </c>
      <c r="F58" s="31">
        <v>1300</v>
      </c>
      <c r="G58" s="31">
        <v>1300</v>
      </c>
      <c r="H58" s="31">
        <v>1300</v>
      </c>
      <c r="I58" s="31">
        <v>1300</v>
      </c>
      <c r="J58" s="31">
        <v>1300</v>
      </c>
      <c r="K58" s="28">
        <v>0.5</v>
      </c>
      <c r="L58" s="3">
        <f t="shared" si="7"/>
        <v>0</v>
      </c>
      <c r="M58" s="28">
        <v>0.5</v>
      </c>
      <c r="N58" s="28">
        <v>0.5</v>
      </c>
      <c r="O58" s="3">
        <f t="shared" si="8"/>
        <v>0</v>
      </c>
      <c r="P58" s="3">
        <f>'10月（既存移管合算）'!Y195</f>
        <v>0</v>
      </c>
      <c r="Q58" s="3">
        <f>'10月（既存移管合算）'!Z195</f>
        <v>0</v>
      </c>
      <c r="R58" s="3">
        <f>'10月（既存移管合算）'!AA195</f>
        <v>0</v>
      </c>
      <c r="S58" s="3">
        <f>'10月（既存移管合算）'!AB195</f>
        <v>0</v>
      </c>
      <c r="T58" s="3">
        <f>'10月（既存移管合算）'!AC195</f>
        <v>0</v>
      </c>
      <c r="U58" s="3">
        <f>'10月（既存移管合算）'!AD195</f>
        <v>0</v>
      </c>
      <c r="V58" s="3">
        <f>'10月（既存移管合算）'!AE195</f>
        <v>0</v>
      </c>
      <c r="W58" s="3">
        <f>'10月（既存移管合算）'!AF195</f>
        <v>0</v>
      </c>
      <c r="X58" s="3">
        <f>'10月（既存移管合算）'!AG195</f>
        <v>0</v>
      </c>
      <c r="Y58" s="3">
        <f>'10月（既存移管合算）'!AH195</f>
        <v>0</v>
      </c>
      <c r="Z58" s="3">
        <f>'10月（既存移管合算）'!AI195</f>
        <v>0</v>
      </c>
      <c r="AA58" s="3">
        <f>'10月（既存移管合算）'!AJ195</f>
        <v>0</v>
      </c>
      <c r="AB58" s="3">
        <f>'10月（既存移管合算）'!AK195</f>
        <v>0</v>
      </c>
      <c r="AC58" s="3">
        <f>'10月（既存移管合算）'!AL195</f>
        <v>0</v>
      </c>
      <c r="AD58" s="3">
        <f>'10月（既存移管合算）'!AM195</f>
        <v>0</v>
      </c>
      <c r="AE58" s="3">
        <f>'10月（既存移管合算）'!AN195</f>
        <v>0</v>
      </c>
      <c r="AF58" s="3">
        <f>'10月（既存移管合算）'!AO195</f>
        <v>0</v>
      </c>
      <c r="AG58" s="3">
        <f>'10月（既存移管合算）'!AP195</f>
        <v>0</v>
      </c>
      <c r="AH58" s="3">
        <f>'10月（既存移管合算）'!AQ195</f>
        <v>0</v>
      </c>
      <c r="AI58" s="3">
        <f>'10月（既存移管合算）'!AR195</f>
        <v>0</v>
      </c>
      <c r="AJ58" s="3">
        <f>'10月（既存移管合算）'!AS195</f>
        <v>0</v>
      </c>
      <c r="AK58" s="3">
        <f>'10月（既存移管合算）'!AT195</f>
        <v>0</v>
      </c>
      <c r="AL58" s="3">
        <f>'10月（既存移管合算）'!AU195</f>
        <v>0</v>
      </c>
      <c r="AM58" s="3">
        <f>'10月（既存移管合算）'!AV195</f>
        <v>0</v>
      </c>
      <c r="AN58" s="3">
        <f>'10月（既存移管合算）'!AW195</f>
        <v>0</v>
      </c>
      <c r="AO58" s="3">
        <f>'10月（既存移管合算）'!AX195</f>
        <v>0</v>
      </c>
      <c r="AP58" s="3">
        <f>'10月（既存移管合算）'!AY195</f>
        <v>0</v>
      </c>
      <c r="AQ58" s="3">
        <f>'10月（既存移管合算）'!AZ195</f>
        <v>0</v>
      </c>
      <c r="AR58" s="3">
        <f>'10月（既存移管合算）'!BA195</f>
        <v>0</v>
      </c>
      <c r="AS58" s="3">
        <f>'10月（既存移管合算）'!BB195</f>
        <v>0</v>
      </c>
      <c r="AT58" s="3">
        <f>'10月（既存移管合算）'!BC195</f>
        <v>0</v>
      </c>
      <c r="AU58" s="3">
        <f>'10月（既存移管合算）'!BD195</f>
        <v>0</v>
      </c>
      <c r="AV58" s="3">
        <f>'10月（既存移管合算）'!BE195</f>
        <v>0</v>
      </c>
      <c r="AW58" s="10">
        <f t="shared" si="9"/>
        <v>0</v>
      </c>
    </row>
    <row r="59" spans="1:49" ht="22" customHeight="1">
      <c r="A59" s="34" t="s">
        <v>140</v>
      </c>
      <c r="B59" s="35" t="s">
        <v>141</v>
      </c>
      <c r="C59" s="32"/>
      <c r="D59" s="39"/>
      <c r="E59" s="43">
        <v>7000</v>
      </c>
      <c r="F59" s="43">
        <v>7000</v>
      </c>
      <c r="G59" s="43">
        <v>7000</v>
      </c>
      <c r="H59" s="43">
        <v>7000</v>
      </c>
      <c r="I59" s="43">
        <v>7000</v>
      </c>
      <c r="J59" s="43">
        <v>7000</v>
      </c>
      <c r="K59" s="38">
        <v>0.5</v>
      </c>
      <c r="L59" s="36">
        <f t="shared" si="7"/>
        <v>0</v>
      </c>
      <c r="M59" s="38">
        <v>0.5</v>
      </c>
      <c r="N59" s="38">
        <v>0.5</v>
      </c>
      <c r="O59" s="36">
        <f t="shared" si="8"/>
        <v>0</v>
      </c>
      <c r="P59" s="36">
        <f>'10月（既存移管合算）'!Y198</f>
        <v>0</v>
      </c>
      <c r="Q59" s="36">
        <f>'10月（既存移管合算）'!Z198</f>
        <v>0</v>
      </c>
      <c r="R59" s="36">
        <f>'10月（既存移管合算）'!AA198</f>
        <v>0</v>
      </c>
      <c r="S59" s="36">
        <f>'10月（既存移管合算）'!AB198</f>
        <v>0</v>
      </c>
      <c r="T59" s="36">
        <f>'10月（既存移管合算）'!AC198</f>
        <v>0</v>
      </c>
      <c r="U59" s="36">
        <f>'10月（既存移管合算）'!AD198</f>
        <v>0</v>
      </c>
      <c r="V59" s="36">
        <f>'10月（既存移管合算）'!AE198</f>
        <v>0</v>
      </c>
      <c r="W59" s="36">
        <f>'10月（既存移管合算）'!AF198</f>
        <v>0</v>
      </c>
      <c r="X59" s="36">
        <f>'10月（既存移管合算）'!AG198</f>
        <v>0</v>
      </c>
      <c r="Y59" s="36">
        <f>'10月（既存移管合算）'!AH198</f>
        <v>0</v>
      </c>
      <c r="Z59" s="36">
        <f>'10月（既存移管合算）'!AI198</f>
        <v>0</v>
      </c>
      <c r="AA59" s="36">
        <f>'10月（既存移管合算）'!AJ198</f>
        <v>0</v>
      </c>
      <c r="AB59" s="36">
        <f>'10月（既存移管合算）'!AK198</f>
        <v>0</v>
      </c>
      <c r="AC59" s="36">
        <f>'10月（既存移管合算）'!AL198</f>
        <v>0</v>
      </c>
      <c r="AD59" s="36">
        <f>'10月（既存移管合算）'!AM198</f>
        <v>0</v>
      </c>
      <c r="AE59" s="36">
        <f>'10月（既存移管合算）'!AN198</f>
        <v>0</v>
      </c>
      <c r="AF59" s="36">
        <f>'10月（既存移管合算）'!AO198</f>
        <v>0</v>
      </c>
      <c r="AG59" s="36">
        <f>'10月（既存移管合算）'!AP198</f>
        <v>0</v>
      </c>
      <c r="AH59" s="36">
        <f>'10月（既存移管合算）'!AQ198</f>
        <v>0</v>
      </c>
      <c r="AI59" s="36">
        <f>'10月（既存移管合算）'!AR198</f>
        <v>0</v>
      </c>
      <c r="AJ59" s="36">
        <f>'10月（既存移管合算）'!AS198</f>
        <v>0</v>
      </c>
      <c r="AK59" s="36">
        <f>'10月（既存移管合算）'!AT198</f>
        <v>0</v>
      </c>
      <c r="AL59" s="36">
        <f>'10月（既存移管合算）'!AU198</f>
        <v>0</v>
      </c>
      <c r="AM59" s="36">
        <f>'10月（既存移管合算）'!AV198</f>
        <v>0</v>
      </c>
      <c r="AN59" s="36">
        <f>'10月（既存移管合算）'!AW198</f>
        <v>0</v>
      </c>
      <c r="AO59" s="36">
        <f>'10月（既存移管合算）'!AX198</f>
        <v>0</v>
      </c>
      <c r="AP59" s="36">
        <f>'10月（既存移管合算）'!AY198</f>
        <v>0</v>
      </c>
      <c r="AQ59" s="36">
        <f>'10月（既存移管合算）'!AZ198</f>
        <v>0</v>
      </c>
      <c r="AR59" s="36">
        <f>'10月（既存移管合算）'!BA198</f>
        <v>0</v>
      </c>
      <c r="AS59" s="36">
        <f>'10月（既存移管合算）'!BB198</f>
        <v>0</v>
      </c>
      <c r="AT59" s="36">
        <f>'10月（既存移管合算）'!BC198</f>
        <v>0</v>
      </c>
      <c r="AU59" s="36">
        <f>'10月（既存移管合算）'!BD198</f>
        <v>0</v>
      </c>
      <c r="AV59" s="36">
        <f>'10月（既存移管合算）'!BE198</f>
        <v>0</v>
      </c>
      <c r="AW59" s="10">
        <f t="shared" si="9"/>
        <v>0</v>
      </c>
    </row>
    <row r="60" spans="1:49" ht="22" customHeight="1">
      <c r="A60" s="26" t="s">
        <v>142</v>
      </c>
      <c r="B60" s="27" t="s">
        <v>143</v>
      </c>
      <c r="C60" s="25"/>
      <c r="D60" s="9"/>
      <c r="E60" s="31">
        <v>6000</v>
      </c>
      <c r="F60" s="31">
        <v>6000</v>
      </c>
      <c r="G60" s="31">
        <v>6000</v>
      </c>
      <c r="H60" s="31">
        <v>6000</v>
      </c>
      <c r="I60" s="31">
        <v>6000</v>
      </c>
      <c r="J60" s="31">
        <v>6000</v>
      </c>
      <c r="K60" s="28">
        <v>0</v>
      </c>
      <c r="L60" s="3">
        <f t="shared" si="7"/>
        <v>0</v>
      </c>
      <c r="M60" s="28">
        <v>0</v>
      </c>
      <c r="N60" s="28">
        <v>0</v>
      </c>
      <c r="O60" s="3">
        <f t="shared" si="8"/>
        <v>0</v>
      </c>
      <c r="P60" s="3">
        <f>'10月（既存移管合算）'!Y201</f>
        <v>1</v>
      </c>
      <c r="Q60" s="3">
        <f>'10月（既存移管合算）'!Z201</f>
        <v>1</v>
      </c>
      <c r="R60" s="3">
        <f>'10月（既存移管合算）'!AA201</f>
        <v>1</v>
      </c>
      <c r="S60" s="3">
        <f>'10月（既存移管合算）'!AB201</f>
        <v>1</v>
      </c>
      <c r="T60" s="3">
        <f>'10月（既存移管合算）'!AC201</f>
        <v>1</v>
      </c>
      <c r="U60" s="3">
        <f>'10月（既存移管合算）'!AD201</f>
        <v>1</v>
      </c>
      <c r="V60" s="3">
        <f>'10月（既存移管合算）'!AE201</f>
        <v>1</v>
      </c>
      <c r="W60" s="3">
        <f>'10月（既存移管合算）'!AF201</f>
        <v>1</v>
      </c>
      <c r="X60" s="3">
        <f>'10月（既存移管合算）'!AG201</f>
        <v>1</v>
      </c>
      <c r="Y60" s="3">
        <f>'10月（既存移管合算）'!AH201</f>
        <v>1</v>
      </c>
      <c r="Z60" s="3">
        <f>'10月（既存移管合算）'!AI201</f>
        <v>1</v>
      </c>
      <c r="AA60" s="3">
        <f>'10月（既存移管合算）'!AJ201</f>
        <v>0</v>
      </c>
      <c r="AB60" s="3">
        <f>'10月（既存移管合算）'!AK201</f>
        <v>0</v>
      </c>
      <c r="AC60" s="3">
        <f>'10月（既存移管合算）'!AL201</f>
        <v>0</v>
      </c>
      <c r="AD60" s="3">
        <f>'10月（既存移管合算）'!AM201</f>
        <v>0</v>
      </c>
      <c r="AE60" s="3">
        <f>'10月（既存移管合算）'!AN201</f>
        <v>0</v>
      </c>
      <c r="AF60" s="3">
        <f>'10月（既存移管合算）'!AO201</f>
        <v>0</v>
      </c>
      <c r="AG60" s="3">
        <f>'10月（既存移管合算）'!AP201</f>
        <v>0</v>
      </c>
      <c r="AH60" s="3">
        <f>'10月（既存移管合算）'!AQ201</f>
        <v>0</v>
      </c>
      <c r="AI60" s="3">
        <f>'10月（既存移管合算）'!AR201</f>
        <v>0</v>
      </c>
      <c r="AJ60" s="3">
        <f>'10月（既存移管合算）'!AS201</f>
        <v>0</v>
      </c>
      <c r="AK60" s="3">
        <f>'10月（既存移管合算）'!AT201</f>
        <v>0</v>
      </c>
      <c r="AL60" s="3">
        <f>'10月（既存移管合算）'!AU201</f>
        <v>0</v>
      </c>
      <c r="AM60" s="3">
        <f>'10月（既存移管合算）'!AV201</f>
        <v>0</v>
      </c>
      <c r="AN60" s="3">
        <f>'10月（既存移管合算）'!AW201</f>
        <v>0</v>
      </c>
      <c r="AO60" s="3">
        <f>'10月（既存移管合算）'!AX201</f>
        <v>0</v>
      </c>
      <c r="AP60" s="3">
        <f>'10月（既存移管合算）'!AY201</f>
        <v>0</v>
      </c>
      <c r="AQ60" s="3">
        <f>'10月（既存移管合算）'!AZ201</f>
        <v>0</v>
      </c>
      <c r="AR60" s="3">
        <f>'10月（既存移管合算）'!BA201</f>
        <v>0</v>
      </c>
      <c r="AS60" s="3">
        <f>'10月（既存移管合算）'!BB201</f>
        <v>0</v>
      </c>
      <c r="AT60" s="3">
        <f>'10月（既存移管合算）'!BC201</f>
        <v>0</v>
      </c>
      <c r="AU60" s="3">
        <f>'10月（既存移管合算）'!BD201</f>
        <v>0</v>
      </c>
      <c r="AV60" s="3">
        <f>'10月（既存移管合算）'!BE201</f>
        <v>0</v>
      </c>
      <c r="AW60" s="10">
        <f t="shared" si="9"/>
        <v>11</v>
      </c>
    </row>
    <row r="61" spans="1:49" ht="22" customHeight="1">
      <c r="A61" s="34" t="s">
        <v>144</v>
      </c>
      <c r="B61" s="35" t="s">
        <v>145</v>
      </c>
      <c r="C61" s="32"/>
      <c r="D61" s="39"/>
      <c r="E61" s="43">
        <v>18000</v>
      </c>
      <c r="F61" s="43">
        <v>18000</v>
      </c>
      <c r="G61" s="43">
        <v>2600</v>
      </c>
      <c r="H61" s="43">
        <v>18000</v>
      </c>
      <c r="I61" s="43">
        <v>18000</v>
      </c>
      <c r="J61" s="43">
        <v>18000</v>
      </c>
      <c r="K61" s="38">
        <v>0.21875</v>
      </c>
      <c r="L61" s="36">
        <f t="shared" si="7"/>
        <v>11</v>
      </c>
      <c r="M61" s="38">
        <v>0.33</v>
      </c>
      <c r="N61" s="38">
        <v>0.21875</v>
      </c>
      <c r="O61" s="36">
        <f t="shared" si="8"/>
        <v>11</v>
      </c>
      <c r="P61" s="36">
        <f>'10月（既存移管合算）'!Y204</f>
        <v>5</v>
      </c>
      <c r="Q61" s="36">
        <f>'10月（既存移管合算）'!Z204</f>
        <v>5</v>
      </c>
      <c r="R61" s="36">
        <f>'10月（既存移管合算）'!AA204</f>
        <v>5</v>
      </c>
      <c r="S61" s="36">
        <f>'10月（既存移管合算）'!AB204</f>
        <v>4</v>
      </c>
      <c r="T61" s="36">
        <f>'10月（既存移管合算）'!AC204</f>
        <v>4</v>
      </c>
      <c r="U61" s="36">
        <f>'10月（既存移管合算）'!AD204</f>
        <v>4</v>
      </c>
      <c r="V61" s="36">
        <f>'10月（既存移管合算）'!AE204</f>
        <v>4</v>
      </c>
      <c r="W61" s="36">
        <f>'10月（既存移管合算）'!AF204</f>
        <v>4</v>
      </c>
      <c r="X61" s="36">
        <f>'10月（既存移管合算）'!AG204</f>
        <v>5</v>
      </c>
      <c r="Y61" s="36">
        <f>'10月（既存移管合算）'!AH204</f>
        <v>5</v>
      </c>
      <c r="Z61" s="36">
        <f>'10月（既存移管合算）'!AI204</f>
        <v>5</v>
      </c>
      <c r="AA61" s="36">
        <f>'10月（既存移管合算）'!AJ204</f>
        <v>0</v>
      </c>
      <c r="AB61" s="36">
        <f>'10月（既存移管合算）'!AK204</f>
        <v>0</v>
      </c>
      <c r="AC61" s="36">
        <f>'10月（既存移管合算）'!AL204</f>
        <v>0</v>
      </c>
      <c r="AD61" s="36">
        <f>'10月（既存移管合算）'!AM204</f>
        <v>0</v>
      </c>
      <c r="AE61" s="36">
        <f>'10月（既存移管合算）'!AN204</f>
        <v>0</v>
      </c>
      <c r="AF61" s="36">
        <f>'10月（既存移管合算）'!AO204</f>
        <v>0</v>
      </c>
      <c r="AG61" s="36">
        <f>'10月（既存移管合算）'!AP204</f>
        <v>0</v>
      </c>
      <c r="AH61" s="36">
        <f>'10月（既存移管合算）'!AQ204</f>
        <v>0</v>
      </c>
      <c r="AI61" s="36">
        <f>'10月（既存移管合算）'!AR204</f>
        <v>0</v>
      </c>
      <c r="AJ61" s="36">
        <f>'10月（既存移管合算）'!AS204</f>
        <v>0</v>
      </c>
      <c r="AK61" s="36">
        <f>'10月（既存移管合算）'!AT204</f>
        <v>0</v>
      </c>
      <c r="AL61" s="36">
        <f>'10月（既存移管合算）'!AU204</f>
        <v>0</v>
      </c>
      <c r="AM61" s="36">
        <f>'10月（既存移管合算）'!AV204</f>
        <v>0</v>
      </c>
      <c r="AN61" s="36">
        <f>'10月（既存移管合算）'!AW204</f>
        <v>0</v>
      </c>
      <c r="AO61" s="36">
        <f>'10月（既存移管合算）'!AX204</f>
        <v>0</v>
      </c>
      <c r="AP61" s="36">
        <f>'10月（既存移管合算）'!AY204</f>
        <v>0</v>
      </c>
      <c r="AQ61" s="36">
        <f>'10月（既存移管合算）'!AZ204</f>
        <v>0</v>
      </c>
      <c r="AR61" s="36">
        <f>'10月（既存移管合算）'!BA204</f>
        <v>0</v>
      </c>
      <c r="AS61" s="36">
        <f>'10月（既存移管合算）'!BB204</f>
        <v>0</v>
      </c>
      <c r="AT61" s="36">
        <f>'10月（既存移管合算）'!BC204</f>
        <v>0</v>
      </c>
      <c r="AU61" s="36">
        <f>'10月（既存移管合算）'!BD204</f>
        <v>0</v>
      </c>
      <c r="AV61" s="36">
        <f>'10月（既存移管合算）'!BE204</f>
        <v>0</v>
      </c>
      <c r="AW61" s="10">
        <f t="shared" si="9"/>
        <v>50</v>
      </c>
    </row>
    <row r="62" spans="1:49" ht="22" customHeight="1">
      <c r="A62" s="26" t="s">
        <v>146</v>
      </c>
      <c r="B62" s="27" t="s">
        <v>147</v>
      </c>
      <c r="C62" s="25"/>
      <c r="D62" s="9"/>
      <c r="E62" s="31">
        <v>8500</v>
      </c>
      <c r="F62" s="31">
        <v>8500</v>
      </c>
      <c r="G62" s="31">
        <v>8500</v>
      </c>
      <c r="H62" s="31">
        <v>8500</v>
      </c>
      <c r="I62" s="31">
        <v>8500</v>
      </c>
      <c r="J62" s="31">
        <v>8500</v>
      </c>
      <c r="K62" s="28">
        <v>0.36842105263157893</v>
      </c>
      <c r="L62" s="3">
        <f t="shared" si="7"/>
        <v>4</v>
      </c>
      <c r="M62" s="28">
        <v>0.14299999999999999</v>
      </c>
      <c r="N62" s="28">
        <v>0.36842105263157893</v>
      </c>
      <c r="O62" s="3">
        <f t="shared" si="8"/>
        <v>4</v>
      </c>
      <c r="P62" s="3">
        <f>'10月（既存移管合算）'!Y207</f>
        <v>1</v>
      </c>
      <c r="Q62" s="3">
        <f>'10月（既存移管合算）'!Z207</f>
        <v>1</v>
      </c>
      <c r="R62" s="3">
        <f>'10月（既存移管合算）'!AA207</f>
        <v>1</v>
      </c>
      <c r="S62" s="3">
        <f>'10月（既存移管合算）'!AB207</f>
        <v>1</v>
      </c>
      <c r="T62" s="3">
        <f>'10月（既存移管合算）'!AC207</f>
        <v>1</v>
      </c>
      <c r="U62" s="3">
        <f>'10月（既存移管合算）'!AD207</f>
        <v>1</v>
      </c>
      <c r="V62" s="3">
        <f>'10月（既存移管合算）'!AE207</f>
        <v>1</v>
      </c>
      <c r="W62" s="3">
        <f>'10月（既存移管合算）'!AF207</f>
        <v>1</v>
      </c>
      <c r="X62" s="3">
        <f>'10月（既存移管合算）'!AG207</f>
        <v>1</v>
      </c>
      <c r="Y62" s="3">
        <f>'10月（既存移管合算）'!AH207</f>
        <v>1</v>
      </c>
      <c r="Z62" s="3">
        <f>'10月（既存移管合算）'!AI207</f>
        <v>1</v>
      </c>
      <c r="AA62" s="3">
        <f>'10月（既存移管合算）'!AJ207</f>
        <v>0</v>
      </c>
      <c r="AB62" s="3">
        <f>'10月（既存移管合算）'!AK207</f>
        <v>0</v>
      </c>
      <c r="AC62" s="3">
        <f>'10月（既存移管合算）'!AL207</f>
        <v>0</v>
      </c>
      <c r="AD62" s="3">
        <f>'10月（既存移管合算）'!AM207</f>
        <v>0</v>
      </c>
      <c r="AE62" s="3">
        <f>'10月（既存移管合算）'!AN207</f>
        <v>0</v>
      </c>
      <c r="AF62" s="3">
        <f>'10月（既存移管合算）'!AO207</f>
        <v>0</v>
      </c>
      <c r="AG62" s="3">
        <f>'10月（既存移管合算）'!AP207</f>
        <v>0</v>
      </c>
      <c r="AH62" s="3">
        <f>'10月（既存移管合算）'!AQ207</f>
        <v>0</v>
      </c>
      <c r="AI62" s="3">
        <f>'10月（既存移管合算）'!AR207</f>
        <v>0</v>
      </c>
      <c r="AJ62" s="3">
        <f>'10月（既存移管合算）'!AS207</f>
        <v>0</v>
      </c>
      <c r="AK62" s="3">
        <f>'10月（既存移管合算）'!AT207</f>
        <v>0</v>
      </c>
      <c r="AL62" s="3">
        <f>'10月（既存移管合算）'!AU207</f>
        <v>0</v>
      </c>
      <c r="AM62" s="3">
        <f>'10月（既存移管合算）'!AV207</f>
        <v>0</v>
      </c>
      <c r="AN62" s="3">
        <f>'10月（既存移管合算）'!AW207</f>
        <v>0</v>
      </c>
      <c r="AO62" s="3">
        <f>'10月（既存移管合算）'!AX207</f>
        <v>0</v>
      </c>
      <c r="AP62" s="3">
        <f>'10月（既存移管合算）'!AY207</f>
        <v>0</v>
      </c>
      <c r="AQ62" s="3">
        <f>'10月（既存移管合算）'!AZ207</f>
        <v>0</v>
      </c>
      <c r="AR62" s="3">
        <f>'10月（既存移管合算）'!BA207</f>
        <v>0</v>
      </c>
      <c r="AS62" s="3">
        <f>'10月（既存移管合算）'!BB207</f>
        <v>0</v>
      </c>
      <c r="AT62" s="3">
        <f>'10月（既存移管合算）'!BC207</f>
        <v>0</v>
      </c>
      <c r="AU62" s="3">
        <f>'10月（既存移管合算）'!BD207</f>
        <v>0</v>
      </c>
      <c r="AV62" s="3">
        <f>'10月（既存移管合算）'!BE207</f>
        <v>0</v>
      </c>
      <c r="AW62" s="10">
        <f t="shared" si="9"/>
        <v>11</v>
      </c>
    </row>
    <row r="63" spans="1:49" ht="22" customHeight="1">
      <c r="A63" s="34" t="s">
        <v>148</v>
      </c>
      <c r="B63" s="35" t="s">
        <v>149</v>
      </c>
      <c r="C63" s="32" t="s">
        <v>212</v>
      </c>
      <c r="D63" s="39"/>
      <c r="E63" s="43">
        <v>13000</v>
      </c>
      <c r="F63" s="43">
        <v>13000</v>
      </c>
      <c r="G63" s="43">
        <v>14000</v>
      </c>
      <c r="H63" s="43">
        <v>14000</v>
      </c>
      <c r="I63" s="43">
        <v>14000</v>
      </c>
      <c r="J63" s="43">
        <v>14000</v>
      </c>
      <c r="K63" s="38">
        <v>0.51111111111111107</v>
      </c>
      <c r="L63" s="36">
        <f t="shared" si="7"/>
        <v>73</v>
      </c>
      <c r="M63" s="38">
        <v>0.55000000000000004</v>
      </c>
      <c r="N63" s="38">
        <v>0.51111111111111107</v>
      </c>
      <c r="O63" s="36">
        <f t="shared" si="8"/>
        <v>73</v>
      </c>
      <c r="P63" s="36">
        <f>'10月（既存移管合算）'!Y210</f>
        <v>5</v>
      </c>
      <c r="Q63" s="36">
        <f>'10月（既存移管合算）'!Z210</f>
        <v>5</v>
      </c>
      <c r="R63" s="36">
        <f>'10月（既存移管合算）'!AA210</f>
        <v>5</v>
      </c>
      <c r="S63" s="36">
        <f>'10月（既存移管合算）'!AB210</f>
        <v>5</v>
      </c>
      <c r="T63" s="36">
        <f>'10月（既存移管合算）'!AC210</f>
        <v>5</v>
      </c>
      <c r="U63" s="36">
        <f>'10月（既存移管合算）'!AD210</f>
        <v>5</v>
      </c>
      <c r="V63" s="36">
        <f>'10月（既存移管合算）'!AE210</f>
        <v>5</v>
      </c>
      <c r="W63" s="36">
        <f>'10月（既存移管合算）'!AF210</f>
        <v>5</v>
      </c>
      <c r="X63" s="36">
        <f>'10月（既存移管合算）'!AG210</f>
        <v>5</v>
      </c>
      <c r="Y63" s="36">
        <f>'10月（既存移管合算）'!AH210</f>
        <v>5</v>
      </c>
      <c r="Z63" s="36">
        <f>'10月（既存移管合算）'!AI210</f>
        <v>5</v>
      </c>
      <c r="AA63" s="36">
        <f>'10月（既存移管合算）'!AJ210</f>
        <v>4</v>
      </c>
      <c r="AB63" s="36">
        <f>'10月（既存移管合算）'!AK210</f>
        <v>4</v>
      </c>
      <c r="AC63" s="36">
        <f>'10月（既存移管合算）'!AL210</f>
        <v>4</v>
      </c>
      <c r="AD63" s="36">
        <f>'10月（既存移管合算）'!AM210</f>
        <v>4</v>
      </c>
      <c r="AE63" s="36">
        <f>'10月（既存移管合算）'!AN210</f>
        <v>4</v>
      </c>
      <c r="AF63" s="36">
        <f>'10月（既存移管合算）'!AO210</f>
        <v>4</v>
      </c>
      <c r="AG63" s="36">
        <f>'10月（既存移管合算）'!AP210</f>
        <v>4</v>
      </c>
      <c r="AH63" s="36">
        <f>'10月（既存移管合算）'!AQ210</f>
        <v>4</v>
      </c>
      <c r="AI63" s="36">
        <f>'10月（既存移管合算）'!AR210</f>
        <v>4</v>
      </c>
      <c r="AJ63" s="36">
        <f>'10月（既存移管合算）'!AS210</f>
        <v>4</v>
      </c>
      <c r="AK63" s="36">
        <f>'10月（既存移管合算）'!AT210</f>
        <v>4</v>
      </c>
      <c r="AL63" s="36">
        <f>'10月（既存移管合算）'!AU210</f>
        <v>4</v>
      </c>
      <c r="AM63" s="36">
        <f>'10月（既存移管合算）'!AV210</f>
        <v>4</v>
      </c>
      <c r="AN63" s="36">
        <f>'10月（既存移管合算）'!AW210</f>
        <v>4</v>
      </c>
      <c r="AO63" s="36">
        <f>'10月（既存移管合算）'!AX210</f>
        <v>4</v>
      </c>
      <c r="AP63" s="36">
        <f>'10月（既存移管合算）'!AY210</f>
        <v>4</v>
      </c>
      <c r="AQ63" s="36">
        <f>'10月（既存移管合算）'!AZ210</f>
        <v>4</v>
      </c>
      <c r="AR63" s="36">
        <f>'10月（既存移管合算）'!BA210</f>
        <v>4</v>
      </c>
      <c r="AS63" s="36">
        <f>'10月（既存移管合算）'!BB210</f>
        <v>4</v>
      </c>
      <c r="AT63" s="36">
        <f>'10月（既存移管合算）'!BC210</f>
        <v>4</v>
      </c>
      <c r="AU63" s="36">
        <f>'10月（既存移管合算）'!BD210</f>
        <v>4</v>
      </c>
      <c r="AV63" s="36">
        <f>'10月（既存移管合算）'!BE210</f>
        <v>4</v>
      </c>
      <c r="AW63" s="10">
        <f t="shared" si="9"/>
        <v>143</v>
      </c>
    </row>
    <row r="64" spans="1:49" ht="22" customHeight="1">
      <c r="A64" s="26" t="s">
        <v>150</v>
      </c>
      <c r="B64" s="27" t="s">
        <v>151</v>
      </c>
      <c r="C64" s="25" t="s">
        <v>212</v>
      </c>
      <c r="D64" s="9"/>
      <c r="E64" s="31">
        <v>13000</v>
      </c>
      <c r="F64" s="31">
        <v>13000</v>
      </c>
      <c r="G64" s="31">
        <v>14000</v>
      </c>
      <c r="H64" s="31">
        <v>14000</v>
      </c>
      <c r="I64" s="31">
        <v>14000</v>
      </c>
      <c r="J64" s="31">
        <v>14000</v>
      </c>
      <c r="K64" s="28">
        <v>0.52127659574468088</v>
      </c>
      <c r="L64" s="3">
        <f t="shared" si="7"/>
        <v>51</v>
      </c>
      <c r="M64" s="28">
        <v>0.61299999999999999</v>
      </c>
      <c r="N64" s="28">
        <v>0.52127659574468088</v>
      </c>
      <c r="O64" s="3">
        <f t="shared" si="8"/>
        <v>51</v>
      </c>
      <c r="P64" s="3">
        <f>'10月（既存移管合算）'!Y214</f>
        <v>3</v>
      </c>
      <c r="Q64" s="3">
        <f>'10月（既存移管合算）'!Z214</f>
        <v>3</v>
      </c>
      <c r="R64" s="3">
        <f>'10月（既存移管合算）'!AA214</f>
        <v>3</v>
      </c>
      <c r="S64" s="3">
        <f>'10月（既存移管合算）'!AB214</f>
        <v>3</v>
      </c>
      <c r="T64" s="3">
        <f>'10月（既存移管合算）'!AC214</f>
        <v>3</v>
      </c>
      <c r="U64" s="3">
        <f>'10月（既存移管合算）'!AD214</f>
        <v>3</v>
      </c>
      <c r="V64" s="3">
        <f>'10月（既存移管合算）'!AE214</f>
        <v>3</v>
      </c>
      <c r="W64" s="3">
        <f>'10月（既存移管合算）'!AF214</f>
        <v>3</v>
      </c>
      <c r="X64" s="3">
        <f>'10月（既存移管合算）'!AG214</f>
        <v>3</v>
      </c>
      <c r="Y64" s="3">
        <f>'10月（既存移管合算）'!AH214</f>
        <v>3</v>
      </c>
      <c r="Z64" s="3">
        <f>'10月（既存移管合算）'!AI214</f>
        <v>3</v>
      </c>
      <c r="AA64" s="3">
        <f>'10月（既存移管合算）'!AJ214</f>
        <v>3</v>
      </c>
      <c r="AB64" s="3">
        <f>'10月（既存移管合算）'!AK214</f>
        <v>3</v>
      </c>
      <c r="AC64" s="3">
        <f>'10月（既存移管合算）'!AL214</f>
        <v>3</v>
      </c>
      <c r="AD64" s="3">
        <f>'10月（既存移管合算）'!AM214</f>
        <v>3</v>
      </c>
      <c r="AE64" s="3">
        <f>'10月（既存移管合算）'!AN214</f>
        <v>3</v>
      </c>
      <c r="AF64" s="3">
        <f>'10月（既存移管合算）'!AO214</f>
        <v>3</v>
      </c>
      <c r="AG64" s="3">
        <f>'10月（既存移管合算）'!AP214</f>
        <v>3</v>
      </c>
      <c r="AH64" s="3">
        <f>'10月（既存移管合算）'!AQ214</f>
        <v>3</v>
      </c>
      <c r="AI64" s="3">
        <f>'10月（既存移管合算）'!AR214</f>
        <v>3</v>
      </c>
      <c r="AJ64" s="3">
        <f>'10月（既存移管合算）'!AS214</f>
        <v>3</v>
      </c>
      <c r="AK64" s="3">
        <f>'10月（既存移管合算）'!AT214</f>
        <v>3</v>
      </c>
      <c r="AL64" s="3">
        <f>'10月（既存移管合算）'!AU214</f>
        <v>3</v>
      </c>
      <c r="AM64" s="3">
        <f>'10月（既存移管合算）'!AV214</f>
        <v>3</v>
      </c>
      <c r="AN64" s="3">
        <f>'10月（既存移管合算）'!AW214</f>
        <v>3</v>
      </c>
      <c r="AO64" s="3">
        <f>'10月（既存移管合算）'!AX214</f>
        <v>3</v>
      </c>
      <c r="AP64" s="3">
        <f>'10月（既存移管合算）'!AY214</f>
        <v>3</v>
      </c>
      <c r="AQ64" s="3">
        <f>'10月（既存移管合算）'!AZ214</f>
        <v>3</v>
      </c>
      <c r="AR64" s="3">
        <f>'10月（既存移管合算）'!BA214</f>
        <v>3</v>
      </c>
      <c r="AS64" s="3">
        <f>'10月（既存移管合算）'!BB214</f>
        <v>3</v>
      </c>
      <c r="AT64" s="3">
        <f>'10月（既存移管合算）'!BC214</f>
        <v>3</v>
      </c>
      <c r="AU64" s="3">
        <f>'10月（既存移管合算）'!BD214</f>
        <v>2</v>
      </c>
      <c r="AV64" s="3">
        <f>'10月（既存移管合算）'!BE214</f>
        <v>2</v>
      </c>
      <c r="AW64" s="10">
        <f t="shared" si="9"/>
        <v>97</v>
      </c>
    </row>
    <row r="65" spans="1:49" ht="22" customHeight="1">
      <c r="A65" s="34" t="s">
        <v>152</v>
      </c>
      <c r="B65" s="35" t="s">
        <v>153</v>
      </c>
      <c r="C65" s="32"/>
      <c r="D65" s="39"/>
      <c r="E65" s="43">
        <v>8000</v>
      </c>
      <c r="F65" s="43">
        <v>8000</v>
      </c>
      <c r="G65" s="43">
        <v>8000</v>
      </c>
      <c r="H65" s="43">
        <v>8000</v>
      </c>
      <c r="I65" s="43">
        <v>8000</v>
      </c>
      <c r="J65" s="43">
        <v>8000</v>
      </c>
      <c r="K65" s="38">
        <v>0.79487179487179482</v>
      </c>
      <c r="L65" s="36">
        <f t="shared" si="7"/>
        <v>41</v>
      </c>
      <c r="M65" s="38">
        <v>0.63300000000000001</v>
      </c>
      <c r="N65" s="38">
        <v>0.79487179487179482</v>
      </c>
      <c r="O65" s="36">
        <f t="shared" si="8"/>
        <v>41</v>
      </c>
      <c r="P65" s="36">
        <f>'10月（既存移管合算）'!Y218</f>
        <v>2</v>
      </c>
      <c r="Q65" s="36">
        <f>'10月（既存移管合算）'!Z218</f>
        <v>2</v>
      </c>
      <c r="R65" s="36">
        <f>'10月（既存移管合算）'!AA218</f>
        <v>2</v>
      </c>
      <c r="S65" s="36">
        <f>'10月（既存移管合算）'!AB218</f>
        <v>2</v>
      </c>
      <c r="T65" s="36">
        <f>'10月（既存移管合算）'!AC218</f>
        <v>2</v>
      </c>
      <c r="U65" s="36">
        <f>'10月（既存移管合算）'!AD218</f>
        <v>2</v>
      </c>
      <c r="V65" s="36">
        <f>'10月（既存移管合算）'!AE218</f>
        <v>2</v>
      </c>
      <c r="W65" s="36">
        <f>'10月（既存移管合算）'!AF218</f>
        <v>2</v>
      </c>
      <c r="X65" s="36">
        <f>'10月（既存移管合算）'!AG218</f>
        <v>2</v>
      </c>
      <c r="Y65" s="36">
        <f>'10月（既存移管合算）'!AH218</f>
        <v>2</v>
      </c>
      <c r="Z65" s="36">
        <f>'10月（既存移管合算）'!AI218</f>
        <v>2</v>
      </c>
      <c r="AA65" s="36">
        <f>'10月（既存移管合算）'!AJ218</f>
        <v>2</v>
      </c>
      <c r="AB65" s="36">
        <f>'10月（既存移管合算）'!AK218</f>
        <v>2</v>
      </c>
      <c r="AC65" s="36">
        <f>'10月（既存移管合算）'!AL218</f>
        <v>2</v>
      </c>
      <c r="AD65" s="36">
        <f>'10月（既存移管合算）'!AM218</f>
        <v>2</v>
      </c>
      <c r="AE65" s="36">
        <f>'10月（既存移管合算）'!AN218</f>
        <v>2</v>
      </c>
      <c r="AF65" s="36">
        <f>'10月（既存移管合算）'!AO218</f>
        <v>2</v>
      </c>
      <c r="AG65" s="36">
        <f>'10月（既存移管合算）'!AP218</f>
        <v>2</v>
      </c>
      <c r="AH65" s="36">
        <f>'10月（既存移管合算）'!AQ218</f>
        <v>2</v>
      </c>
      <c r="AI65" s="36">
        <f>'10月（既存移管合算）'!AR218</f>
        <v>1</v>
      </c>
      <c r="AJ65" s="36">
        <f>'10月（既存移管合算）'!AS218</f>
        <v>1</v>
      </c>
      <c r="AK65" s="36">
        <f>'10月（既存移管合算）'!AT218</f>
        <v>1</v>
      </c>
      <c r="AL65" s="36">
        <f>'10月（既存移管合算）'!AU218</f>
        <v>1</v>
      </c>
      <c r="AM65" s="36">
        <f>'10月（既存移管合算）'!AV218</f>
        <v>1</v>
      </c>
      <c r="AN65" s="36">
        <f>'10月（既存移管合算）'!AW218</f>
        <v>1</v>
      </c>
      <c r="AO65" s="36">
        <f>'10月（既存移管合算）'!AX218</f>
        <v>1</v>
      </c>
      <c r="AP65" s="36">
        <f>'10月（既存移管合算）'!AY218</f>
        <v>1</v>
      </c>
      <c r="AQ65" s="36">
        <f>'10月（既存移管合算）'!AZ218</f>
        <v>1</v>
      </c>
      <c r="AR65" s="36">
        <f>'10月（既存移管合算）'!BA218</f>
        <v>1</v>
      </c>
      <c r="AS65" s="36">
        <f>'10月（既存移管合算）'!BB218</f>
        <v>1</v>
      </c>
      <c r="AT65" s="36">
        <f>'10月（既存移管合算）'!BC218</f>
        <v>1</v>
      </c>
      <c r="AU65" s="36">
        <f>'10月（既存移管合算）'!BD218</f>
        <v>1</v>
      </c>
      <c r="AV65" s="36">
        <f>'10月（既存移管合算）'!BE218</f>
        <v>1</v>
      </c>
      <c r="AW65" s="10">
        <f t="shared" si="9"/>
        <v>52</v>
      </c>
    </row>
    <row r="66" spans="1:49" ht="22" customHeight="1">
      <c r="A66" s="26" t="s">
        <v>154</v>
      </c>
      <c r="B66" s="27" t="s">
        <v>155</v>
      </c>
      <c r="C66" s="25"/>
      <c r="D66" s="9"/>
      <c r="E66" s="31">
        <v>18000</v>
      </c>
      <c r="F66" s="31">
        <v>18000</v>
      </c>
      <c r="G66" s="31">
        <v>17000</v>
      </c>
      <c r="H66" s="31">
        <v>18000</v>
      </c>
      <c r="I66" s="31">
        <v>18000</v>
      </c>
      <c r="J66" s="31">
        <v>18000</v>
      </c>
      <c r="K66" s="28">
        <v>0.18097876269621421</v>
      </c>
      <c r="L66" s="3">
        <f t="shared" si="7"/>
        <v>312</v>
      </c>
      <c r="M66" s="28">
        <v>0.16300000000000001</v>
      </c>
      <c r="N66" s="28">
        <v>0.18097876269621421</v>
      </c>
      <c r="O66" s="3">
        <f t="shared" si="8"/>
        <v>312</v>
      </c>
      <c r="P66" s="3">
        <f>'10月（既存移管合算）'!Y221</f>
        <v>69</v>
      </c>
      <c r="Q66" s="3">
        <f>'10月（既存移管合算）'!Z221</f>
        <v>79</v>
      </c>
      <c r="R66" s="3">
        <f>'10月（既存移管合算）'!AA221</f>
        <v>93</v>
      </c>
      <c r="S66" s="3">
        <f>'10月（既存移管合算）'!AB221</f>
        <v>79</v>
      </c>
      <c r="T66" s="3">
        <f>'10月（既存移管合算）'!AC221</f>
        <v>100</v>
      </c>
      <c r="U66" s="3">
        <f>'10月（既存移管合算）'!AD221</f>
        <v>83</v>
      </c>
      <c r="V66" s="3">
        <f>'10月（既存移管合算）'!AE221</f>
        <v>86</v>
      </c>
      <c r="W66" s="3">
        <f>'10月（既存移管合算）'!AF221</f>
        <v>87</v>
      </c>
      <c r="X66" s="3">
        <f>'10月（既存移管合算）'!AG221</f>
        <v>79</v>
      </c>
      <c r="Y66" s="3">
        <f>'10月（既存移管合算）'!AH221</f>
        <v>74</v>
      </c>
      <c r="Z66" s="3">
        <f>'10月（既存移管合算）'!AI221</f>
        <v>71</v>
      </c>
      <c r="AA66" s="3">
        <f>'10月（既存移管合算）'!AJ221</f>
        <v>38</v>
      </c>
      <c r="AB66" s="3">
        <f>'10月（既存移管合算）'!AK221</f>
        <v>38</v>
      </c>
      <c r="AC66" s="3">
        <f>'10月（既存移管合算）'!AL221</f>
        <v>38</v>
      </c>
      <c r="AD66" s="3">
        <f>'10月（既存移管合算）'!AM221</f>
        <v>38</v>
      </c>
      <c r="AE66" s="3">
        <f>'10月（既存移管合算）'!AN221</f>
        <v>38</v>
      </c>
      <c r="AF66" s="3">
        <f>'10月（既存移管合算）'!AO221</f>
        <v>38</v>
      </c>
      <c r="AG66" s="3">
        <f>'10月（既存移管合算）'!AP221</f>
        <v>38</v>
      </c>
      <c r="AH66" s="3">
        <f>'10月（既存移管合算）'!AQ221</f>
        <v>38</v>
      </c>
      <c r="AI66" s="3">
        <f>'10月（既存移管合算）'!AR221</f>
        <v>38</v>
      </c>
      <c r="AJ66" s="3">
        <f>'10月（既存移管合算）'!AS221</f>
        <v>38</v>
      </c>
      <c r="AK66" s="3">
        <f>'10月（既存移管合算）'!AT221</f>
        <v>37</v>
      </c>
      <c r="AL66" s="3">
        <f>'10月（既存移管合算）'!AU221</f>
        <v>37</v>
      </c>
      <c r="AM66" s="3">
        <f>'10月（既存移管合算）'!AV221</f>
        <v>37</v>
      </c>
      <c r="AN66" s="3">
        <f>'10月（既存移管合算）'!AW221</f>
        <v>37</v>
      </c>
      <c r="AO66" s="3">
        <f>'10月（既存移管合算）'!AX221</f>
        <v>37</v>
      </c>
      <c r="AP66" s="3">
        <f>'10月（既存移管合算）'!AY221</f>
        <v>37</v>
      </c>
      <c r="AQ66" s="3">
        <f>'10月（既存移管合算）'!AZ221</f>
        <v>37</v>
      </c>
      <c r="AR66" s="3">
        <f>'10月（既存移管合算）'!BA221</f>
        <v>37</v>
      </c>
      <c r="AS66" s="3">
        <f>'10月（既存移管合算）'!BB221</f>
        <v>37</v>
      </c>
      <c r="AT66" s="3">
        <f>'10月（既存移管合算）'!BC221</f>
        <v>37</v>
      </c>
      <c r="AU66" s="3">
        <f>'10月（既存移管合算）'!BD221</f>
        <v>37</v>
      </c>
      <c r="AV66" s="3">
        <f>'10月（既存移管合算）'!BE221</f>
        <v>37</v>
      </c>
      <c r="AW66" s="10">
        <f t="shared" si="9"/>
        <v>1724</v>
      </c>
    </row>
    <row r="67" spans="1:49" ht="22" customHeight="1">
      <c r="A67" s="34" t="s">
        <v>156</v>
      </c>
      <c r="B67" s="35" t="s">
        <v>157</v>
      </c>
      <c r="C67" s="32"/>
      <c r="D67" s="39"/>
      <c r="E67" s="43">
        <v>9000</v>
      </c>
      <c r="F67" s="43">
        <v>9000</v>
      </c>
      <c r="G67" s="43">
        <v>9000</v>
      </c>
      <c r="H67" s="43">
        <v>9000</v>
      </c>
      <c r="I67" s="43">
        <v>9000</v>
      </c>
      <c r="J67" s="43">
        <v>9000</v>
      </c>
      <c r="K67" s="38">
        <v>0.66666666666666663</v>
      </c>
      <c r="L67" s="36">
        <f t="shared" si="7"/>
        <v>7</v>
      </c>
      <c r="M67" s="38">
        <v>0.85699999999999998</v>
      </c>
      <c r="N67" s="38">
        <v>0.66666666666666663</v>
      </c>
      <c r="O67" s="36">
        <f t="shared" si="8"/>
        <v>7</v>
      </c>
      <c r="P67" s="36">
        <f>'10月（既存移管合算）'!Y224</f>
        <v>1</v>
      </c>
      <c r="Q67" s="36">
        <f>'10月（既存移管合算）'!Z224</f>
        <v>1</v>
      </c>
      <c r="R67" s="36">
        <f>'10月（既存移管合算）'!AA224</f>
        <v>1</v>
      </c>
      <c r="S67" s="36">
        <f>'10月（既存移管合算）'!AB224</f>
        <v>1</v>
      </c>
      <c r="T67" s="36">
        <f>'10月（既存移管合算）'!AC224</f>
        <v>1</v>
      </c>
      <c r="U67" s="36">
        <f>'10月（既存移管合算）'!AD224</f>
        <v>1</v>
      </c>
      <c r="V67" s="36">
        <f>'10月（既存移管合算）'!AE224</f>
        <v>1</v>
      </c>
      <c r="W67" s="36">
        <f>'10月（既存移管合算）'!AF224</f>
        <v>1</v>
      </c>
      <c r="X67" s="36">
        <f>'10月（既存移管合算）'!AG224</f>
        <v>1</v>
      </c>
      <c r="Y67" s="36">
        <f>'10月（既存移管合算）'!AH224</f>
        <v>1</v>
      </c>
      <c r="Z67" s="36">
        <f>'10月（既存移管合算）'!AI224</f>
        <v>0</v>
      </c>
      <c r="AA67" s="36">
        <f>'10月（既存移管合算）'!AJ224</f>
        <v>0</v>
      </c>
      <c r="AB67" s="36">
        <f>'10月（既存移管合算）'!AK224</f>
        <v>0</v>
      </c>
      <c r="AC67" s="36">
        <f>'10月（既存移管合算）'!AL224</f>
        <v>0</v>
      </c>
      <c r="AD67" s="36">
        <f>'10月（既存移管合算）'!AM224</f>
        <v>0</v>
      </c>
      <c r="AE67" s="36">
        <f>'10月（既存移管合算）'!AN224</f>
        <v>0</v>
      </c>
      <c r="AF67" s="36">
        <f>'10月（既存移管合算）'!AO224</f>
        <v>0</v>
      </c>
      <c r="AG67" s="36">
        <f>'10月（既存移管合算）'!AP224</f>
        <v>0</v>
      </c>
      <c r="AH67" s="36">
        <f>'10月（既存移管合算）'!AQ224</f>
        <v>0</v>
      </c>
      <c r="AI67" s="36">
        <f>'10月（既存移管合算）'!AR224</f>
        <v>0</v>
      </c>
      <c r="AJ67" s="36">
        <f>'10月（既存移管合算）'!AS224</f>
        <v>0</v>
      </c>
      <c r="AK67" s="36">
        <f>'10月（既存移管合算）'!AT224</f>
        <v>0</v>
      </c>
      <c r="AL67" s="36">
        <f>'10月（既存移管合算）'!AU224</f>
        <v>0</v>
      </c>
      <c r="AM67" s="36">
        <f>'10月（既存移管合算）'!AV224</f>
        <v>0</v>
      </c>
      <c r="AN67" s="36">
        <f>'10月（既存移管合算）'!AW224</f>
        <v>0</v>
      </c>
      <c r="AO67" s="36">
        <f>'10月（既存移管合算）'!AX224</f>
        <v>0</v>
      </c>
      <c r="AP67" s="36">
        <f>'10月（既存移管合算）'!AY224</f>
        <v>0</v>
      </c>
      <c r="AQ67" s="36">
        <f>'10月（既存移管合算）'!AZ224</f>
        <v>0</v>
      </c>
      <c r="AR67" s="36">
        <f>'10月（既存移管合算）'!BA224</f>
        <v>0</v>
      </c>
      <c r="AS67" s="36">
        <f>'10月（既存移管合算）'!BB224</f>
        <v>0</v>
      </c>
      <c r="AT67" s="36">
        <f>'10月（既存移管合算）'!BC224</f>
        <v>0</v>
      </c>
      <c r="AU67" s="36">
        <f>'10月（既存移管合算）'!BD224</f>
        <v>0</v>
      </c>
      <c r="AV67" s="36">
        <f>'10月（既存移管合算）'!BE224</f>
        <v>0</v>
      </c>
      <c r="AW67" s="10">
        <f t="shared" si="9"/>
        <v>10</v>
      </c>
    </row>
    <row r="68" spans="1:49" ht="22" customHeight="1">
      <c r="A68" s="26" t="s">
        <v>158</v>
      </c>
      <c r="B68" s="27" t="s">
        <v>159</v>
      </c>
      <c r="C68" s="25"/>
      <c r="D68" s="9"/>
      <c r="E68" s="31">
        <v>8000</v>
      </c>
      <c r="F68" s="31">
        <v>8000</v>
      </c>
      <c r="G68" s="31">
        <v>8000</v>
      </c>
      <c r="H68" s="31">
        <v>8000</v>
      </c>
      <c r="I68" s="31">
        <v>8000</v>
      </c>
      <c r="J68" s="31">
        <v>8000</v>
      </c>
      <c r="K68" s="28">
        <v>0.42857142857142849</v>
      </c>
      <c r="L68" s="3">
        <f t="shared" si="7"/>
        <v>4</v>
      </c>
      <c r="M68" s="28">
        <v>0.42857142857142849</v>
      </c>
      <c r="N68" s="28">
        <v>0.42857142857142849</v>
      </c>
      <c r="O68" s="3">
        <f t="shared" si="8"/>
        <v>4</v>
      </c>
      <c r="P68" s="3">
        <f>'10月（既存移管合算）'!Y227</f>
        <v>1</v>
      </c>
      <c r="Q68" s="3">
        <f>'10月（既存移管合算）'!Z227</f>
        <v>1</v>
      </c>
      <c r="R68" s="3">
        <f>'10月（既存移管合算）'!AA227</f>
        <v>1</v>
      </c>
      <c r="S68" s="3">
        <f>'10月（既存移管合算）'!AB227</f>
        <v>1</v>
      </c>
      <c r="T68" s="3">
        <f>'10月（既存移管合算）'!AC227</f>
        <v>1</v>
      </c>
      <c r="U68" s="3">
        <f>'10月（既存移管合算）'!AD227</f>
        <v>1</v>
      </c>
      <c r="V68" s="3">
        <f>'10月（既存移管合算）'!AE227</f>
        <v>1</v>
      </c>
      <c r="W68" s="3">
        <f>'10月（既存移管合算）'!AF227</f>
        <v>1</v>
      </c>
      <c r="X68" s="3">
        <f>'10月（既存移管合算）'!AG227</f>
        <v>1</v>
      </c>
      <c r="Y68" s="3">
        <f>'10月（既存移管合算）'!AH227</f>
        <v>1</v>
      </c>
      <c r="Z68" s="3">
        <f>'10月（既存移管合算）'!AI227</f>
        <v>0</v>
      </c>
      <c r="AA68" s="3">
        <f>'10月（既存移管合算）'!AJ227</f>
        <v>0</v>
      </c>
      <c r="AB68" s="3">
        <f>'10月（既存移管合算）'!AK227</f>
        <v>0</v>
      </c>
      <c r="AC68" s="3">
        <f>'10月（既存移管合算）'!AL227</f>
        <v>0</v>
      </c>
      <c r="AD68" s="3">
        <f>'10月（既存移管合算）'!AM227</f>
        <v>0</v>
      </c>
      <c r="AE68" s="3">
        <f>'10月（既存移管合算）'!AN227</f>
        <v>0</v>
      </c>
      <c r="AF68" s="3">
        <f>'10月（既存移管合算）'!AO227</f>
        <v>0</v>
      </c>
      <c r="AG68" s="3">
        <f>'10月（既存移管合算）'!AP227</f>
        <v>0</v>
      </c>
      <c r="AH68" s="3">
        <f>'10月（既存移管合算）'!AQ227</f>
        <v>0</v>
      </c>
      <c r="AI68" s="3">
        <f>'10月（既存移管合算）'!AR227</f>
        <v>0</v>
      </c>
      <c r="AJ68" s="3">
        <f>'10月（既存移管合算）'!AS227</f>
        <v>0</v>
      </c>
      <c r="AK68" s="3">
        <f>'10月（既存移管合算）'!AT227</f>
        <v>0</v>
      </c>
      <c r="AL68" s="3">
        <f>'10月（既存移管合算）'!AU227</f>
        <v>0</v>
      </c>
      <c r="AM68" s="3">
        <f>'10月（既存移管合算）'!AV227</f>
        <v>0</v>
      </c>
      <c r="AN68" s="3">
        <f>'10月（既存移管合算）'!AW227</f>
        <v>0</v>
      </c>
      <c r="AO68" s="3">
        <f>'10月（既存移管合算）'!AX227</f>
        <v>0</v>
      </c>
      <c r="AP68" s="3">
        <f>'10月（既存移管合算）'!AY227</f>
        <v>0</v>
      </c>
      <c r="AQ68" s="3">
        <f>'10月（既存移管合算）'!AZ227</f>
        <v>0</v>
      </c>
      <c r="AR68" s="3">
        <f>'10月（既存移管合算）'!BA227</f>
        <v>0</v>
      </c>
      <c r="AS68" s="3">
        <f>'10月（既存移管合算）'!BB227</f>
        <v>0</v>
      </c>
      <c r="AT68" s="3">
        <f>'10月（既存移管合算）'!BC227</f>
        <v>0</v>
      </c>
      <c r="AU68" s="3">
        <f>'10月（既存移管合算）'!BD227</f>
        <v>0</v>
      </c>
      <c r="AV68" s="3">
        <f>'10月（既存移管合算）'!BE227</f>
        <v>0</v>
      </c>
      <c r="AW68" s="10">
        <f t="shared" si="9"/>
        <v>10</v>
      </c>
    </row>
    <row r="69" spans="1:49" ht="22" customHeight="1">
      <c r="A69" s="34" t="s">
        <v>160</v>
      </c>
      <c r="B69" s="35" t="s">
        <v>161</v>
      </c>
      <c r="C69" s="32"/>
      <c r="D69" s="39"/>
      <c r="E69" s="43">
        <v>1300</v>
      </c>
      <c r="F69" s="43">
        <v>1300</v>
      </c>
      <c r="G69" s="43">
        <v>1300</v>
      </c>
      <c r="H69" s="43">
        <v>1300</v>
      </c>
      <c r="I69" s="43">
        <v>1300</v>
      </c>
      <c r="J69" s="43">
        <v>1300</v>
      </c>
      <c r="K69" s="38">
        <v>0.42857142857142849</v>
      </c>
      <c r="L69" s="36">
        <f t="shared" si="7"/>
        <v>4</v>
      </c>
      <c r="M69" s="38">
        <v>0.42857142857142849</v>
      </c>
      <c r="N69" s="38">
        <v>0.42857142857142849</v>
      </c>
      <c r="O69" s="36">
        <f t="shared" si="8"/>
        <v>4</v>
      </c>
      <c r="P69" s="36">
        <f>'10月（既存移管合算）'!Y230</f>
        <v>1</v>
      </c>
      <c r="Q69" s="36">
        <f>'10月（既存移管合算）'!Z230</f>
        <v>1</v>
      </c>
      <c r="R69" s="36">
        <f>'10月（既存移管合算）'!AA230</f>
        <v>1</v>
      </c>
      <c r="S69" s="36">
        <f>'10月（既存移管合算）'!AB230</f>
        <v>1</v>
      </c>
      <c r="T69" s="36">
        <f>'10月（既存移管合算）'!AC230</f>
        <v>1</v>
      </c>
      <c r="U69" s="36">
        <f>'10月（既存移管合算）'!AD230</f>
        <v>1</v>
      </c>
      <c r="V69" s="36">
        <f>'10月（既存移管合算）'!AE230</f>
        <v>1</v>
      </c>
      <c r="W69" s="36">
        <f>'10月（既存移管合算）'!AF230</f>
        <v>1</v>
      </c>
      <c r="X69" s="36">
        <f>'10月（既存移管合算）'!AG230</f>
        <v>1</v>
      </c>
      <c r="Y69" s="36">
        <f>'10月（既存移管合算）'!AH230</f>
        <v>1</v>
      </c>
      <c r="Z69" s="36">
        <f>'10月（既存移管合算）'!AI230</f>
        <v>0</v>
      </c>
      <c r="AA69" s="36">
        <f>'10月（既存移管合算）'!AJ230</f>
        <v>0</v>
      </c>
      <c r="AB69" s="36">
        <f>'10月（既存移管合算）'!AK230</f>
        <v>0</v>
      </c>
      <c r="AC69" s="36">
        <f>'10月（既存移管合算）'!AL230</f>
        <v>0</v>
      </c>
      <c r="AD69" s="36">
        <f>'10月（既存移管合算）'!AM230</f>
        <v>0</v>
      </c>
      <c r="AE69" s="36">
        <f>'10月（既存移管合算）'!AN230</f>
        <v>0</v>
      </c>
      <c r="AF69" s="36">
        <f>'10月（既存移管合算）'!AO230</f>
        <v>0</v>
      </c>
      <c r="AG69" s="36">
        <f>'10月（既存移管合算）'!AP230</f>
        <v>0</v>
      </c>
      <c r="AH69" s="36">
        <f>'10月（既存移管合算）'!AQ230</f>
        <v>0</v>
      </c>
      <c r="AI69" s="36">
        <f>'10月（既存移管合算）'!AR230</f>
        <v>0</v>
      </c>
      <c r="AJ69" s="36">
        <f>'10月（既存移管合算）'!AS230</f>
        <v>0</v>
      </c>
      <c r="AK69" s="36">
        <f>'10月（既存移管合算）'!AT230</f>
        <v>0</v>
      </c>
      <c r="AL69" s="36">
        <f>'10月（既存移管合算）'!AU230</f>
        <v>0</v>
      </c>
      <c r="AM69" s="36">
        <f>'10月（既存移管合算）'!AV230</f>
        <v>0</v>
      </c>
      <c r="AN69" s="36">
        <f>'10月（既存移管合算）'!AW230</f>
        <v>0</v>
      </c>
      <c r="AO69" s="36">
        <f>'10月（既存移管合算）'!AX230</f>
        <v>0</v>
      </c>
      <c r="AP69" s="36">
        <f>'10月（既存移管合算）'!AY230</f>
        <v>0</v>
      </c>
      <c r="AQ69" s="36">
        <f>'10月（既存移管合算）'!AZ230</f>
        <v>0</v>
      </c>
      <c r="AR69" s="36">
        <f>'10月（既存移管合算）'!BA230</f>
        <v>0</v>
      </c>
      <c r="AS69" s="36">
        <f>'10月（既存移管合算）'!BB230</f>
        <v>0</v>
      </c>
      <c r="AT69" s="36">
        <f>'10月（既存移管合算）'!BC230</f>
        <v>0</v>
      </c>
      <c r="AU69" s="36">
        <f>'10月（既存移管合算）'!BD230</f>
        <v>0</v>
      </c>
      <c r="AV69" s="36">
        <f>'10月（既存移管合算）'!BE230</f>
        <v>0</v>
      </c>
      <c r="AW69" s="10">
        <f t="shared" si="9"/>
        <v>10</v>
      </c>
    </row>
    <row r="70" spans="1:49" ht="22" customHeight="1">
      <c r="A70" s="26" t="s">
        <v>162</v>
      </c>
      <c r="B70" s="27" t="s">
        <v>163</v>
      </c>
      <c r="C70" s="25" t="s">
        <v>212</v>
      </c>
      <c r="D70" s="9"/>
      <c r="E70" s="31">
        <v>18000</v>
      </c>
      <c r="F70" s="31">
        <v>18000</v>
      </c>
      <c r="G70" s="31">
        <v>18000</v>
      </c>
      <c r="H70" s="31">
        <v>18000</v>
      </c>
      <c r="I70" s="31">
        <v>18000</v>
      </c>
      <c r="J70" s="31">
        <v>18000</v>
      </c>
      <c r="K70" s="28">
        <v>0.3</v>
      </c>
      <c r="L70" s="3">
        <f t="shared" si="7"/>
        <v>8</v>
      </c>
      <c r="M70" s="28">
        <v>0.35699999999999998</v>
      </c>
      <c r="N70" s="28">
        <v>0.3</v>
      </c>
      <c r="O70" s="3">
        <f t="shared" si="8"/>
        <v>8</v>
      </c>
      <c r="P70" s="3">
        <f>'10月（既存移管合算）'!Y233</f>
        <v>1</v>
      </c>
      <c r="Q70" s="3">
        <f>'10月（既存移管合算）'!Z233</f>
        <v>1</v>
      </c>
      <c r="R70" s="3">
        <f>'10月（既存移管合算）'!AA233</f>
        <v>1</v>
      </c>
      <c r="S70" s="3">
        <f>'10月（既存移管合算）'!AB233</f>
        <v>1</v>
      </c>
      <c r="T70" s="3">
        <f>'10月（既存移管合算）'!AC233</f>
        <v>1</v>
      </c>
      <c r="U70" s="3">
        <f>'10月（既存移管合算）'!AD233</f>
        <v>1</v>
      </c>
      <c r="V70" s="3">
        <f>'10月（既存移管合算）'!AE233</f>
        <v>1</v>
      </c>
      <c r="W70" s="3">
        <f>'10月（既存移管合算）'!AF233</f>
        <v>1</v>
      </c>
      <c r="X70" s="3">
        <f>'10月（既存移管合算）'!AG233</f>
        <v>1</v>
      </c>
      <c r="Y70" s="3">
        <f>'10月（既存移管合算）'!AH233</f>
        <v>1</v>
      </c>
      <c r="Z70" s="3">
        <f>'10月（既存移管合算）'!AI233</f>
        <v>1</v>
      </c>
      <c r="AA70" s="3">
        <f>'10月（既存移管合算）'!AJ233</f>
        <v>1</v>
      </c>
      <c r="AB70" s="3">
        <f>'10月（既存移管合算）'!AK233</f>
        <v>1</v>
      </c>
      <c r="AC70" s="3">
        <f>'10月（既存移管合算）'!AL233</f>
        <v>1</v>
      </c>
      <c r="AD70" s="3">
        <f>'10月（既存移管合算）'!AM233</f>
        <v>1</v>
      </c>
      <c r="AE70" s="3">
        <f>'10月（既存移管合算）'!AN233</f>
        <v>1</v>
      </c>
      <c r="AF70" s="3">
        <f>'10月（既存移管合算）'!AO233</f>
        <v>1</v>
      </c>
      <c r="AG70" s="3">
        <f>'10月（既存移管合算）'!AP233</f>
        <v>1</v>
      </c>
      <c r="AH70" s="3">
        <f>'10月（既存移管合算）'!AQ233</f>
        <v>1</v>
      </c>
      <c r="AI70" s="3">
        <f>'10月（既存移管合算）'!AR233</f>
        <v>1</v>
      </c>
      <c r="AJ70" s="3">
        <f>'10月（既存移管合算）'!AS233</f>
        <v>1</v>
      </c>
      <c r="AK70" s="3">
        <f>'10月（既存移管合算）'!AT233</f>
        <v>1</v>
      </c>
      <c r="AL70" s="3">
        <f>'10月（既存移管合算）'!AU233</f>
        <v>1</v>
      </c>
      <c r="AM70" s="3">
        <f>'10月（既存移管合算）'!AV233</f>
        <v>1</v>
      </c>
      <c r="AN70" s="3">
        <f>'10月（既存移管合算）'!AW233</f>
        <v>1</v>
      </c>
      <c r="AO70" s="3">
        <f>'10月（既存移管合算）'!AX233</f>
        <v>1</v>
      </c>
      <c r="AP70" s="3">
        <f>'10月（既存移管合算）'!AY233</f>
        <v>1</v>
      </c>
      <c r="AQ70" s="3">
        <f>'10月（既存移管合算）'!AZ233</f>
        <v>0</v>
      </c>
      <c r="AR70" s="3">
        <f>'10月（既存移管合算）'!BA233</f>
        <v>0</v>
      </c>
      <c r="AS70" s="3">
        <f>'10月（既存移管合算）'!BB233</f>
        <v>0</v>
      </c>
      <c r="AT70" s="3">
        <f>'10月（既存移管合算）'!BC233</f>
        <v>0</v>
      </c>
      <c r="AU70" s="3">
        <f>'10月（既存移管合算）'!BD233</f>
        <v>0</v>
      </c>
      <c r="AV70" s="3">
        <f>'10月（既存移管合算）'!BE233</f>
        <v>0</v>
      </c>
      <c r="AW70" s="10">
        <f t="shared" si="9"/>
        <v>27</v>
      </c>
    </row>
    <row r="71" spans="1:49" ht="22" customHeight="1">
      <c r="A71" s="34" t="s">
        <v>164</v>
      </c>
      <c r="B71" s="35" t="s">
        <v>165</v>
      </c>
      <c r="C71" s="32" t="s">
        <v>212</v>
      </c>
      <c r="D71" s="39"/>
      <c r="E71" s="43">
        <v>4500</v>
      </c>
      <c r="F71" s="43">
        <v>4500</v>
      </c>
      <c r="G71" s="43">
        <v>4500</v>
      </c>
      <c r="H71" s="43">
        <v>4500</v>
      </c>
      <c r="I71" s="43">
        <v>4500</v>
      </c>
      <c r="J71" s="43">
        <v>4500</v>
      </c>
      <c r="K71" s="38">
        <v>0.22222222222222221</v>
      </c>
      <c r="L71" s="36">
        <f t="shared" si="7"/>
        <v>4</v>
      </c>
      <c r="M71" s="38">
        <v>0.222</v>
      </c>
      <c r="N71" s="38">
        <v>0.22222222222222221</v>
      </c>
      <c r="O71" s="36">
        <f t="shared" si="8"/>
        <v>4</v>
      </c>
      <c r="P71" s="36">
        <f>'10月（既存移管合算）'!Y237</f>
        <v>1</v>
      </c>
      <c r="Q71" s="36">
        <f>'10月（既存移管合算）'!Z237</f>
        <v>1</v>
      </c>
      <c r="R71" s="36">
        <f>'10月（既存移管合算）'!AA237</f>
        <v>1</v>
      </c>
      <c r="S71" s="36">
        <f>'10月（既存移管合算）'!AB237</f>
        <v>1</v>
      </c>
      <c r="T71" s="36">
        <f>'10月（既存移管合算）'!AC237</f>
        <v>1</v>
      </c>
      <c r="U71" s="36">
        <f>'10月（既存移管合算）'!AD237</f>
        <v>1</v>
      </c>
      <c r="V71" s="36">
        <f>'10月（既存移管合算）'!AE237</f>
        <v>1</v>
      </c>
      <c r="W71" s="36">
        <f>'10月（既存移管合算）'!AF237</f>
        <v>1</v>
      </c>
      <c r="X71" s="36">
        <f>'10月（既存移管合算）'!AG237</f>
        <v>1</v>
      </c>
      <c r="Y71" s="36">
        <f>'10月（既存移管合算）'!AH237</f>
        <v>1</v>
      </c>
      <c r="Z71" s="36">
        <f>'10月（既存移管合算）'!AI237</f>
        <v>1</v>
      </c>
      <c r="AA71" s="36">
        <f>'10月（既存移管合算）'!AJ237</f>
        <v>1</v>
      </c>
      <c r="AB71" s="36">
        <f>'10月（既存移管合算）'!AK237</f>
        <v>1</v>
      </c>
      <c r="AC71" s="36">
        <f>'10月（既存移管合算）'!AL237</f>
        <v>1</v>
      </c>
      <c r="AD71" s="36">
        <f>'10月（既存移管合算）'!AM237</f>
        <v>1</v>
      </c>
      <c r="AE71" s="36">
        <f>'10月（既存移管合算）'!AN237</f>
        <v>1</v>
      </c>
      <c r="AF71" s="36">
        <f>'10月（既存移管合算）'!AO237</f>
        <v>1</v>
      </c>
      <c r="AG71" s="36">
        <f>'10月（既存移管合算）'!AP237</f>
        <v>1</v>
      </c>
      <c r="AH71" s="36">
        <f>'10月（既存移管合算）'!AQ237</f>
        <v>1</v>
      </c>
      <c r="AI71" s="36">
        <f>'10月（既存移管合算）'!AR237</f>
        <v>1</v>
      </c>
      <c r="AJ71" s="36">
        <f>'10月（既存移管合算）'!AS237</f>
        <v>0</v>
      </c>
      <c r="AK71" s="36">
        <f>'10月（既存移管合算）'!AT237</f>
        <v>0</v>
      </c>
      <c r="AL71" s="36">
        <f>'10月（既存移管合算）'!AU237</f>
        <v>0</v>
      </c>
      <c r="AM71" s="36">
        <f>'10月（既存移管合算）'!AV237</f>
        <v>0</v>
      </c>
      <c r="AN71" s="36">
        <f>'10月（既存移管合算）'!AW237</f>
        <v>0</v>
      </c>
      <c r="AO71" s="36">
        <f>'10月（既存移管合算）'!AX237</f>
        <v>0</v>
      </c>
      <c r="AP71" s="36">
        <f>'10月（既存移管合算）'!AY237</f>
        <v>0</v>
      </c>
      <c r="AQ71" s="36">
        <f>'10月（既存移管合算）'!AZ237</f>
        <v>0</v>
      </c>
      <c r="AR71" s="36">
        <f>'10月（既存移管合算）'!BA237</f>
        <v>0</v>
      </c>
      <c r="AS71" s="36">
        <f>'10月（既存移管合算）'!BB237</f>
        <v>0</v>
      </c>
      <c r="AT71" s="36">
        <f>'10月（既存移管合算）'!BC237</f>
        <v>0</v>
      </c>
      <c r="AU71" s="36">
        <f>'10月（既存移管合算）'!BD237</f>
        <v>0</v>
      </c>
      <c r="AV71" s="36">
        <f>'10月（既存移管合算）'!BE237</f>
        <v>0</v>
      </c>
      <c r="AW71" s="10">
        <f t="shared" si="9"/>
        <v>20</v>
      </c>
    </row>
    <row r="72" spans="1:49" ht="22" customHeight="1">
      <c r="A72" s="26" t="s">
        <v>166</v>
      </c>
      <c r="B72" s="27" t="s">
        <v>167</v>
      </c>
      <c r="C72" s="25"/>
      <c r="D72" s="9"/>
      <c r="E72" s="31">
        <v>1300</v>
      </c>
      <c r="F72" s="31">
        <v>1300</v>
      </c>
      <c r="G72" s="31">
        <v>1300</v>
      </c>
      <c r="H72" s="31">
        <v>1300</v>
      </c>
      <c r="I72" s="31">
        <v>1300</v>
      </c>
      <c r="J72" s="31">
        <v>1300</v>
      </c>
      <c r="K72" s="28">
        <v>0.1</v>
      </c>
      <c r="L72" s="3">
        <f t="shared" ref="L72:L103" si="10">ROUND(AW72*K72,0)</f>
        <v>3</v>
      </c>
      <c r="M72" s="28">
        <v>0.1</v>
      </c>
      <c r="N72" s="28">
        <v>0.1</v>
      </c>
      <c r="O72" s="3">
        <f t="shared" ref="O72:O103" si="11">ROUND(AW72*N72,0)</f>
        <v>3</v>
      </c>
      <c r="P72" s="3">
        <f>'10月（既存移管合算）'!Y241</f>
        <v>1</v>
      </c>
      <c r="Q72" s="3">
        <f>'10月（既存移管合算）'!Z241</f>
        <v>1</v>
      </c>
      <c r="R72" s="3">
        <f>'10月（既存移管合算）'!AA241</f>
        <v>1</v>
      </c>
      <c r="S72" s="3">
        <f>'10月（既存移管合算）'!AB241</f>
        <v>1</v>
      </c>
      <c r="T72" s="3">
        <f>'10月（既存移管合算）'!AC241</f>
        <v>1</v>
      </c>
      <c r="U72" s="3">
        <f>'10月（既存移管合算）'!AD241</f>
        <v>1</v>
      </c>
      <c r="V72" s="3">
        <f>'10月（既存移管合算）'!AE241</f>
        <v>1</v>
      </c>
      <c r="W72" s="3">
        <f>'10月（既存移管合算）'!AF241</f>
        <v>1</v>
      </c>
      <c r="X72" s="3">
        <f>'10月（既存移管合算）'!AG241</f>
        <v>1</v>
      </c>
      <c r="Y72" s="3">
        <f>'10月（既存移管合算）'!AH241</f>
        <v>1</v>
      </c>
      <c r="Z72" s="3">
        <f>'10月（既存移管合算）'!AI241</f>
        <v>1</v>
      </c>
      <c r="AA72" s="3">
        <f>'10月（既存移管合算）'!AJ241</f>
        <v>1</v>
      </c>
      <c r="AB72" s="3">
        <f>'10月（既存移管合算）'!AK241</f>
        <v>1</v>
      </c>
      <c r="AC72" s="3">
        <f>'10月（既存移管合算）'!AL241</f>
        <v>1</v>
      </c>
      <c r="AD72" s="3">
        <f>'10月（既存移管合算）'!AM241</f>
        <v>1</v>
      </c>
      <c r="AE72" s="3">
        <f>'10月（既存移管合算）'!AN241</f>
        <v>1</v>
      </c>
      <c r="AF72" s="3">
        <f>'10月（既存移管合算）'!AO241</f>
        <v>1</v>
      </c>
      <c r="AG72" s="3">
        <f>'10月（既存移管合算）'!AP241</f>
        <v>1</v>
      </c>
      <c r="AH72" s="3">
        <f>'10月（既存移管合算）'!AQ241</f>
        <v>1</v>
      </c>
      <c r="AI72" s="3">
        <f>'10月（既存移管合算）'!AR241</f>
        <v>1</v>
      </c>
      <c r="AJ72" s="3">
        <f>'10月（既存移管合算）'!AS241</f>
        <v>1</v>
      </c>
      <c r="AK72" s="3">
        <f>'10月（既存移管合算）'!AT241</f>
        <v>1</v>
      </c>
      <c r="AL72" s="3">
        <f>'10月（既存移管合算）'!AU241</f>
        <v>1</v>
      </c>
      <c r="AM72" s="3">
        <f>'10月（既存移管合算）'!AV241</f>
        <v>1</v>
      </c>
      <c r="AN72" s="3">
        <f>'10月（既存移管合算）'!AW241</f>
        <v>1</v>
      </c>
      <c r="AO72" s="3">
        <f>'10月（既存移管合算）'!AX241</f>
        <v>1</v>
      </c>
      <c r="AP72" s="3">
        <f>'10月（既存移管合算）'!AY241</f>
        <v>1</v>
      </c>
      <c r="AQ72" s="3">
        <f>'10月（既存移管合算）'!AZ241</f>
        <v>1</v>
      </c>
      <c r="AR72" s="3">
        <f>'10月（既存移管合算）'!BA241</f>
        <v>1</v>
      </c>
      <c r="AS72" s="3">
        <f>'10月（既存移管合算）'!BB241</f>
        <v>1</v>
      </c>
      <c r="AT72" s="3">
        <f>'10月（既存移管合算）'!BC241</f>
        <v>1</v>
      </c>
      <c r="AU72" s="3">
        <f>'10月（既存移管合算）'!BD241</f>
        <v>1</v>
      </c>
      <c r="AV72" s="3">
        <f>'10月（既存移管合算）'!BE241</f>
        <v>1</v>
      </c>
      <c r="AW72" s="10">
        <f t="shared" ref="AW72:AW103" si="12">SUM(P72:AV72)</f>
        <v>33</v>
      </c>
    </row>
    <row r="73" spans="1:49" ht="22" customHeight="1">
      <c r="A73" s="34" t="s">
        <v>168</v>
      </c>
      <c r="B73" s="35" t="s">
        <v>169</v>
      </c>
      <c r="C73" s="32"/>
      <c r="D73" s="39"/>
      <c r="E73" s="43">
        <v>18000</v>
      </c>
      <c r="F73" s="43">
        <v>18000</v>
      </c>
      <c r="G73" s="43">
        <v>18000</v>
      </c>
      <c r="H73" s="43">
        <v>18000</v>
      </c>
      <c r="I73" s="43">
        <v>18000</v>
      </c>
      <c r="J73" s="43">
        <v>18000</v>
      </c>
      <c r="K73" s="38">
        <v>0.25641025641025639</v>
      </c>
      <c r="L73" s="36">
        <f t="shared" si="10"/>
        <v>41</v>
      </c>
      <c r="M73" s="38">
        <v>0.316</v>
      </c>
      <c r="N73" s="38">
        <v>0.25641025641025639</v>
      </c>
      <c r="O73" s="36">
        <f t="shared" si="11"/>
        <v>41</v>
      </c>
      <c r="P73" s="36">
        <f>'10月（既存移管合算）'!Y244</f>
        <v>8</v>
      </c>
      <c r="Q73" s="36">
        <f>'10月（既存移管合算）'!Z244</f>
        <v>8</v>
      </c>
      <c r="R73" s="36">
        <f>'10月（既存移管合算）'!AA244</f>
        <v>8</v>
      </c>
      <c r="S73" s="36">
        <f>'10月（既存移管合算）'!AB244</f>
        <v>8</v>
      </c>
      <c r="T73" s="36">
        <f>'10月（既存移管合算）'!AC244</f>
        <v>8</v>
      </c>
      <c r="U73" s="36">
        <f>'10月（既存移管合算）'!AD244</f>
        <v>8</v>
      </c>
      <c r="V73" s="36">
        <f>'10月（既存移管合算）'!AE244</f>
        <v>8</v>
      </c>
      <c r="W73" s="36">
        <f>'10月（既存移管合算）'!AF244</f>
        <v>8</v>
      </c>
      <c r="X73" s="36">
        <f>'10月（既存移管合算）'!AG244</f>
        <v>11</v>
      </c>
      <c r="Y73" s="36">
        <f>'10月（既存移管合算）'!AH244</f>
        <v>11</v>
      </c>
      <c r="Z73" s="36">
        <f>'10月（既存移管合算）'!AI244</f>
        <v>8</v>
      </c>
      <c r="AA73" s="36">
        <f>'10月（既存移管合算）'!AJ244</f>
        <v>3</v>
      </c>
      <c r="AB73" s="36">
        <f>'10月（既存移管合算）'!AK244</f>
        <v>3</v>
      </c>
      <c r="AC73" s="36">
        <f>'10月（既存移管合算）'!AL244</f>
        <v>3</v>
      </c>
      <c r="AD73" s="36">
        <f>'10月（既存移管合算）'!AM244</f>
        <v>3</v>
      </c>
      <c r="AE73" s="36">
        <f>'10月（既存移管合算）'!AN244</f>
        <v>3</v>
      </c>
      <c r="AF73" s="36">
        <f>'10月（既存移管合算）'!AO244</f>
        <v>3</v>
      </c>
      <c r="AG73" s="36">
        <f>'10月（既存移管合算）'!AP244</f>
        <v>3</v>
      </c>
      <c r="AH73" s="36">
        <f>'10月（既存移管合算）'!AQ244</f>
        <v>3</v>
      </c>
      <c r="AI73" s="36">
        <f>'10月（既存移管合算）'!AR244</f>
        <v>3</v>
      </c>
      <c r="AJ73" s="36">
        <f>'10月（既存移管合算）'!AS244</f>
        <v>3</v>
      </c>
      <c r="AK73" s="36">
        <f>'10月（既存移管合算）'!AT244</f>
        <v>3</v>
      </c>
      <c r="AL73" s="36">
        <f>'10月（既存移管合算）'!AU244</f>
        <v>3</v>
      </c>
      <c r="AM73" s="36">
        <f>'10月（既存移管合算）'!AV244</f>
        <v>3</v>
      </c>
      <c r="AN73" s="36">
        <f>'10月（既存移管合算）'!AW244</f>
        <v>3</v>
      </c>
      <c r="AO73" s="36">
        <f>'10月（既存移管合算）'!AX244</f>
        <v>3</v>
      </c>
      <c r="AP73" s="36">
        <f>'10月（既存移管合算）'!AY244</f>
        <v>3</v>
      </c>
      <c r="AQ73" s="36">
        <f>'10月（既存移管合算）'!AZ244</f>
        <v>3</v>
      </c>
      <c r="AR73" s="36">
        <f>'10月（既存移管合算）'!BA244</f>
        <v>3</v>
      </c>
      <c r="AS73" s="36">
        <f>'10月（既存移管合算）'!BB244</f>
        <v>3</v>
      </c>
      <c r="AT73" s="36">
        <f>'10月（既存移管合算）'!BC244</f>
        <v>3</v>
      </c>
      <c r="AU73" s="36">
        <f>'10月（既存移管合算）'!BD244</f>
        <v>2</v>
      </c>
      <c r="AV73" s="36">
        <f>'10月（既存移管合算）'!BE244</f>
        <v>2</v>
      </c>
      <c r="AW73" s="10">
        <f t="shared" si="12"/>
        <v>158</v>
      </c>
    </row>
    <row r="74" spans="1:49" ht="22" customHeight="1">
      <c r="A74" s="26" t="s">
        <v>94</v>
      </c>
      <c r="B74" s="27" t="s">
        <v>170</v>
      </c>
      <c r="C74" s="25" t="s">
        <v>212</v>
      </c>
      <c r="D74" s="9"/>
      <c r="E74" s="31">
        <v>9000</v>
      </c>
      <c r="F74" s="31">
        <v>9000</v>
      </c>
      <c r="G74" s="31">
        <v>11000</v>
      </c>
      <c r="H74" s="31">
        <v>9000</v>
      </c>
      <c r="I74" s="31">
        <v>9000</v>
      </c>
      <c r="J74" s="31">
        <v>9000</v>
      </c>
      <c r="K74" s="28">
        <v>0.1</v>
      </c>
      <c r="L74" s="3">
        <f t="shared" si="10"/>
        <v>1</v>
      </c>
      <c r="M74" s="28">
        <v>0.5</v>
      </c>
      <c r="N74" s="28">
        <v>0.1</v>
      </c>
      <c r="O74" s="3">
        <f t="shared" si="11"/>
        <v>1</v>
      </c>
      <c r="P74" s="3">
        <f>'10月（既存移管合算）'!Y247</f>
        <v>0</v>
      </c>
      <c r="Q74" s="3">
        <f>'10月（既存移管合算）'!Z247</f>
        <v>2</v>
      </c>
      <c r="R74" s="3">
        <f>'10月（既存移管合算）'!AA247</f>
        <v>2</v>
      </c>
      <c r="S74" s="3">
        <f>'10月（既存移管合算）'!AB247</f>
        <v>0</v>
      </c>
      <c r="T74" s="3">
        <f>'10月（既存移管合算）'!AC247</f>
        <v>0</v>
      </c>
      <c r="U74" s="3">
        <f>'10月（既存移管合算）'!AD247</f>
        <v>0</v>
      </c>
      <c r="V74" s="3">
        <f>'10月（既存移管合算）'!AE247</f>
        <v>0</v>
      </c>
      <c r="W74" s="3">
        <f>'10月（既存移管合算）'!AF247</f>
        <v>0</v>
      </c>
      <c r="X74" s="3">
        <f>'10月（既存移管合算）'!AG247</f>
        <v>2</v>
      </c>
      <c r="Y74" s="3">
        <f>'10月（既存移管合算）'!AH247</f>
        <v>0</v>
      </c>
      <c r="Z74" s="3">
        <f>'10月（既存移管合算）'!AI247</f>
        <v>0</v>
      </c>
      <c r="AA74" s="3">
        <f>'10月（既存移管合算）'!AJ247</f>
        <v>0</v>
      </c>
      <c r="AB74" s="3">
        <f>'10月（既存移管合算）'!AK247</f>
        <v>0</v>
      </c>
      <c r="AC74" s="3">
        <f>'10月（既存移管合算）'!AL247</f>
        <v>0</v>
      </c>
      <c r="AD74" s="3">
        <f>'10月（既存移管合算）'!AM247</f>
        <v>0</v>
      </c>
      <c r="AE74" s="3">
        <f>'10月（既存移管合算）'!AN247</f>
        <v>0</v>
      </c>
      <c r="AF74" s="3">
        <f>'10月（既存移管合算）'!AO247</f>
        <v>0</v>
      </c>
      <c r="AG74" s="3">
        <f>'10月（既存移管合算）'!AP247</f>
        <v>0</v>
      </c>
      <c r="AH74" s="3">
        <f>'10月（既存移管合算）'!AQ247</f>
        <v>0</v>
      </c>
      <c r="AI74" s="3">
        <f>'10月（既存移管合算）'!AR247</f>
        <v>0</v>
      </c>
      <c r="AJ74" s="3">
        <f>'10月（既存移管合算）'!AS247</f>
        <v>0</v>
      </c>
      <c r="AK74" s="3">
        <f>'10月（既存移管合算）'!AT247</f>
        <v>0</v>
      </c>
      <c r="AL74" s="3">
        <f>'10月（既存移管合算）'!AU247</f>
        <v>0</v>
      </c>
      <c r="AM74" s="3">
        <f>'10月（既存移管合算）'!AV247</f>
        <v>0</v>
      </c>
      <c r="AN74" s="3">
        <f>'10月（既存移管合算）'!AW247</f>
        <v>0</v>
      </c>
      <c r="AO74" s="3">
        <f>'10月（既存移管合算）'!AX247</f>
        <v>0</v>
      </c>
      <c r="AP74" s="3">
        <f>'10月（既存移管合算）'!AY247</f>
        <v>0</v>
      </c>
      <c r="AQ74" s="3">
        <f>'10月（既存移管合算）'!AZ247</f>
        <v>0</v>
      </c>
      <c r="AR74" s="3">
        <f>'10月（既存移管合算）'!BA247</f>
        <v>0</v>
      </c>
      <c r="AS74" s="3">
        <f>'10月（既存移管合算）'!BB247</f>
        <v>0</v>
      </c>
      <c r="AT74" s="3">
        <f>'10月（既存移管合算）'!BC247</f>
        <v>0</v>
      </c>
      <c r="AU74" s="3">
        <f>'10月（既存移管合算）'!BD247</f>
        <v>0</v>
      </c>
      <c r="AV74" s="3">
        <f>'10月（既存移管合算）'!BE247</f>
        <v>0</v>
      </c>
      <c r="AW74" s="10">
        <f t="shared" si="12"/>
        <v>6</v>
      </c>
    </row>
    <row r="75" spans="1:49" ht="22" customHeight="1">
      <c r="A75" s="34" t="s">
        <v>84</v>
      </c>
      <c r="B75" s="35" t="s">
        <v>171</v>
      </c>
      <c r="C75" s="32" t="s">
        <v>212</v>
      </c>
      <c r="D75" s="39"/>
      <c r="E75" s="43">
        <v>9000</v>
      </c>
      <c r="F75" s="43">
        <v>9000</v>
      </c>
      <c r="G75" s="43">
        <v>13000</v>
      </c>
      <c r="H75" s="43">
        <v>9000</v>
      </c>
      <c r="I75" s="43">
        <v>9000</v>
      </c>
      <c r="J75" s="43">
        <v>9000</v>
      </c>
      <c r="K75" s="38">
        <v>0.1785714285714286</v>
      </c>
      <c r="L75" s="36">
        <f t="shared" si="10"/>
        <v>1</v>
      </c>
      <c r="M75" s="38">
        <v>0.71399999999999997</v>
      </c>
      <c r="N75" s="38">
        <v>0.1785714285714286</v>
      </c>
      <c r="O75" s="36">
        <f t="shared" si="11"/>
        <v>1</v>
      </c>
      <c r="P75" s="36">
        <f>'10月（既存移管合算）'!Y251</f>
        <v>0</v>
      </c>
      <c r="Q75" s="36">
        <f>'10月（既存移管合算）'!Z251</f>
        <v>2</v>
      </c>
      <c r="R75" s="36">
        <f>'10月（既存移管合算）'!AA251</f>
        <v>0</v>
      </c>
      <c r="S75" s="36">
        <f>'10月（既存移管合算）'!AB251</f>
        <v>0</v>
      </c>
      <c r="T75" s="36">
        <f>'10月（既存移管合算）'!AC251</f>
        <v>0</v>
      </c>
      <c r="U75" s="36">
        <f>'10月（既存移管合算）'!AD251</f>
        <v>0</v>
      </c>
      <c r="V75" s="36">
        <f>'10月（既存移管合算）'!AE251</f>
        <v>0</v>
      </c>
      <c r="W75" s="36">
        <f>'10月（既存移管合算）'!AF251</f>
        <v>0</v>
      </c>
      <c r="X75" s="36">
        <f>'10月（既存移管合算）'!AG251</f>
        <v>2</v>
      </c>
      <c r="Y75" s="36">
        <f>'10月（既存移管合算）'!AH251</f>
        <v>0</v>
      </c>
      <c r="Z75" s="36">
        <f>'10月（既存移管合算）'!AI251</f>
        <v>0</v>
      </c>
      <c r="AA75" s="36">
        <f>'10月（既存移管合算）'!AJ251</f>
        <v>0</v>
      </c>
      <c r="AB75" s="36">
        <f>'10月（既存移管合算）'!AK251</f>
        <v>0</v>
      </c>
      <c r="AC75" s="36">
        <f>'10月（既存移管合算）'!AL251</f>
        <v>0</v>
      </c>
      <c r="AD75" s="36">
        <f>'10月（既存移管合算）'!AM251</f>
        <v>0</v>
      </c>
      <c r="AE75" s="36">
        <f>'10月（既存移管合算）'!AN251</f>
        <v>0</v>
      </c>
      <c r="AF75" s="36">
        <f>'10月（既存移管合算）'!AO251</f>
        <v>0</v>
      </c>
      <c r="AG75" s="36">
        <f>'10月（既存移管合算）'!AP251</f>
        <v>0</v>
      </c>
      <c r="AH75" s="36">
        <f>'10月（既存移管合算）'!AQ251</f>
        <v>0</v>
      </c>
      <c r="AI75" s="36">
        <f>'10月（既存移管合算）'!AR251</f>
        <v>0</v>
      </c>
      <c r="AJ75" s="36">
        <f>'10月（既存移管合算）'!AS251</f>
        <v>0</v>
      </c>
      <c r="AK75" s="36">
        <f>'10月（既存移管合算）'!AT251</f>
        <v>0</v>
      </c>
      <c r="AL75" s="36">
        <f>'10月（既存移管合算）'!AU251</f>
        <v>0</v>
      </c>
      <c r="AM75" s="36">
        <f>'10月（既存移管合算）'!AV251</f>
        <v>0</v>
      </c>
      <c r="AN75" s="36">
        <f>'10月（既存移管合算）'!AW251</f>
        <v>0</v>
      </c>
      <c r="AO75" s="36">
        <f>'10月（既存移管合算）'!AX251</f>
        <v>0</v>
      </c>
      <c r="AP75" s="36">
        <f>'10月（既存移管合算）'!AY251</f>
        <v>0</v>
      </c>
      <c r="AQ75" s="36">
        <f>'10月（既存移管合算）'!AZ251</f>
        <v>0</v>
      </c>
      <c r="AR75" s="36">
        <f>'10月（既存移管合算）'!BA251</f>
        <v>0</v>
      </c>
      <c r="AS75" s="36">
        <f>'10月（既存移管合算）'!BB251</f>
        <v>0</v>
      </c>
      <c r="AT75" s="36">
        <f>'10月（既存移管合算）'!BC251</f>
        <v>0</v>
      </c>
      <c r="AU75" s="36">
        <f>'10月（既存移管合算）'!BD251</f>
        <v>0</v>
      </c>
      <c r="AV75" s="36">
        <f>'10月（既存移管合算）'!BE251</f>
        <v>0</v>
      </c>
      <c r="AW75" s="10">
        <f t="shared" si="12"/>
        <v>4</v>
      </c>
    </row>
    <row r="76" spans="1:49" ht="22" customHeight="1">
      <c r="A76" s="26" t="s">
        <v>96</v>
      </c>
      <c r="B76" s="27" t="s">
        <v>172</v>
      </c>
      <c r="C76" s="25" t="s">
        <v>212</v>
      </c>
      <c r="D76" s="9"/>
      <c r="E76" s="31">
        <v>9000</v>
      </c>
      <c r="F76" s="31">
        <v>9000</v>
      </c>
      <c r="G76" s="31">
        <v>13000</v>
      </c>
      <c r="H76" s="31">
        <v>9000</v>
      </c>
      <c r="I76" s="31">
        <v>9000</v>
      </c>
      <c r="J76" s="31">
        <v>9000</v>
      </c>
      <c r="K76" s="28">
        <v>3.3333333333333333E-2</v>
      </c>
      <c r="L76" s="3">
        <f t="shared" si="10"/>
        <v>0</v>
      </c>
      <c r="M76" s="28">
        <v>0.59099999999999997</v>
      </c>
      <c r="N76" s="28">
        <v>3.3333333333333333E-2</v>
      </c>
      <c r="O76" s="3">
        <f t="shared" si="11"/>
        <v>0</v>
      </c>
      <c r="P76" s="3">
        <f>'10月（既存移管合算）'!Y255</f>
        <v>0</v>
      </c>
      <c r="Q76" s="3">
        <f>'10月（既存移管合算）'!Z255</f>
        <v>0</v>
      </c>
      <c r="R76" s="3">
        <f>'10月（既存移管合算）'!AA255</f>
        <v>2</v>
      </c>
      <c r="S76" s="3">
        <f>'10月（既存移管合算）'!AB255</f>
        <v>0</v>
      </c>
      <c r="T76" s="3">
        <f>'10月（既存移管合算）'!AC255</f>
        <v>0</v>
      </c>
      <c r="U76" s="3">
        <f>'10月（既存移管合算）'!AD255</f>
        <v>0</v>
      </c>
      <c r="V76" s="3">
        <f>'10月（既存移管合算）'!AE255</f>
        <v>0</v>
      </c>
      <c r="W76" s="3">
        <f>'10月（既存移管合算）'!AF255</f>
        <v>0</v>
      </c>
      <c r="X76" s="3">
        <f>'10月（既存移管合算）'!AG255</f>
        <v>0</v>
      </c>
      <c r="Y76" s="3">
        <f>'10月（既存移管合算）'!AH255</f>
        <v>0</v>
      </c>
      <c r="Z76" s="3">
        <f>'10月（既存移管合算）'!AI255</f>
        <v>0</v>
      </c>
      <c r="AA76" s="3">
        <f>'10月（既存移管合算）'!AJ255</f>
        <v>0</v>
      </c>
      <c r="AB76" s="3">
        <f>'10月（既存移管合算）'!AK255</f>
        <v>0</v>
      </c>
      <c r="AC76" s="3">
        <f>'10月（既存移管合算）'!AL255</f>
        <v>0</v>
      </c>
      <c r="AD76" s="3">
        <f>'10月（既存移管合算）'!AM255</f>
        <v>0</v>
      </c>
      <c r="AE76" s="3">
        <f>'10月（既存移管合算）'!AN255</f>
        <v>0</v>
      </c>
      <c r="AF76" s="3">
        <f>'10月（既存移管合算）'!AO255</f>
        <v>0</v>
      </c>
      <c r="AG76" s="3">
        <f>'10月（既存移管合算）'!AP255</f>
        <v>0</v>
      </c>
      <c r="AH76" s="3">
        <f>'10月（既存移管合算）'!AQ255</f>
        <v>0</v>
      </c>
      <c r="AI76" s="3">
        <f>'10月（既存移管合算）'!AR255</f>
        <v>0</v>
      </c>
      <c r="AJ76" s="3">
        <f>'10月（既存移管合算）'!AS255</f>
        <v>0</v>
      </c>
      <c r="AK76" s="3">
        <f>'10月（既存移管合算）'!AT255</f>
        <v>0</v>
      </c>
      <c r="AL76" s="3">
        <f>'10月（既存移管合算）'!AU255</f>
        <v>0</v>
      </c>
      <c r="AM76" s="3">
        <f>'10月（既存移管合算）'!AV255</f>
        <v>0</v>
      </c>
      <c r="AN76" s="3">
        <f>'10月（既存移管合算）'!AW255</f>
        <v>0</v>
      </c>
      <c r="AO76" s="3">
        <f>'10月（既存移管合算）'!AX255</f>
        <v>0</v>
      </c>
      <c r="AP76" s="3">
        <f>'10月（既存移管合算）'!AY255</f>
        <v>0</v>
      </c>
      <c r="AQ76" s="3">
        <f>'10月（既存移管合算）'!AZ255</f>
        <v>0</v>
      </c>
      <c r="AR76" s="3">
        <f>'10月（既存移管合算）'!BA255</f>
        <v>0</v>
      </c>
      <c r="AS76" s="3">
        <f>'10月（既存移管合算）'!BB255</f>
        <v>0</v>
      </c>
      <c r="AT76" s="3">
        <f>'10月（既存移管合算）'!BC255</f>
        <v>0</v>
      </c>
      <c r="AU76" s="3">
        <f>'10月（既存移管合算）'!BD255</f>
        <v>0</v>
      </c>
      <c r="AV76" s="3">
        <f>'10月（既存移管合算）'!BE255</f>
        <v>0</v>
      </c>
      <c r="AW76" s="10">
        <f t="shared" si="12"/>
        <v>2</v>
      </c>
    </row>
    <row r="77" spans="1:49" ht="22" customHeight="1">
      <c r="A77" s="34" t="s">
        <v>74</v>
      </c>
      <c r="B77" s="35" t="s">
        <v>173</v>
      </c>
      <c r="C77" s="32"/>
      <c r="D77" s="39"/>
      <c r="E77" s="43">
        <v>9000</v>
      </c>
      <c r="F77" s="43">
        <v>9000</v>
      </c>
      <c r="G77" s="43">
        <v>14000</v>
      </c>
      <c r="H77" s="43">
        <v>9000</v>
      </c>
      <c r="I77" s="43">
        <v>9000</v>
      </c>
      <c r="J77" s="43">
        <v>9000</v>
      </c>
      <c r="K77" s="38">
        <v>6.8965517241379309E-2</v>
      </c>
      <c r="L77" s="36">
        <f t="shared" si="10"/>
        <v>0</v>
      </c>
      <c r="M77" s="38">
        <v>0.60499999999999998</v>
      </c>
      <c r="N77" s="38">
        <v>6.8965517241379309E-2</v>
      </c>
      <c r="O77" s="36">
        <f t="shared" si="11"/>
        <v>0</v>
      </c>
      <c r="P77" s="36">
        <f>'10月（既存移管合算）'!Y259</f>
        <v>0</v>
      </c>
      <c r="Q77" s="36">
        <f>'10月（既存移管合算）'!Z259</f>
        <v>0</v>
      </c>
      <c r="R77" s="36">
        <f>'10月（既存移管合算）'!AA259</f>
        <v>0</v>
      </c>
      <c r="S77" s="36">
        <f>'10月（既存移管合算）'!AB259</f>
        <v>0</v>
      </c>
      <c r="T77" s="36">
        <f>'10月（既存移管合算）'!AC259</f>
        <v>0</v>
      </c>
      <c r="U77" s="36">
        <f>'10月（既存移管合算）'!AD259</f>
        <v>0</v>
      </c>
      <c r="V77" s="36">
        <f>'10月（既存移管合算）'!AE259</f>
        <v>0</v>
      </c>
      <c r="W77" s="36">
        <f>'10月（既存移管合算）'!AF259</f>
        <v>0</v>
      </c>
      <c r="X77" s="36">
        <f>'10月（既存移管合算）'!AG259</f>
        <v>0</v>
      </c>
      <c r="Y77" s="36">
        <f>'10月（既存移管合算）'!AH259</f>
        <v>0</v>
      </c>
      <c r="Z77" s="36">
        <f>'10月（既存移管合算）'!AI259</f>
        <v>0</v>
      </c>
      <c r="AA77" s="36">
        <f>'10月（既存移管合算）'!AJ259</f>
        <v>0</v>
      </c>
      <c r="AB77" s="36">
        <f>'10月（既存移管合算）'!AK259</f>
        <v>0</v>
      </c>
      <c r="AC77" s="36">
        <f>'10月（既存移管合算）'!AL259</f>
        <v>0</v>
      </c>
      <c r="AD77" s="36">
        <f>'10月（既存移管合算）'!AM259</f>
        <v>0</v>
      </c>
      <c r="AE77" s="36">
        <f>'10月（既存移管合算）'!AN259</f>
        <v>0</v>
      </c>
      <c r="AF77" s="36">
        <f>'10月（既存移管合算）'!AO259</f>
        <v>0</v>
      </c>
      <c r="AG77" s="36">
        <f>'10月（既存移管合算）'!AP259</f>
        <v>0</v>
      </c>
      <c r="AH77" s="36">
        <f>'10月（既存移管合算）'!AQ259</f>
        <v>0</v>
      </c>
      <c r="AI77" s="36">
        <f>'10月（既存移管合算）'!AR259</f>
        <v>0</v>
      </c>
      <c r="AJ77" s="36">
        <f>'10月（既存移管合算）'!AS259</f>
        <v>0</v>
      </c>
      <c r="AK77" s="36">
        <f>'10月（既存移管合算）'!AT259</f>
        <v>0</v>
      </c>
      <c r="AL77" s="36">
        <f>'10月（既存移管合算）'!AU259</f>
        <v>0</v>
      </c>
      <c r="AM77" s="36">
        <f>'10月（既存移管合算）'!AV259</f>
        <v>0</v>
      </c>
      <c r="AN77" s="36">
        <f>'10月（既存移管合算）'!AW259</f>
        <v>0</v>
      </c>
      <c r="AO77" s="36">
        <f>'10月（既存移管合算）'!AX259</f>
        <v>0</v>
      </c>
      <c r="AP77" s="36">
        <f>'10月（既存移管合算）'!AY259</f>
        <v>0</v>
      </c>
      <c r="AQ77" s="36">
        <f>'10月（既存移管合算）'!AZ259</f>
        <v>0</v>
      </c>
      <c r="AR77" s="36">
        <f>'10月（既存移管合算）'!BA259</f>
        <v>0</v>
      </c>
      <c r="AS77" s="36">
        <f>'10月（既存移管合算）'!BB259</f>
        <v>1</v>
      </c>
      <c r="AT77" s="36">
        <f>'10月（既存移管合算）'!BC259</f>
        <v>1</v>
      </c>
      <c r="AU77" s="36">
        <f>'10月（既存移管合算）'!BD259</f>
        <v>0</v>
      </c>
      <c r="AV77" s="36">
        <f>'10月（既存移管合算）'!BE259</f>
        <v>0</v>
      </c>
      <c r="AW77" s="10">
        <f t="shared" si="12"/>
        <v>2</v>
      </c>
    </row>
    <row r="78" spans="1:49" ht="22" customHeight="1">
      <c r="A78" s="26" t="s">
        <v>66</v>
      </c>
      <c r="B78" s="27" t="s">
        <v>174</v>
      </c>
      <c r="C78" s="25" t="s">
        <v>212</v>
      </c>
      <c r="D78" s="9"/>
      <c r="E78" s="31">
        <v>9000</v>
      </c>
      <c r="F78" s="31">
        <v>9000</v>
      </c>
      <c r="G78" s="31">
        <v>12000</v>
      </c>
      <c r="H78" s="31">
        <v>9000</v>
      </c>
      <c r="I78" s="31">
        <v>9000</v>
      </c>
      <c r="J78" s="31">
        <v>9000</v>
      </c>
      <c r="K78" s="28">
        <v>0.1</v>
      </c>
      <c r="L78" s="3">
        <f t="shared" si="10"/>
        <v>0</v>
      </c>
      <c r="M78" s="28">
        <v>0.50600000000000001</v>
      </c>
      <c r="N78" s="28">
        <v>0.1</v>
      </c>
      <c r="O78" s="3">
        <f t="shared" si="11"/>
        <v>0</v>
      </c>
      <c r="P78" s="3">
        <f>'10月（既存移管合算）'!Y262</f>
        <v>0</v>
      </c>
      <c r="Q78" s="3">
        <f>'10月（既存移管合算）'!Z262</f>
        <v>0</v>
      </c>
      <c r="R78" s="3">
        <f>'10月（既存移管合算）'!AA262</f>
        <v>0</v>
      </c>
      <c r="S78" s="3">
        <f>'10月（既存移管合算）'!AB262</f>
        <v>0</v>
      </c>
      <c r="T78" s="3">
        <f>'10月（既存移管合算）'!AC262</f>
        <v>0</v>
      </c>
      <c r="U78" s="3">
        <f>'10月（既存移管合算）'!AD262</f>
        <v>0</v>
      </c>
      <c r="V78" s="3">
        <f>'10月（既存移管合算）'!AE262</f>
        <v>0</v>
      </c>
      <c r="W78" s="3">
        <f>'10月（既存移管合算）'!AF262</f>
        <v>0</v>
      </c>
      <c r="X78" s="3">
        <f>'10月（既存移管合算）'!AG262</f>
        <v>0</v>
      </c>
      <c r="Y78" s="3">
        <f>'10月（既存移管合算）'!AH262</f>
        <v>0</v>
      </c>
      <c r="Z78" s="3">
        <f>'10月（既存移管合算）'!AI262</f>
        <v>0</v>
      </c>
      <c r="AA78" s="3">
        <f>'10月（既存移管合算）'!AJ262</f>
        <v>0</v>
      </c>
      <c r="AB78" s="3">
        <f>'10月（既存移管合算）'!AK262</f>
        <v>0</v>
      </c>
      <c r="AC78" s="3">
        <f>'10月（既存移管合算）'!AL262</f>
        <v>0</v>
      </c>
      <c r="AD78" s="3">
        <f>'10月（既存移管合算）'!AM262</f>
        <v>0</v>
      </c>
      <c r="AE78" s="3">
        <f>'10月（既存移管合算）'!AN262</f>
        <v>0</v>
      </c>
      <c r="AF78" s="3">
        <f>'10月（既存移管合算）'!AO262</f>
        <v>0</v>
      </c>
      <c r="AG78" s="3">
        <f>'10月（既存移管合算）'!AP262</f>
        <v>0</v>
      </c>
      <c r="AH78" s="3">
        <f>'10月（既存移管合算）'!AQ262</f>
        <v>0</v>
      </c>
      <c r="AI78" s="3">
        <f>'10月（既存移管合算）'!AR262</f>
        <v>0</v>
      </c>
      <c r="AJ78" s="3">
        <f>'10月（既存移管合算）'!AS262</f>
        <v>0</v>
      </c>
      <c r="AK78" s="3">
        <f>'10月（既存移管合算）'!AT262</f>
        <v>0</v>
      </c>
      <c r="AL78" s="3">
        <f>'10月（既存移管合算）'!AU262</f>
        <v>0</v>
      </c>
      <c r="AM78" s="3">
        <f>'10月（既存移管合算）'!AV262</f>
        <v>0</v>
      </c>
      <c r="AN78" s="3">
        <f>'10月（既存移管合算）'!AW262</f>
        <v>0</v>
      </c>
      <c r="AO78" s="3">
        <f>'10月（既存移管合算）'!AX262</f>
        <v>0</v>
      </c>
      <c r="AP78" s="3">
        <f>'10月（既存移管合算）'!AY262</f>
        <v>0</v>
      </c>
      <c r="AQ78" s="3">
        <f>'10月（既存移管合算）'!AZ262</f>
        <v>0</v>
      </c>
      <c r="AR78" s="3">
        <f>'10月（既存移管合算）'!BA262</f>
        <v>0</v>
      </c>
      <c r="AS78" s="3">
        <f>'10月（既存移管合算）'!BB262</f>
        <v>1</v>
      </c>
      <c r="AT78" s="3">
        <f>'10月（既存移管合算）'!BC262</f>
        <v>1</v>
      </c>
      <c r="AU78" s="3">
        <f>'10月（既存移管合算）'!BD262</f>
        <v>0</v>
      </c>
      <c r="AV78" s="3">
        <f>'10月（既存移管合算）'!BE262</f>
        <v>0</v>
      </c>
      <c r="AW78" s="10">
        <f t="shared" si="12"/>
        <v>2</v>
      </c>
    </row>
    <row r="79" spans="1:49" ht="22" customHeight="1">
      <c r="A79" s="34" t="s">
        <v>39</v>
      </c>
      <c r="B79" s="35" t="s">
        <v>175</v>
      </c>
      <c r="C79" s="32" t="s">
        <v>212</v>
      </c>
      <c r="D79" s="39"/>
      <c r="E79" s="43">
        <v>9000</v>
      </c>
      <c r="F79" s="43">
        <v>9000</v>
      </c>
      <c r="G79" s="43">
        <v>19000</v>
      </c>
      <c r="H79" s="43">
        <v>9000</v>
      </c>
      <c r="I79" s="43">
        <v>9000</v>
      </c>
      <c r="J79" s="43">
        <v>9000</v>
      </c>
      <c r="K79" s="38">
        <v>0.19538461538461541</v>
      </c>
      <c r="L79" s="36">
        <f t="shared" si="10"/>
        <v>7</v>
      </c>
      <c r="M79" s="38">
        <v>0.76900000000000002</v>
      </c>
      <c r="N79" s="38">
        <v>0.19538461538461541</v>
      </c>
      <c r="O79" s="36">
        <f t="shared" si="11"/>
        <v>7</v>
      </c>
      <c r="P79" s="36">
        <f>'10月（既存移管合算）'!Y266</f>
        <v>1</v>
      </c>
      <c r="Q79" s="36">
        <f>'10月（既存移管合算）'!Z266</f>
        <v>2</v>
      </c>
      <c r="R79" s="36">
        <f>'10月（既存移管合算）'!AA266</f>
        <v>1</v>
      </c>
      <c r="S79" s="36">
        <f>'10月（既存移管合算）'!AB266</f>
        <v>1</v>
      </c>
      <c r="T79" s="36">
        <f>'10月（既存移管合算）'!AC266</f>
        <v>1</v>
      </c>
      <c r="U79" s="36">
        <f>'10月（既存移管合算）'!AD266</f>
        <v>1</v>
      </c>
      <c r="V79" s="36">
        <f>'10月（既存移管合算）'!AE266</f>
        <v>1</v>
      </c>
      <c r="W79" s="36">
        <f>'10月（既存移管合算）'!AF266</f>
        <v>1</v>
      </c>
      <c r="X79" s="36">
        <f>'10月（既存移管合算）'!AG266</f>
        <v>1</v>
      </c>
      <c r="Y79" s="36">
        <f>'10月（既存移管合算）'!AH266</f>
        <v>1</v>
      </c>
      <c r="Z79" s="36">
        <f>'10月（既存移管合算）'!AI266</f>
        <v>1</v>
      </c>
      <c r="AA79" s="36">
        <f>'10月（既存移管合算）'!AJ266</f>
        <v>1</v>
      </c>
      <c r="AB79" s="36">
        <f>'10月（既存移管合算）'!AK266</f>
        <v>1</v>
      </c>
      <c r="AC79" s="36">
        <f>'10月（既存移管合算）'!AL266</f>
        <v>1</v>
      </c>
      <c r="AD79" s="36">
        <f>'10月（既存移管合算）'!AM266</f>
        <v>1</v>
      </c>
      <c r="AE79" s="36">
        <f>'10月（既存移管合算）'!AN266</f>
        <v>1</v>
      </c>
      <c r="AF79" s="36">
        <f>'10月（既存移管合算）'!AO266</f>
        <v>1</v>
      </c>
      <c r="AG79" s="36">
        <f>'10月（既存移管合算）'!AP266</f>
        <v>1</v>
      </c>
      <c r="AH79" s="36">
        <f>'10月（既存移管合算）'!AQ266</f>
        <v>1</v>
      </c>
      <c r="AI79" s="36">
        <f>'10月（既存移管合算）'!AR266</f>
        <v>1</v>
      </c>
      <c r="AJ79" s="36">
        <f>'10月（既存移管合算）'!AS266</f>
        <v>1</v>
      </c>
      <c r="AK79" s="36">
        <f>'10月（既存移管合算）'!AT266</f>
        <v>1</v>
      </c>
      <c r="AL79" s="36">
        <f>'10月（既存移管合算）'!AU266</f>
        <v>1</v>
      </c>
      <c r="AM79" s="36">
        <f>'10月（既存移管合算）'!AV266</f>
        <v>1</v>
      </c>
      <c r="AN79" s="36">
        <f>'10月（既存移管合算）'!AW266</f>
        <v>1</v>
      </c>
      <c r="AO79" s="36">
        <f>'10月（既存移管合算）'!AX266</f>
        <v>1</v>
      </c>
      <c r="AP79" s="36">
        <f>'10月（既存移管合算）'!AY266</f>
        <v>1</v>
      </c>
      <c r="AQ79" s="36">
        <f>'10月（既存移管合算）'!AZ266</f>
        <v>1</v>
      </c>
      <c r="AR79" s="36">
        <f>'10月（既存移管合算）'!BA266</f>
        <v>1</v>
      </c>
      <c r="AS79" s="36">
        <f>'10月（既存移管合算）'!BB266</f>
        <v>1</v>
      </c>
      <c r="AT79" s="36">
        <f>'10月（既存移管合算）'!BC266</f>
        <v>2</v>
      </c>
      <c r="AU79" s="36">
        <f>'10月（既存移管合算）'!BD266</f>
        <v>1</v>
      </c>
      <c r="AV79" s="36">
        <f>'10月（既存移管合算）'!BE266</f>
        <v>1</v>
      </c>
      <c r="AW79" s="10">
        <f t="shared" si="12"/>
        <v>35</v>
      </c>
    </row>
    <row r="80" spans="1:49" ht="22" customHeight="1">
      <c r="A80" s="26" t="s">
        <v>35</v>
      </c>
      <c r="B80" s="27" t="s">
        <v>176</v>
      </c>
      <c r="C80" s="25" t="s">
        <v>212</v>
      </c>
      <c r="D80" s="9"/>
      <c r="E80" s="31">
        <v>9000</v>
      </c>
      <c r="F80" s="31">
        <v>9000</v>
      </c>
      <c r="G80" s="31">
        <v>18000</v>
      </c>
      <c r="H80" s="31">
        <v>9000</v>
      </c>
      <c r="I80" s="31">
        <v>9000</v>
      </c>
      <c r="J80" s="31">
        <v>9000</v>
      </c>
      <c r="K80" s="28">
        <v>0.1125541125541126</v>
      </c>
      <c r="L80" s="3">
        <f t="shared" si="10"/>
        <v>4</v>
      </c>
      <c r="M80" s="28">
        <v>0.66500000000000004</v>
      </c>
      <c r="N80" s="28">
        <v>0.1125541125541126</v>
      </c>
      <c r="O80" s="3">
        <f t="shared" si="11"/>
        <v>4</v>
      </c>
      <c r="P80" s="3">
        <f>'10月（既存移管合算）'!Y270</f>
        <v>1</v>
      </c>
      <c r="Q80" s="3">
        <f>'10月（既存移管合算）'!Z270</f>
        <v>2</v>
      </c>
      <c r="R80" s="3">
        <f>'10月（既存移管合算）'!AA270</f>
        <v>1</v>
      </c>
      <c r="S80" s="3">
        <f>'10月（既存移管合算）'!AB270</f>
        <v>1</v>
      </c>
      <c r="T80" s="3">
        <f>'10月（既存移管合算）'!AC270</f>
        <v>1</v>
      </c>
      <c r="U80" s="3">
        <f>'10月（既存移管合算）'!AD270</f>
        <v>1</v>
      </c>
      <c r="V80" s="3">
        <f>'10月（既存移管合算）'!AE270</f>
        <v>1</v>
      </c>
      <c r="W80" s="3">
        <f>'10月（既存移管合算）'!AF270</f>
        <v>1</v>
      </c>
      <c r="X80" s="3">
        <f>'10月（既存移管合算）'!AG270</f>
        <v>1</v>
      </c>
      <c r="Y80" s="3">
        <f>'10月（既存移管合算）'!AH270</f>
        <v>1</v>
      </c>
      <c r="Z80" s="3">
        <f>'10月（既存移管合算）'!AI270</f>
        <v>1</v>
      </c>
      <c r="AA80" s="3">
        <f>'10月（既存移管合算）'!AJ270</f>
        <v>1</v>
      </c>
      <c r="AB80" s="3">
        <f>'10月（既存移管合算）'!AK270</f>
        <v>1</v>
      </c>
      <c r="AC80" s="3">
        <f>'10月（既存移管合算）'!AL270</f>
        <v>1</v>
      </c>
      <c r="AD80" s="3">
        <f>'10月（既存移管合算）'!AM270</f>
        <v>1</v>
      </c>
      <c r="AE80" s="3">
        <f>'10月（既存移管合算）'!AN270</f>
        <v>1</v>
      </c>
      <c r="AF80" s="3">
        <f>'10月（既存移管合算）'!AO270</f>
        <v>1</v>
      </c>
      <c r="AG80" s="3">
        <f>'10月（既存移管合算）'!AP270</f>
        <v>1</v>
      </c>
      <c r="AH80" s="3">
        <f>'10月（既存移管合算）'!AQ270</f>
        <v>1</v>
      </c>
      <c r="AI80" s="3">
        <f>'10月（既存移管合算）'!AR270</f>
        <v>1</v>
      </c>
      <c r="AJ80" s="3">
        <f>'10月（既存移管合算）'!AS270</f>
        <v>1</v>
      </c>
      <c r="AK80" s="3">
        <f>'10月（既存移管合算）'!AT270</f>
        <v>1</v>
      </c>
      <c r="AL80" s="3">
        <f>'10月（既存移管合算）'!AU270</f>
        <v>1</v>
      </c>
      <c r="AM80" s="3">
        <f>'10月（既存移管合算）'!AV270</f>
        <v>1</v>
      </c>
      <c r="AN80" s="3">
        <f>'10月（既存移管合算）'!AW270</f>
        <v>1</v>
      </c>
      <c r="AO80" s="3">
        <f>'10月（既存移管合算）'!AX270</f>
        <v>1</v>
      </c>
      <c r="AP80" s="3">
        <f>'10月（既存移管合算）'!AY270</f>
        <v>1</v>
      </c>
      <c r="AQ80" s="3">
        <f>'10月（既存移管合算）'!AZ270</f>
        <v>1</v>
      </c>
      <c r="AR80" s="3">
        <f>'10月（既存移管合算）'!BA270</f>
        <v>1</v>
      </c>
      <c r="AS80" s="3">
        <f>'10月（既存移管合算）'!BB270</f>
        <v>1</v>
      </c>
      <c r="AT80" s="3">
        <f>'10月（既存移管合算）'!BC270</f>
        <v>2</v>
      </c>
      <c r="AU80" s="3">
        <f>'10月（既存移管合算）'!BD270</f>
        <v>1</v>
      </c>
      <c r="AV80" s="3">
        <f>'10月（既存移管合算）'!BE270</f>
        <v>1</v>
      </c>
      <c r="AW80" s="10">
        <f t="shared" si="12"/>
        <v>35</v>
      </c>
    </row>
    <row r="81" spans="1:49" ht="22" customHeight="1">
      <c r="A81" s="34" t="s">
        <v>82</v>
      </c>
      <c r="B81" s="35" t="s">
        <v>177</v>
      </c>
      <c r="C81" s="32" t="s">
        <v>212</v>
      </c>
      <c r="D81" s="39"/>
      <c r="E81" s="43">
        <v>9000</v>
      </c>
      <c r="F81" s="43">
        <v>9000</v>
      </c>
      <c r="G81" s="43">
        <v>12000</v>
      </c>
      <c r="H81" s="43">
        <v>9000</v>
      </c>
      <c r="I81" s="43">
        <v>9000</v>
      </c>
      <c r="J81" s="43">
        <v>9000</v>
      </c>
      <c r="K81" s="38">
        <v>0.1</v>
      </c>
      <c r="L81" s="36">
        <f t="shared" si="10"/>
        <v>0</v>
      </c>
      <c r="M81" s="38">
        <v>0.34200000000000003</v>
      </c>
      <c r="N81" s="38">
        <v>0.1</v>
      </c>
      <c r="O81" s="36">
        <f t="shared" si="11"/>
        <v>0</v>
      </c>
      <c r="P81" s="36">
        <f>'10月（既存移管合算）'!Y274</f>
        <v>0</v>
      </c>
      <c r="Q81" s="36">
        <f>'10月（既存移管合算）'!Z274</f>
        <v>0</v>
      </c>
      <c r="R81" s="36">
        <f>'10月（既存移管合算）'!AA274</f>
        <v>0</v>
      </c>
      <c r="S81" s="36">
        <f>'10月（既存移管合算）'!AB274</f>
        <v>0</v>
      </c>
      <c r="T81" s="36">
        <f>'10月（既存移管合算）'!AC274</f>
        <v>0</v>
      </c>
      <c r="U81" s="36">
        <f>'10月（既存移管合算）'!AD274</f>
        <v>0</v>
      </c>
      <c r="V81" s="36">
        <f>'10月（既存移管合算）'!AE274</f>
        <v>0</v>
      </c>
      <c r="W81" s="36">
        <f>'10月（既存移管合算）'!AF274</f>
        <v>0</v>
      </c>
      <c r="X81" s="36">
        <f>'10月（既存移管合算）'!AG274</f>
        <v>0</v>
      </c>
      <c r="Y81" s="36">
        <f>'10月（既存移管合算）'!AH274</f>
        <v>0</v>
      </c>
      <c r="Z81" s="36">
        <f>'10月（既存移管合算）'!AI274</f>
        <v>0</v>
      </c>
      <c r="AA81" s="36">
        <f>'10月（既存移管合算）'!AJ274</f>
        <v>0</v>
      </c>
      <c r="AB81" s="36">
        <f>'10月（既存移管合算）'!AK274</f>
        <v>0</v>
      </c>
      <c r="AC81" s="36">
        <f>'10月（既存移管合算）'!AL274</f>
        <v>0</v>
      </c>
      <c r="AD81" s="36">
        <f>'10月（既存移管合算）'!AM274</f>
        <v>0</v>
      </c>
      <c r="AE81" s="36">
        <f>'10月（既存移管合算）'!AN274</f>
        <v>0</v>
      </c>
      <c r="AF81" s="36">
        <f>'10月（既存移管合算）'!AO274</f>
        <v>0</v>
      </c>
      <c r="AG81" s="36">
        <f>'10月（既存移管合算）'!AP274</f>
        <v>0</v>
      </c>
      <c r="AH81" s="36">
        <f>'10月（既存移管合算）'!AQ274</f>
        <v>0</v>
      </c>
      <c r="AI81" s="36">
        <f>'10月（既存移管合算）'!AR274</f>
        <v>0</v>
      </c>
      <c r="AJ81" s="36">
        <f>'10月（既存移管合算）'!AS274</f>
        <v>0</v>
      </c>
      <c r="AK81" s="36">
        <f>'10月（既存移管合算）'!AT274</f>
        <v>0</v>
      </c>
      <c r="AL81" s="36">
        <f>'10月（既存移管合算）'!AU274</f>
        <v>1</v>
      </c>
      <c r="AM81" s="36">
        <f>'10月（既存移管合算）'!AV274</f>
        <v>1</v>
      </c>
      <c r="AN81" s="36">
        <f>'10月（既存移管合算）'!AW274</f>
        <v>0</v>
      </c>
      <c r="AO81" s="36">
        <f>'10月（既存移管合算）'!AX274</f>
        <v>0</v>
      </c>
      <c r="AP81" s="36">
        <f>'10月（既存移管合算）'!AY274</f>
        <v>0</v>
      </c>
      <c r="AQ81" s="36">
        <f>'10月（既存移管合算）'!AZ274</f>
        <v>0</v>
      </c>
      <c r="AR81" s="36">
        <f>'10月（既存移管合算）'!BA274</f>
        <v>0</v>
      </c>
      <c r="AS81" s="36">
        <f>'10月（既存移管合算）'!BB274</f>
        <v>0</v>
      </c>
      <c r="AT81" s="36">
        <f>'10月（既存移管合算）'!BC274</f>
        <v>0</v>
      </c>
      <c r="AU81" s="36">
        <f>'10月（既存移管合算）'!BD274</f>
        <v>0</v>
      </c>
      <c r="AV81" s="36">
        <f>'10月（既存移管合算）'!BE274</f>
        <v>0</v>
      </c>
      <c r="AW81" s="10">
        <f t="shared" si="12"/>
        <v>2</v>
      </c>
    </row>
    <row r="82" spans="1:49" ht="22" customHeight="1">
      <c r="A82" s="26" t="s">
        <v>148</v>
      </c>
      <c r="B82" s="27" t="s">
        <v>178</v>
      </c>
      <c r="C82" s="25" t="s">
        <v>212</v>
      </c>
      <c r="D82" s="9"/>
      <c r="E82" s="31">
        <v>9000</v>
      </c>
      <c r="F82" s="31">
        <v>9000</v>
      </c>
      <c r="G82" s="31">
        <v>14000</v>
      </c>
      <c r="H82" s="31">
        <v>9000</v>
      </c>
      <c r="I82" s="31">
        <v>9000</v>
      </c>
      <c r="J82" s="31">
        <v>9000</v>
      </c>
      <c r="K82" s="28">
        <v>0.1</v>
      </c>
      <c r="L82" s="3">
        <f t="shared" si="10"/>
        <v>1</v>
      </c>
      <c r="M82" s="28">
        <v>0.55000000000000004</v>
      </c>
      <c r="N82" s="28">
        <v>0.1</v>
      </c>
      <c r="O82" s="3">
        <f t="shared" si="11"/>
        <v>1</v>
      </c>
      <c r="P82" s="3">
        <f>'10月（既存移管合算）'!Y278</f>
        <v>0</v>
      </c>
      <c r="Q82" s="3">
        <f>'10月（既存移管合算）'!Z278</f>
        <v>1</v>
      </c>
      <c r="R82" s="3">
        <f>'10月（既存移管合算）'!AA278</f>
        <v>1</v>
      </c>
      <c r="S82" s="3">
        <f>'10月（既存移管合算）'!AB278</f>
        <v>0</v>
      </c>
      <c r="T82" s="3">
        <f>'10月（既存移管合算）'!AC278</f>
        <v>0</v>
      </c>
      <c r="U82" s="3">
        <f>'10月（既存移管合算）'!AD278</f>
        <v>0</v>
      </c>
      <c r="V82" s="3">
        <f>'10月（既存移管合算）'!AE278</f>
        <v>0</v>
      </c>
      <c r="W82" s="3">
        <f>'10月（既存移管合算）'!AF278</f>
        <v>0</v>
      </c>
      <c r="X82" s="3">
        <f>'10月（既存移管合算）'!AG278</f>
        <v>1</v>
      </c>
      <c r="Y82" s="3">
        <f>'10月（既存移管合算）'!AH278</f>
        <v>1</v>
      </c>
      <c r="Z82" s="3">
        <f>'10月（既存移管合算）'!AI278</f>
        <v>0</v>
      </c>
      <c r="AA82" s="3">
        <f>'10月（既存移管合算）'!AJ278</f>
        <v>0</v>
      </c>
      <c r="AB82" s="3">
        <f>'10月（既存移管合算）'!AK278</f>
        <v>0</v>
      </c>
      <c r="AC82" s="3">
        <f>'10月（既存移管合算）'!AL278</f>
        <v>0</v>
      </c>
      <c r="AD82" s="3">
        <f>'10月（既存移管合算）'!AM278</f>
        <v>0</v>
      </c>
      <c r="AE82" s="3">
        <f>'10月（既存移管合算）'!AN278</f>
        <v>0</v>
      </c>
      <c r="AF82" s="3">
        <f>'10月（既存移管合算）'!AO278</f>
        <v>0</v>
      </c>
      <c r="AG82" s="3">
        <f>'10月（既存移管合算）'!AP278</f>
        <v>0</v>
      </c>
      <c r="AH82" s="3">
        <f>'10月（既存移管合算）'!AQ278</f>
        <v>1</v>
      </c>
      <c r="AI82" s="3">
        <f>'10月（既存移管合算）'!AR278</f>
        <v>0</v>
      </c>
      <c r="AJ82" s="3">
        <f>'10月（既存移管合算）'!AS278</f>
        <v>0</v>
      </c>
      <c r="AK82" s="3">
        <f>'10月（既存移管合算）'!AT278</f>
        <v>0</v>
      </c>
      <c r="AL82" s="3">
        <f>'10月（既存移管合算）'!AU278</f>
        <v>0</v>
      </c>
      <c r="AM82" s="3">
        <f>'10月（既存移管合算）'!AV278</f>
        <v>0</v>
      </c>
      <c r="AN82" s="3">
        <f>'10月（既存移管合算）'!AW278</f>
        <v>0</v>
      </c>
      <c r="AO82" s="3">
        <f>'10月（既存移管合算）'!AX278</f>
        <v>0</v>
      </c>
      <c r="AP82" s="3">
        <f>'10月（既存移管合算）'!AY278</f>
        <v>0</v>
      </c>
      <c r="AQ82" s="3">
        <f>'10月（既存移管合算）'!AZ278</f>
        <v>0</v>
      </c>
      <c r="AR82" s="3">
        <f>'10月（既存移管合算）'!BA278</f>
        <v>0</v>
      </c>
      <c r="AS82" s="3">
        <f>'10月（既存移管合算）'!BB278</f>
        <v>0</v>
      </c>
      <c r="AT82" s="3">
        <f>'10月（既存移管合算）'!BC278</f>
        <v>0</v>
      </c>
      <c r="AU82" s="3">
        <f>'10月（既存移管合算）'!BD278</f>
        <v>0</v>
      </c>
      <c r="AV82" s="3">
        <f>'10月（既存移管合算）'!BE278</f>
        <v>0</v>
      </c>
      <c r="AW82" s="10">
        <f t="shared" si="12"/>
        <v>5</v>
      </c>
    </row>
    <row r="83" spans="1:49" ht="22" customHeight="1">
      <c r="A83" s="34" t="s">
        <v>150</v>
      </c>
      <c r="B83" s="35" t="s">
        <v>179</v>
      </c>
      <c r="C83" s="32" t="s">
        <v>212</v>
      </c>
      <c r="D83" s="39"/>
      <c r="E83" s="43">
        <v>9000</v>
      </c>
      <c r="F83" s="43">
        <v>9000</v>
      </c>
      <c r="G83" s="43">
        <v>14000</v>
      </c>
      <c r="H83" s="43">
        <v>9000</v>
      </c>
      <c r="I83" s="43">
        <v>9000</v>
      </c>
      <c r="J83" s="43">
        <v>9000</v>
      </c>
      <c r="K83" s="38">
        <v>0.1</v>
      </c>
      <c r="L83" s="36">
        <f t="shared" si="10"/>
        <v>0</v>
      </c>
      <c r="M83" s="38">
        <v>0.61299999999999999</v>
      </c>
      <c r="N83" s="38">
        <v>0.1</v>
      </c>
      <c r="O83" s="36">
        <f t="shared" si="11"/>
        <v>0</v>
      </c>
      <c r="P83" s="36">
        <f>'10月（既存移管合算）'!Y282</f>
        <v>0</v>
      </c>
      <c r="Q83" s="36">
        <f>'10月（既存移管合算）'!Z282</f>
        <v>1</v>
      </c>
      <c r="R83" s="36">
        <f>'10月（既存移管合算）'!AA282</f>
        <v>1</v>
      </c>
      <c r="S83" s="36">
        <f>'10月（既存移管合算）'!AB282</f>
        <v>0</v>
      </c>
      <c r="T83" s="36">
        <f>'10月（既存移管合算）'!AC282</f>
        <v>0</v>
      </c>
      <c r="U83" s="36">
        <f>'10月（既存移管合算）'!AD282</f>
        <v>0</v>
      </c>
      <c r="V83" s="36">
        <f>'10月（既存移管合算）'!AE282</f>
        <v>0</v>
      </c>
      <c r="W83" s="36">
        <f>'10月（既存移管合算）'!AF282</f>
        <v>0</v>
      </c>
      <c r="X83" s="36">
        <f>'10月（既存移管合算）'!AG282</f>
        <v>1</v>
      </c>
      <c r="Y83" s="36">
        <f>'10月（既存移管合算）'!AH282</f>
        <v>1</v>
      </c>
      <c r="Z83" s="36">
        <f>'10月（既存移管合算）'!AI282</f>
        <v>0</v>
      </c>
      <c r="AA83" s="36">
        <f>'10月（既存移管合算）'!AJ282</f>
        <v>0</v>
      </c>
      <c r="AB83" s="36">
        <f>'10月（既存移管合算）'!AK282</f>
        <v>0</v>
      </c>
      <c r="AC83" s="36">
        <f>'10月（既存移管合算）'!AL282</f>
        <v>0</v>
      </c>
      <c r="AD83" s="36">
        <f>'10月（既存移管合算）'!AM282</f>
        <v>0</v>
      </c>
      <c r="AE83" s="36">
        <f>'10月（既存移管合算）'!AN282</f>
        <v>0</v>
      </c>
      <c r="AF83" s="36">
        <f>'10月（既存移管合算）'!AO282</f>
        <v>0</v>
      </c>
      <c r="AG83" s="36">
        <f>'10月（既存移管合算）'!AP282</f>
        <v>0</v>
      </c>
      <c r="AH83" s="36">
        <f>'10月（既存移管合算）'!AQ282</f>
        <v>0</v>
      </c>
      <c r="AI83" s="36">
        <f>'10月（既存移管合算）'!AR282</f>
        <v>0</v>
      </c>
      <c r="AJ83" s="36">
        <f>'10月（既存移管合算）'!AS282</f>
        <v>0</v>
      </c>
      <c r="AK83" s="36">
        <f>'10月（既存移管合算）'!AT282</f>
        <v>0</v>
      </c>
      <c r="AL83" s="36">
        <f>'10月（既存移管合算）'!AU282</f>
        <v>0</v>
      </c>
      <c r="AM83" s="36">
        <f>'10月（既存移管合算）'!AV282</f>
        <v>0</v>
      </c>
      <c r="AN83" s="36">
        <f>'10月（既存移管合算）'!AW282</f>
        <v>0</v>
      </c>
      <c r="AO83" s="36">
        <f>'10月（既存移管合算）'!AX282</f>
        <v>0</v>
      </c>
      <c r="AP83" s="36">
        <f>'10月（既存移管合算）'!AY282</f>
        <v>0</v>
      </c>
      <c r="AQ83" s="36">
        <f>'10月（既存移管合算）'!AZ282</f>
        <v>0</v>
      </c>
      <c r="AR83" s="36">
        <f>'10月（既存移管合算）'!BA282</f>
        <v>0</v>
      </c>
      <c r="AS83" s="36">
        <f>'10月（既存移管合算）'!BB282</f>
        <v>0</v>
      </c>
      <c r="AT83" s="36">
        <f>'10月（既存移管合算）'!BC282</f>
        <v>0</v>
      </c>
      <c r="AU83" s="36">
        <f>'10月（既存移管合算）'!BD282</f>
        <v>0</v>
      </c>
      <c r="AV83" s="36">
        <f>'10月（既存移管合算）'!BE282</f>
        <v>0</v>
      </c>
      <c r="AW83" s="10">
        <f t="shared" si="12"/>
        <v>4</v>
      </c>
    </row>
    <row r="84" spans="1:49" ht="22" customHeight="1">
      <c r="A84" s="26" t="s">
        <v>100</v>
      </c>
      <c r="B84" s="27" t="s">
        <v>180</v>
      </c>
      <c r="C84" s="25" t="s">
        <v>212</v>
      </c>
      <c r="D84" s="9"/>
      <c r="E84" s="31">
        <v>9000</v>
      </c>
      <c r="F84" s="31">
        <v>9000</v>
      </c>
      <c r="G84" s="31">
        <v>13000</v>
      </c>
      <c r="H84" s="31">
        <v>9000</v>
      </c>
      <c r="I84" s="31">
        <v>9000</v>
      </c>
      <c r="J84" s="31">
        <v>9000</v>
      </c>
      <c r="K84" s="28">
        <v>0.1</v>
      </c>
      <c r="L84" s="3">
        <f t="shared" si="10"/>
        <v>0</v>
      </c>
      <c r="M84" s="28">
        <v>0.57699999999999996</v>
      </c>
      <c r="N84" s="28">
        <v>0.1</v>
      </c>
      <c r="O84" s="3">
        <f t="shared" si="11"/>
        <v>0</v>
      </c>
      <c r="P84" s="3">
        <f>'10月（既存移管合算）'!Y286</f>
        <v>0</v>
      </c>
      <c r="Q84" s="3">
        <f>'10月（既存移管合算）'!Z286</f>
        <v>2</v>
      </c>
      <c r="R84" s="3">
        <f>'10月（既存移管合算）'!AA286</f>
        <v>0</v>
      </c>
      <c r="S84" s="3">
        <f>'10月（既存移管合算）'!AB286</f>
        <v>0</v>
      </c>
      <c r="T84" s="3">
        <f>'10月（既存移管合算）'!AC286</f>
        <v>0</v>
      </c>
      <c r="U84" s="3">
        <f>'10月（既存移管合算）'!AD286</f>
        <v>0</v>
      </c>
      <c r="V84" s="3">
        <f>'10月（既存移管合算）'!AE286</f>
        <v>0</v>
      </c>
      <c r="W84" s="3">
        <f>'10月（既存移管合算）'!AF286</f>
        <v>0</v>
      </c>
      <c r="X84" s="3">
        <f>'10月（既存移管合算）'!AG286</f>
        <v>2</v>
      </c>
      <c r="Y84" s="3">
        <f>'10月（既存移管合算）'!AH286</f>
        <v>0</v>
      </c>
      <c r="Z84" s="3">
        <f>'10月（既存移管合算）'!AI286</f>
        <v>0</v>
      </c>
      <c r="AA84" s="3">
        <f>'10月（既存移管合算）'!AJ286</f>
        <v>0</v>
      </c>
      <c r="AB84" s="3">
        <f>'10月（既存移管合算）'!AK286</f>
        <v>0</v>
      </c>
      <c r="AC84" s="3">
        <f>'10月（既存移管合算）'!AL286</f>
        <v>0</v>
      </c>
      <c r="AD84" s="3">
        <f>'10月（既存移管合算）'!AM286</f>
        <v>0</v>
      </c>
      <c r="AE84" s="3">
        <f>'10月（既存移管合算）'!AN286</f>
        <v>0</v>
      </c>
      <c r="AF84" s="3">
        <f>'10月（既存移管合算）'!AO286</f>
        <v>0</v>
      </c>
      <c r="AG84" s="3">
        <f>'10月（既存移管合算）'!AP286</f>
        <v>0</v>
      </c>
      <c r="AH84" s="3">
        <f>'10月（既存移管合算）'!AQ286</f>
        <v>0</v>
      </c>
      <c r="AI84" s="3">
        <f>'10月（既存移管合算）'!AR286</f>
        <v>0</v>
      </c>
      <c r="AJ84" s="3">
        <f>'10月（既存移管合算）'!AS286</f>
        <v>0</v>
      </c>
      <c r="AK84" s="3">
        <f>'10月（既存移管合算）'!AT286</f>
        <v>0</v>
      </c>
      <c r="AL84" s="3">
        <f>'10月（既存移管合算）'!AU286</f>
        <v>0</v>
      </c>
      <c r="AM84" s="3">
        <f>'10月（既存移管合算）'!AV286</f>
        <v>0</v>
      </c>
      <c r="AN84" s="3">
        <f>'10月（既存移管合算）'!AW286</f>
        <v>0</v>
      </c>
      <c r="AO84" s="3">
        <f>'10月（既存移管合算）'!AX286</f>
        <v>0</v>
      </c>
      <c r="AP84" s="3">
        <f>'10月（既存移管合算）'!AY286</f>
        <v>0</v>
      </c>
      <c r="AQ84" s="3">
        <f>'10月（既存移管合算）'!AZ286</f>
        <v>0</v>
      </c>
      <c r="AR84" s="3">
        <f>'10月（既存移管合算）'!BA286</f>
        <v>0</v>
      </c>
      <c r="AS84" s="3">
        <f>'10月（既存移管合算）'!BB286</f>
        <v>0</v>
      </c>
      <c r="AT84" s="3">
        <f>'10月（既存移管合算）'!BC286</f>
        <v>0</v>
      </c>
      <c r="AU84" s="3">
        <f>'10月（既存移管合算）'!BD286</f>
        <v>0</v>
      </c>
      <c r="AV84" s="3">
        <f>'10月（既存移管合算）'!BE286</f>
        <v>0</v>
      </c>
      <c r="AW84" s="10">
        <f t="shared" si="12"/>
        <v>4</v>
      </c>
    </row>
    <row r="85" spans="1:49" ht="22" customHeight="1">
      <c r="A85" s="34" t="s">
        <v>58</v>
      </c>
      <c r="B85" s="35" t="s">
        <v>181</v>
      </c>
      <c r="C85" s="32" t="s">
        <v>212</v>
      </c>
      <c r="D85" s="39"/>
      <c r="E85" s="43">
        <v>9000</v>
      </c>
      <c r="F85" s="43">
        <v>9000</v>
      </c>
      <c r="G85" s="43">
        <v>14000</v>
      </c>
      <c r="H85" s="43">
        <v>9000</v>
      </c>
      <c r="I85" s="43">
        <v>9000</v>
      </c>
      <c r="J85" s="43">
        <v>9000</v>
      </c>
      <c r="K85" s="38">
        <v>3.0303030303030299E-3</v>
      </c>
      <c r="L85" s="36">
        <f t="shared" si="10"/>
        <v>0</v>
      </c>
      <c r="M85" s="38">
        <v>0.108</v>
      </c>
      <c r="N85" s="38">
        <v>3.0303030303030299E-3</v>
      </c>
      <c r="O85" s="36">
        <f t="shared" si="11"/>
        <v>0</v>
      </c>
      <c r="P85" s="36">
        <f>'10月（既存移管合算）'!Y290</f>
        <v>0</v>
      </c>
      <c r="Q85" s="36">
        <f>'10月（既存移管合算）'!Z290</f>
        <v>0</v>
      </c>
      <c r="R85" s="36">
        <f>'10月（既存移管合算）'!AA290</f>
        <v>2</v>
      </c>
      <c r="S85" s="36">
        <f>'10月（既存移管合算）'!AB290</f>
        <v>0</v>
      </c>
      <c r="T85" s="36">
        <f>'10月（既存移管合算）'!AC290</f>
        <v>0</v>
      </c>
      <c r="U85" s="36">
        <f>'10月（既存移管合算）'!AD290</f>
        <v>0</v>
      </c>
      <c r="V85" s="36">
        <f>'10月（既存移管合算）'!AE290</f>
        <v>0</v>
      </c>
      <c r="W85" s="36">
        <f>'10月（既存移管合算）'!AF290</f>
        <v>0</v>
      </c>
      <c r="X85" s="36">
        <f>'10月（既存移管合算）'!AG290</f>
        <v>0</v>
      </c>
      <c r="Y85" s="36">
        <f>'10月（既存移管合算）'!AH290</f>
        <v>0</v>
      </c>
      <c r="Z85" s="36">
        <f>'10月（既存移管合算）'!AI290</f>
        <v>0</v>
      </c>
      <c r="AA85" s="36">
        <f>'10月（既存移管合算）'!AJ290</f>
        <v>0</v>
      </c>
      <c r="AB85" s="36">
        <f>'10月（既存移管合算）'!AK290</f>
        <v>0</v>
      </c>
      <c r="AC85" s="36">
        <f>'10月（既存移管合算）'!AL290</f>
        <v>0</v>
      </c>
      <c r="AD85" s="36">
        <f>'10月（既存移管合算）'!AM290</f>
        <v>0</v>
      </c>
      <c r="AE85" s="36">
        <f>'10月（既存移管合算）'!AN290</f>
        <v>0</v>
      </c>
      <c r="AF85" s="36">
        <f>'10月（既存移管合算）'!AO290</f>
        <v>0</v>
      </c>
      <c r="AG85" s="36">
        <f>'10月（既存移管合算）'!AP290</f>
        <v>0</v>
      </c>
      <c r="AH85" s="36">
        <f>'10月（既存移管合算）'!AQ290</f>
        <v>0</v>
      </c>
      <c r="AI85" s="36">
        <f>'10月（既存移管合算）'!AR290</f>
        <v>0</v>
      </c>
      <c r="AJ85" s="36">
        <f>'10月（既存移管合算）'!AS290</f>
        <v>0</v>
      </c>
      <c r="AK85" s="36">
        <f>'10月（既存移管合算）'!AT290</f>
        <v>0</v>
      </c>
      <c r="AL85" s="36">
        <f>'10月（既存移管合算）'!AU290</f>
        <v>0</v>
      </c>
      <c r="AM85" s="36">
        <f>'10月（既存移管合算）'!AV290</f>
        <v>0</v>
      </c>
      <c r="AN85" s="36">
        <f>'10月（既存移管合算）'!AW290</f>
        <v>0</v>
      </c>
      <c r="AO85" s="36">
        <f>'10月（既存移管合算）'!AX290</f>
        <v>0</v>
      </c>
      <c r="AP85" s="36">
        <f>'10月（既存移管合算）'!AY290</f>
        <v>0</v>
      </c>
      <c r="AQ85" s="36">
        <f>'10月（既存移管合算）'!AZ290</f>
        <v>0</v>
      </c>
      <c r="AR85" s="36">
        <f>'10月（既存移管合算）'!BA290</f>
        <v>0</v>
      </c>
      <c r="AS85" s="36">
        <f>'10月（既存移管合算）'!BB290</f>
        <v>0</v>
      </c>
      <c r="AT85" s="36">
        <f>'10月（既存移管合算）'!BC290</f>
        <v>0</v>
      </c>
      <c r="AU85" s="36">
        <f>'10月（既存移管合算）'!BD290</f>
        <v>0</v>
      </c>
      <c r="AV85" s="36">
        <f>'10月（既存移管合算）'!BE290</f>
        <v>0</v>
      </c>
      <c r="AW85" s="10">
        <f t="shared" si="12"/>
        <v>2</v>
      </c>
    </row>
    <row r="86" spans="1:49" ht="22" customHeight="1">
      <c r="A86" s="26" t="s">
        <v>48</v>
      </c>
      <c r="B86" s="27" t="s">
        <v>182</v>
      </c>
      <c r="C86" s="25" t="s">
        <v>212</v>
      </c>
      <c r="D86" s="9"/>
      <c r="E86" s="31">
        <v>9000</v>
      </c>
      <c r="F86" s="31">
        <v>9000</v>
      </c>
      <c r="G86" s="31">
        <v>19000</v>
      </c>
      <c r="H86" s="31">
        <v>9000</v>
      </c>
      <c r="I86" s="31">
        <v>9000</v>
      </c>
      <c r="J86" s="31">
        <v>9000</v>
      </c>
      <c r="K86" s="28">
        <v>0.1</v>
      </c>
      <c r="L86" s="3">
        <f t="shared" si="10"/>
        <v>0</v>
      </c>
      <c r="M86" s="28">
        <v>0.47199999999999998</v>
      </c>
      <c r="N86" s="28">
        <v>0.1</v>
      </c>
      <c r="O86" s="3">
        <f t="shared" si="11"/>
        <v>0</v>
      </c>
      <c r="P86" s="3">
        <f>'10月（既存移管合算）'!Y294</f>
        <v>0</v>
      </c>
      <c r="Q86" s="3">
        <f>'10月（既存移管合算）'!Z294</f>
        <v>0</v>
      </c>
      <c r="R86" s="3">
        <f>'10月（既存移管合算）'!AA294</f>
        <v>0</v>
      </c>
      <c r="S86" s="3">
        <f>'10月（既存移管合算）'!AB294</f>
        <v>0</v>
      </c>
      <c r="T86" s="3">
        <f>'10月（既存移管合算）'!AC294</f>
        <v>0</v>
      </c>
      <c r="U86" s="3">
        <f>'10月（既存移管合算）'!AD294</f>
        <v>0</v>
      </c>
      <c r="V86" s="3">
        <f>'10月（既存移管合算）'!AE294</f>
        <v>0</v>
      </c>
      <c r="W86" s="3">
        <f>'10月（既存移管合算）'!AF294</f>
        <v>0</v>
      </c>
      <c r="X86" s="3">
        <f>'10月（既存移管合算）'!AG294</f>
        <v>0</v>
      </c>
      <c r="Y86" s="3">
        <f>'10月（既存移管合算）'!AH294</f>
        <v>0</v>
      </c>
      <c r="Z86" s="3">
        <f>'10月（既存移管合算）'!AI294</f>
        <v>0</v>
      </c>
      <c r="AA86" s="3">
        <f>'10月（既存移管合算）'!AJ294</f>
        <v>0</v>
      </c>
      <c r="AB86" s="3">
        <f>'10月（既存移管合算）'!AK294</f>
        <v>0</v>
      </c>
      <c r="AC86" s="3">
        <f>'10月（既存移管合算）'!AL294</f>
        <v>0</v>
      </c>
      <c r="AD86" s="3">
        <f>'10月（既存移管合算）'!AM294</f>
        <v>0</v>
      </c>
      <c r="AE86" s="3">
        <f>'10月（既存移管合算）'!AN294</f>
        <v>0</v>
      </c>
      <c r="AF86" s="3">
        <f>'10月（既存移管合算）'!AO294</f>
        <v>0</v>
      </c>
      <c r="AG86" s="3">
        <f>'10月（既存移管合算）'!AP294</f>
        <v>0</v>
      </c>
      <c r="AH86" s="3">
        <f>'10月（既存移管合算）'!AQ294</f>
        <v>0</v>
      </c>
      <c r="AI86" s="3">
        <f>'10月（既存移管合算）'!AR294</f>
        <v>0</v>
      </c>
      <c r="AJ86" s="3">
        <f>'10月（既存移管合算）'!AS294</f>
        <v>0</v>
      </c>
      <c r="AK86" s="3">
        <f>'10月（既存移管合算）'!AT294</f>
        <v>0</v>
      </c>
      <c r="AL86" s="3">
        <f>'10月（既存移管合算）'!AU294</f>
        <v>0</v>
      </c>
      <c r="AM86" s="3">
        <f>'10月（既存移管合算）'!AV294</f>
        <v>0</v>
      </c>
      <c r="AN86" s="3">
        <f>'10月（既存移管合算）'!AW294</f>
        <v>0</v>
      </c>
      <c r="AO86" s="3">
        <f>'10月（既存移管合算）'!AX294</f>
        <v>0</v>
      </c>
      <c r="AP86" s="3">
        <f>'10月（既存移管合算）'!AY294</f>
        <v>0</v>
      </c>
      <c r="AQ86" s="3">
        <f>'10月（既存移管合算）'!AZ294</f>
        <v>0</v>
      </c>
      <c r="AR86" s="3">
        <f>'10月（既存移管合算）'!BA294</f>
        <v>0</v>
      </c>
      <c r="AS86" s="3">
        <f>'10月（既存移管合算）'!BB294</f>
        <v>0</v>
      </c>
      <c r="AT86" s="3">
        <f>'10月（既存移管合算）'!BC294</f>
        <v>0</v>
      </c>
      <c r="AU86" s="3">
        <f>'10月（既存移管合算）'!BD294</f>
        <v>0</v>
      </c>
      <c r="AV86" s="3">
        <f>'10月（既存移管合算）'!BE294</f>
        <v>0</v>
      </c>
      <c r="AW86" s="10">
        <f t="shared" si="12"/>
        <v>0</v>
      </c>
    </row>
    <row r="87" spans="1:49" ht="22" customHeight="1">
      <c r="A87" s="34" t="s">
        <v>102</v>
      </c>
      <c r="B87" s="35" t="s">
        <v>183</v>
      </c>
      <c r="C87" s="32"/>
      <c r="D87" s="39"/>
      <c r="E87" s="43">
        <v>9000</v>
      </c>
      <c r="F87" s="43">
        <v>9000</v>
      </c>
      <c r="G87" s="43">
        <v>13000</v>
      </c>
      <c r="H87" s="43">
        <v>9000</v>
      </c>
      <c r="I87" s="43">
        <v>9000</v>
      </c>
      <c r="J87" s="43">
        <v>9000</v>
      </c>
      <c r="K87" s="38">
        <v>0.1</v>
      </c>
      <c r="L87" s="36">
        <f t="shared" si="10"/>
        <v>0</v>
      </c>
      <c r="M87" s="38">
        <v>0.22500000000000001</v>
      </c>
      <c r="N87" s="38">
        <v>0.1</v>
      </c>
      <c r="O87" s="36">
        <f t="shared" si="11"/>
        <v>0</v>
      </c>
      <c r="P87" s="36">
        <f>'10月（既存移管合算）'!Y298</f>
        <v>0</v>
      </c>
      <c r="Q87" s="36">
        <f>'10月（既存移管合算）'!Z298</f>
        <v>0</v>
      </c>
      <c r="R87" s="36">
        <f>'10月（既存移管合算）'!AA298</f>
        <v>2</v>
      </c>
      <c r="S87" s="36">
        <f>'10月（既存移管合算）'!AB298</f>
        <v>0</v>
      </c>
      <c r="T87" s="36">
        <f>'10月（既存移管合算）'!AC298</f>
        <v>0</v>
      </c>
      <c r="U87" s="36">
        <f>'10月（既存移管合算）'!AD298</f>
        <v>0</v>
      </c>
      <c r="V87" s="36">
        <f>'10月（既存移管合算）'!AE298</f>
        <v>0</v>
      </c>
      <c r="W87" s="36">
        <f>'10月（既存移管合算）'!AF298</f>
        <v>0</v>
      </c>
      <c r="X87" s="36">
        <f>'10月（既存移管合算）'!AG298</f>
        <v>0</v>
      </c>
      <c r="Y87" s="36">
        <f>'10月（既存移管合算）'!AH298</f>
        <v>0</v>
      </c>
      <c r="Z87" s="36">
        <f>'10月（既存移管合算）'!AI298</f>
        <v>0</v>
      </c>
      <c r="AA87" s="36">
        <f>'10月（既存移管合算）'!AJ298</f>
        <v>0</v>
      </c>
      <c r="AB87" s="36">
        <f>'10月（既存移管合算）'!AK298</f>
        <v>0</v>
      </c>
      <c r="AC87" s="36">
        <f>'10月（既存移管合算）'!AL298</f>
        <v>0</v>
      </c>
      <c r="AD87" s="36">
        <f>'10月（既存移管合算）'!AM298</f>
        <v>0</v>
      </c>
      <c r="AE87" s="36">
        <f>'10月（既存移管合算）'!AN298</f>
        <v>0</v>
      </c>
      <c r="AF87" s="36">
        <f>'10月（既存移管合算）'!AO298</f>
        <v>0</v>
      </c>
      <c r="AG87" s="36">
        <f>'10月（既存移管合算）'!AP298</f>
        <v>0</v>
      </c>
      <c r="AH87" s="36">
        <f>'10月（既存移管合算）'!AQ298</f>
        <v>0</v>
      </c>
      <c r="AI87" s="36">
        <f>'10月（既存移管合算）'!AR298</f>
        <v>0</v>
      </c>
      <c r="AJ87" s="36">
        <f>'10月（既存移管合算）'!AS298</f>
        <v>0</v>
      </c>
      <c r="AK87" s="36">
        <f>'10月（既存移管合算）'!AT298</f>
        <v>0</v>
      </c>
      <c r="AL87" s="36">
        <f>'10月（既存移管合算）'!AU298</f>
        <v>0</v>
      </c>
      <c r="AM87" s="36">
        <f>'10月（既存移管合算）'!AV298</f>
        <v>0</v>
      </c>
      <c r="AN87" s="36">
        <f>'10月（既存移管合算）'!AW298</f>
        <v>0</v>
      </c>
      <c r="AO87" s="36">
        <f>'10月（既存移管合算）'!AX298</f>
        <v>0</v>
      </c>
      <c r="AP87" s="36">
        <f>'10月（既存移管合算）'!AY298</f>
        <v>0</v>
      </c>
      <c r="AQ87" s="36">
        <f>'10月（既存移管合算）'!AZ298</f>
        <v>0</v>
      </c>
      <c r="AR87" s="36">
        <f>'10月（既存移管合算）'!BA298</f>
        <v>0</v>
      </c>
      <c r="AS87" s="36">
        <f>'10月（既存移管合算）'!BB298</f>
        <v>0</v>
      </c>
      <c r="AT87" s="36">
        <f>'10月（既存移管合算）'!BC298</f>
        <v>0</v>
      </c>
      <c r="AU87" s="36">
        <f>'10月（既存移管合算）'!BD298</f>
        <v>0</v>
      </c>
      <c r="AV87" s="36">
        <f>'10月（既存移管合算）'!BE298</f>
        <v>0</v>
      </c>
      <c r="AW87" s="10">
        <f t="shared" si="12"/>
        <v>2</v>
      </c>
    </row>
    <row r="88" spans="1:49" ht="22" customHeight="1">
      <c r="A88" s="26" t="s">
        <v>50</v>
      </c>
      <c r="B88" s="27" t="s">
        <v>184</v>
      </c>
      <c r="C88" s="25" t="s">
        <v>212</v>
      </c>
      <c r="D88" s="9"/>
      <c r="E88" s="31">
        <v>9000</v>
      </c>
      <c r="F88" s="31">
        <v>9000</v>
      </c>
      <c r="G88" s="31">
        <v>12000</v>
      </c>
      <c r="H88" s="31">
        <v>9000</v>
      </c>
      <c r="I88" s="31">
        <v>9000</v>
      </c>
      <c r="J88" s="31">
        <v>9000</v>
      </c>
      <c r="K88" s="28">
        <v>0.1</v>
      </c>
      <c r="L88" s="3">
        <f t="shared" si="10"/>
        <v>0</v>
      </c>
      <c r="M88" s="28">
        <v>0.58799999999999997</v>
      </c>
      <c r="N88" s="28">
        <v>0.1</v>
      </c>
      <c r="O88" s="3">
        <f t="shared" si="11"/>
        <v>0</v>
      </c>
      <c r="P88" s="3">
        <f>'10月（既存移管合算）'!Y301</f>
        <v>0</v>
      </c>
      <c r="Q88" s="3">
        <f>'10月（既存移管合算）'!Z301</f>
        <v>0</v>
      </c>
      <c r="R88" s="3">
        <f>'10月（既存移管合算）'!AA301</f>
        <v>0</v>
      </c>
      <c r="S88" s="3">
        <f>'10月（既存移管合算）'!AB301</f>
        <v>0</v>
      </c>
      <c r="T88" s="3">
        <f>'10月（既存移管合算）'!AC301</f>
        <v>0</v>
      </c>
      <c r="U88" s="3">
        <f>'10月（既存移管合算）'!AD301</f>
        <v>0</v>
      </c>
      <c r="V88" s="3">
        <f>'10月（既存移管合算）'!AE301</f>
        <v>0</v>
      </c>
      <c r="W88" s="3">
        <f>'10月（既存移管合算）'!AF301</f>
        <v>0</v>
      </c>
      <c r="X88" s="3">
        <f>'10月（既存移管合算）'!AG301</f>
        <v>0</v>
      </c>
      <c r="Y88" s="3">
        <f>'10月（既存移管合算）'!AH301</f>
        <v>3</v>
      </c>
      <c r="Z88" s="3">
        <f>'10月（既存移管合算）'!AI301</f>
        <v>0</v>
      </c>
      <c r="AA88" s="3">
        <f>'10月（既存移管合算）'!AJ301</f>
        <v>0</v>
      </c>
      <c r="AB88" s="3">
        <f>'10月（既存移管合算）'!AK301</f>
        <v>0</v>
      </c>
      <c r="AC88" s="3">
        <f>'10月（既存移管合算）'!AL301</f>
        <v>0</v>
      </c>
      <c r="AD88" s="3">
        <f>'10月（既存移管合算）'!AM301</f>
        <v>0</v>
      </c>
      <c r="AE88" s="3">
        <f>'10月（既存移管合算）'!AN301</f>
        <v>0</v>
      </c>
      <c r="AF88" s="3">
        <f>'10月（既存移管合算）'!AO301</f>
        <v>0</v>
      </c>
      <c r="AG88" s="3">
        <f>'10月（既存移管合算）'!AP301</f>
        <v>0</v>
      </c>
      <c r="AH88" s="3">
        <f>'10月（既存移管合算）'!AQ301</f>
        <v>0</v>
      </c>
      <c r="AI88" s="3">
        <f>'10月（既存移管合算）'!AR301</f>
        <v>0</v>
      </c>
      <c r="AJ88" s="3">
        <f>'10月（既存移管合算）'!AS301</f>
        <v>0</v>
      </c>
      <c r="AK88" s="3">
        <f>'10月（既存移管合算）'!AT301</f>
        <v>0</v>
      </c>
      <c r="AL88" s="3">
        <f>'10月（既存移管合算）'!AU301</f>
        <v>0</v>
      </c>
      <c r="AM88" s="3">
        <f>'10月（既存移管合算）'!AV301</f>
        <v>0</v>
      </c>
      <c r="AN88" s="3">
        <f>'10月（既存移管合算）'!AW301</f>
        <v>0</v>
      </c>
      <c r="AO88" s="3">
        <f>'10月（既存移管合算）'!AX301</f>
        <v>0</v>
      </c>
      <c r="AP88" s="3">
        <f>'10月（既存移管合算）'!AY301</f>
        <v>0</v>
      </c>
      <c r="AQ88" s="3">
        <f>'10月（既存移管合算）'!AZ301</f>
        <v>0</v>
      </c>
      <c r="AR88" s="3">
        <f>'10月（既存移管合算）'!BA301</f>
        <v>0</v>
      </c>
      <c r="AS88" s="3">
        <f>'10月（既存移管合算）'!BB301</f>
        <v>0</v>
      </c>
      <c r="AT88" s="3">
        <f>'10月（既存移管合算）'!BC301</f>
        <v>0</v>
      </c>
      <c r="AU88" s="3">
        <f>'10月（既存移管合算）'!BD301</f>
        <v>0</v>
      </c>
      <c r="AV88" s="3">
        <f>'10月（既存移管合算）'!BE301</f>
        <v>0</v>
      </c>
      <c r="AW88" s="10">
        <f t="shared" si="12"/>
        <v>3</v>
      </c>
    </row>
    <row r="89" spans="1:49" ht="22" customHeight="1">
      <c r="A89" s="34" t="s">
        <v>94</v>
      </c>
      <c r="B89" s="35" t="s">
        <v>185</v>
      </c>
      <c r="C89" s="32" t="s">
        <v>212</v>
      </c>
      <c r="D89" s="39"/>
      <c r="E89" s="43">
        <v>9000</v>
      </c>
      <c r="F89" s="43">
        <v>9000</v>
      </c>
      <c r="G89" s="43">
        <v>11000</v>
      </c>
      <c r="H89" s="43">
        <v>9000</v>
      </c>
      <c r="I89" s="43">
        <v>9000</v>
      </c>
      <c r="J89" s="43">
        <v>9000</v>
      </c>
      <c r="K89" s="38">
        <v>6.25E-2</v>
      </c>
      <c r="L89" s="36">
        <f t="shared" si="10"/>
        <v>0</v>
      </c>
      <c r="M89" s="38">
        <v>0.5</v>
      </c>
      <c r="N89" s="38">
        <v>6.25E-2</v>
      </c>
      <c r="O89" s="36">
        <f t="shared" si="11"/>
        <v>0</v>
      </c>
      <c r="P89" s="36">
        <f>'10月（既存移管合算）'!Y305</f>
        <v>0</v>
      </c>
      <c r="Q89" s="36">
        <f>'10月（既存移管合算）'!Z305</f>
        <v>0</v>
      </c>
      <c r="R89" s="36">
        <f>'10月（既存移管合算）'!AA305</f>
        <v>2</v>
      </c>
      <c r="S89" s="36">
        <f>'10月（既存移管合算）'!AB305</f>
        <v>0</v>
      </c>
      <c r="T89" s="36">
        <f>'10月（既存移管合算）'!AC305</f>
        <v>0</v>
      </c>
      <c r="U89" s="36">
        <f>'10月（既存移管合算）'!AD305</f>
        <v>0</v>
      </c>
      <c r="V89" s="36">
        <f>'10月（既存移管合算）'!AE305</f>
        <v>0</v>
      </c>
      <c r="W89" s="36">
        <f>'10月（既存移管合算）'!AF305</f>
        <v>0</v>
      </c>
      <c r="X89" s="36">
        <f>'10月（既存移管合算）'!AG305</f>
        <v>0</v>
      </c>
      <c r="Y89" s="36">
        <f>'10月（既存移管合算）'!AH305</f>
        <v>0</v>
      </c>
      <c r="Z89" s="36">
        <f>'10月（既存移管合算）'!AI305</f>
        <v>0</v>
      </c>
      <c r="AA89" s="36">
        <f>'10月（既存移管合算）'!AJ305</f>
        <v>0</v>
      </c>
      <c r="AB89" s="36">
        <f>'10月（既存移管合算）'!AK305</f>
        <v>0</v>
      </c>
      <c r="AC89" s="36">
        <f>'10月（既存移管合算）'!AL305</f>
        <v>0</v>
      </c>
      <c r="AD89" s="36">
        <f>'10月（既存移管合算）'!AM305</f>
        <v>0</v>
      </c>
      <c r="AE89" s="36">
        <f>'10月（既存移管合算）'!AN305</f>
        <v>0</v>
      </c>
      <c r="AF89" s="36">
        <f>'10月（既存移管合算）'!AO305</f>
        <v>0</v>
      </c>
      <c r="AG89" s="36">
        <f>'10月（既存移管合算）'!AP305</f>
        <v>0</v>
      </c>
      <c r="AH89" s="36">
        <f>'10月（既存移管合算）'!AQ305</f>
        <v>0</v>
      </c>
      <c r="AI89" s="36">
        <f>'10月（既存移管合算）'!AR305</f>
        <v>0</v>
      </c>
      <c r="AJ89" s="36">
        <f>'10月（既存移管合算）'!AS305</f>
        <v>0</v>
      </c>
      <c r="AK89" s="36">
        <f>'10月（既存移管合算）'!AT305</f>
        <v>0</v>
      </c>
      <c r="AL89" s="36">
        <f>'10月（既存移管合算）'!AU305</f>
        <v>0</v>
      </c>
      <c r="AM89" s="36">
        <f>'10月（既存移管合算）'!AV305</f>
        <v>0</v>
      </c>
      <c r="AN89" s="36">
        <f>'10月（既存移管合算）'!AW305</f>
        <v>0</v>
      </c>
      <c r="AO89" s="36">
        <f>'10月（既存移管合算）'!AX305</f>
        <v>0</v>
      </c>
      <c r="AP89" s="36">
        <f>'10月（既存移管合算）'!AY305</f>
        <v>0</v>
      </c>
      <c r="AQ89" s="36">
        <f>'10月（既存移管合算）'!AZ305</f>
        <v>0</v>
      </c>
      <c r="AR89" s="36">
        <f>'10月（既存移管合算）'!BA305</f>
        <v>0</v>
      </c>
      <c r="AS89" s="36">
        <f>'10月（既存移管合算）'!BB305</f>
        <v>0</v>
      </c>
      <c r="AT89" s="36">
        <f>'10月（既存移管合算）'!BC305</f>
        <v>0</v>
      </c>
      <c r="AU89" s="36">
        <f>'10月（既存移管合算）'!BD305</f>
        <v>0</v>
      </c>
      <c r="AV89" s="36">
        <f>'10月（既存移管合算）'!BE305</f>
        <v>0</v>
      </c>
      <c r="AW89" s="10">
        <f t="shared" si="12"/>
        <v>2</v>
      </c>
    </row>
    <row r="90" spans="1:49" ht="22" customHeight="1">
      <c r="A90" s="26" t="s">
        <v>84</v>
      </c>
      <c r="B90" s="27" t="s">
        <v>186</v>
      </c>
      <c r="C90" s="25" t="s">
        <v>212</v>
      </c>
      <c r="D90" s="9"/>
      <c r="E90" s="31">
        <v>9000</v>
      </c>
      <c r="F90" s="31">
        <v>9000</v>
      </c>
      <c r="G90" s="31">
        <v>13000</v>
      </c>
      <c r="H90" s="31">
        <v>9000</v>
      </c>
      <c r="I90" s="31">
        <v>9000</v>
      </c>
      <c r="J90" s="31">
        <v>9000</v>
      </c>
      <c r="K90" s="28">
        <v>0.1785714285714286</v>
      </c>
      <c r="L90" s="3">
        <f t="shared" si="10"/>
        <v>1</v>
      </c>
      <c r="M90" s="28">
        <v>0.71399999999999997</v>
      </c>
      <c r="N90" s="28">
        <v>0.1785714285714286</v>
      </c>
      <c r="O90" s="3">
        <f t="shared" si="11"/>
        <v>1</v>
      </c>
      <c r="P90" s="3">
        <f>'10月（既存移管合算）'!Y309</f>
        <v>0</v>
      </c>
      <c r="Q90" s="3">
        <f>'10月（既存移管合算）'!Z309</f>
        <v>2</v>
      </c>
      <c r="R90" s="3">
        <f>'10月（既存移管合算）'!AA309</f>
        <v>2</v>
      </c>
      <c r="S90" s="3">
        <f>'10月（既存移管合算）'!AB309</f>
        <v>0</v>
      </c>
      <c r="T90" s="3">
        <f>'10月（既存移管合算）'!AC309</f>
        <v>0</v>
      </c>
      <c r="U90" s="3">
        <f>'10月（既存移管合算）'!AD309</f>
        <v>0</v>
      </c>
      <c r="V90" s="3">
        <f>'10月（既存移管合算）'!AE309</f>
        <v>0</v>
      </c>
      <c r="W90" s="3">
        <f>'10月（既存移管合算）'!AF309</f>
        <v>0</v>
      </c>
      <c r="X90" s="3">
        <f>'10月（既存移管合算）'!AG309</f>
        <v>2</v>
      </c>
      <c r="Y90" s="3">
        <f>'10月（既存移管合算）'!AH309</f>
        <v>0</v>
      </c>
      <c r="Z90" s="3">
        <f>'10月（既存移管合算）'!AI309</f>
        <v>0</v>
      </c>
      <c r="AA90" s="3">
        <f>'10月（既存移管合算）'!AJ309</f>
        <v>0</v>
      </c>
      <c r="AB90" s="3">
        <f>'10月（既存移管合算）'!AK309</f>
        <v>0</v>
      </c>
      <c r="AC90" s="3">
        <f>'10月（既存移管合算）'!AL309</f>
        <v>0</v>
      </c>
      <c r="AD90" s="3">
        <f>'10月（既存移管合算）'!AM309</f>
        <v>0</v>
      </c>
      <c r="AE90" s="3">
        <f>'10月（既存移管合算）'!AN309</f>
        <v>0</v>
      </c>
      <c r="AF90" s="3">
        <f>'10月（既存移管合算）'!AO309</f>
        <v>0</v>
      </c>
      <c r="AG90" s="3">
        <f>'10月（既存移管合算）'!AP309</f>
        <v>0</v>
      </c>
      <c r="AH90" s="3">
        <f>'10月（既存移管合算）'!AQ309</f>
        <v>0</v>
      </c>
      <c r="AI90" s="3">
        <f>'10月（既存移管合算）'!AR309</f>
        <v>0</v>
      </c>
      <c r="AJ90" s="3">
        <f>'10月（既存移管合算）'!AS309</f>
        <v>0</v>
      </c>
      <c r="AK90" s="3">
        <f>'10月（既存移管合算）'!AT309</f>
        <v>0</v>
      </c>
      <c r="AL90" s="3">
        <f>'10月（既存移管合算）'!AU309</f>
        <v>0</v>
      </c>
      <c r="AM90" s="3">
        <f>'10月（既存移管合算）'!AV309</f>
        <v>0</v>
      </c>
      <c r="AN90" s="3">
        <f>'10月（既存移管合算）'!AW309</f>
        <v>0</v>
      </c>
      <c r="AO90" s="3">
        <f>'10月（既存移管合算）'!AX309</f>
        <v>0</v>
      </c>
      <c r="AP90" s="3">
        <f>'10月（既存移管合算）'!AY309</f>
        <v>0</v>
      </c>
      <c r="AQ90" s="3">
        <f>'10月（既存移管合算）'!AZ309</f>
        <v>0</v>
      </c>
      <c r="AR90" s="3">
        <f>'10月（既存移管合算）'!BA309</f>
        <v>0</v>
      </c>
      <c r="AS90" s="3">
        <f>'10月（既存移管合算）'!BB309</f>
        <v>0</v>
      </c>
      <c r="AT90" s="3">
        <f>'10月（既存移管合算）'!BC309</f>
        <v>0</v>
      </c>
      <c r="AU90" s="3">
        <f>'10月（既存移管合算）'!BD309</f>
        <v>0</v>
      </c>
      <c r="AV90" s="3">
        <f>'10月（既存移管合算）'!BE309</f>
        <v>0</v>
      </c>
      <c r="AW90" s="10">
        <f t="shared" si="12"/>
        <v>6</v>
      </c>
    </row>
    <row r="91" spans="1:49" ht="22" customHeight="1">
      <c r="A91" s="34" t="s">
        <v>96</v>
      </c>
      <c r="B91" s="35" t="s">
        <v>187</v>
      </c>
      <c r="C91" s="32" t="s">
        <v>212</v>
      </c>
      <c r="D91" s="39"/>
      <c r="E91" s="43">
        <v>9000</v>
      </c>
      <c r="F91" s="43">
        <v>9000</v>
      </c>
      <c r="G91" s="43">
        <v>13000</v>
      </c>
      <c r="H91" s="43">
        <v>9000</v>
      </c>
      <c r="I91" s="43">
        <v>9000</v>
      </c>
      <c r="J91" s="43">
        <v>9000</v>
      </c>
      <c r="K91" s="38">
        <v>3.3333333333333333E-2</v>
      </c>
      <c r="L91" s="36">
        <f t="shared" si="10"/>
        <v>0</v>
      </c>
      <c r="M91" s="38">
        <v>0.59099999999999997</v>
      </c>
      <c r="N91" s="38">
        <v>3.3333333333333333E-2</v>
      </c>
      <c r="O91" s="36">
        <f t="shared" si="11"/>
        <v>0</v>
      </c>
      <c r="P91" s="36">
        <f>'10月（既存移管合算）'!Y313</f>
        <v>0</v>
      </c>
      <c r="Q91" s="36">
        <f>'10月（既存移管合算）'!Z313</f>
        <v>2</v>
      </c>
      <c r="R91" s="36">
        <f>'10月（既存移管合算）'!AA313</f>
        <v>2</v>
      </c>
      <c r="S91" s="36">
        <f>'10月（既存移管合算）'!AB313</f>
        <v>0</v>
      </c>
      <c r="T91" s="36">
        <f>'10月（既存移管合算）'!AC313</f>
        <v>0</v>
      </c>
      <c r="U91" s="36">
        <f>'10月（既存移管合算）'!AD313</f>
        <v>0</v>
      </c>
      <c r="V91" s="36">
        <f>'10月（既存移管合算）'!AE313</f>
        <v>0</v>
      </c>
      <c r="W91" s="36">
        <f>'10月（既存移管合算）'!AF313</f>
        <v>0</v>
      </c>
      <c r="X91" s="36">
        <f>'10月（既存移管合算）'!AG313</f>
        <v>2</v>
      </c>
      <c r="Y91" s="36">
        <f>'10月（既存移管合算）'!AH313</f>
        <v>0</v>
      </c>
      <c r="Z91" s="36">
        <f>'10月（既存移管合算）'!AI313</f>
        <v>0</v>
      </c>
      <c r="AA91" s="36">
        <f>'10月（既存移管合算）'!AJ313</f>
        <v>0</v>
      </c>
      <c r="AB91" s="36">
        <f>'10月（既存移管合算）'!AK313</f>
        <v>0</v>
      </c>
      <c r="AC91" s="36">
        <f>'10月（既存移管合算）'!AL313</f>
        <v>0</v>
      </c>
      <c r="AD91" s="36">
        <f>'10月（既存移管合算）'!AM313</f>
        <v>0</v>
      </c>
      <c r="AE91" s="36">
        <f>'10月（既存移管合算）'!AN313</f>
        <v>0</v>
      </c>
      <c r="AF91" s="36">
        <f>'10月（既存移管合算）'!AO313</f>
        <v>0</v>
      </c>
      <c r="AG91" s="36">
        <f>'10月（既存移管合算）'!AP313</f>
        <v>0</v>
      </c>
      <c r="AH91" s="36">
        <f>'10月（既存移管合算）'!AQ313</f>
        <v>0</v>
      </c>
      <c r="AI91" s="36">
        <f>'10月（既存移管合算）'!AR313</f>
        <v>0</v>
      </c>
      <c r="AJ91" s="36">
        <f>'10月（既存移管合算）'!AS313</f>
        <v>0</v>
      </c>
      <c r="AK91" s="36">
        <f>'10月（既存移管合算）'!AT313</f>
        <v>0</v>
      </c>
      <c r="AL91" s="36">
        <f>'10月（既存移管合算）'!AU313</f>
        <v>0</v>
      </c>
      <c r="AM91" s="36">
        <f>'10月（既存移管合算）'!AV313</f>
        <v>0</v>
      </c>
      <c r="AN91" s="36">
        <f>'10月（既存移管合算）'!AW313</f>
        <v>0</v>
      </c>
      <c r="AO91" s="36">
        <f>'10月（既存移管合算）'!AX313</f>
        <v>0</v>
      </c>
      <c r="AP91" s="36">
        <f>'10月（既存移管合算）'!AY313</f>
        <v>0</v>
      </c>
      <c r="AQ91" s="36">
        <f>'10月（既存移管合算）'!AZ313</f>
        <v>0</v>
      </c>
      <c r="AR91" s="36">
        <f>'10月（既存移管合算）'!BA313</f>
        <v>0</v>
      </c>
      <c r="AS91" s="36">
        <f>'10月（既存移管合算）'!BB313</f>
        <v>0</v>
      </c>
      <c r="AT91" s="36">
        <f>'10月（既存移管合算）'!BC313</f>
        <v>0</v>
      </c>
      <c r="AU91" s="36">
        <f>'10月（既存移管合算）'!BD313</f>
        <v>0</v>
      </c>
      <c r="AV91" s="36">
        <f>'10月（既存移管合算）'!BE313</f>
        <v>0</v>
      </c>
      <c r="AW91" s="10">
        <f t="shared" si="12"/>
        <v>6</v>
      </c>
    </row>
    <row r="92" spans="1:49" ht="22" customHeight="1">
      <c r="A92" s="26" t="s">
        <v>74</v>
      </c>
      <c r="B92" s="27" t="s">
        <v>188</v>
      </c>
      <c r="C92" s="25"/>
      <c r="D92" s="9"/>
      <c r="E92" s="31">
        <v>9000</v>
      </c>
      <c r="F92" s="31">
        <v>9000</v>
      </c>
      <c r="G92" s="31">
        <v>14000</v>
      </c>
      <c r="H92" s="31">
        <v>9000</v>
      </c>
      <c r="I92" s="31">
        <v>9000</v>
      </c>
      <c r="J92" s="31">
        <v>9000</v>
      </c>
      <c r="K92" s="28">
        <v>6.8965517241379309E-2</v>
      </c>
      <c r="L92" s="3">
        <f t="shared" si="10"/>
        <v>0</v>
      </c>
      <c r="M92" s="28">
        <v>0.60499999999999998</v>
      </c>
      <c r="N92" s="28">
        <v>6.8965517241379309E-2</v>
      </c>
      <c r="O92" s="3">
        <f t="shared" si="11"/>
        <v>0</v>
      </c>
      <c r="P92" s="3">
        <f>'10月（既存移管合算）'!Y317</f>
        <v>0</v>
      </c>
      <c r="Q92" s="3">
        <f>'10月（既存移管合算）'!Z317</f>
        <v>0</v>
      </c>
      <c r="R92" s="3">
        <f>'10月（既存移管合算）'!AA317</f>
        <v>0</v>
      </c>
      <c r="S92" s="3">
        <f>'10月（既存移管合算）'!AB317</f>
        <v>0</v>
      </c>
      <c r="T92" s="3">
        <f>'10月（既存移管合算）'!AC317</f>
        <v>0</v>
      </c>
      <c r="U92" s="3">
        <f>'10月（既存移管合算）'!AD317</f>
        <v>0</v>
      </c>
      <c r="V92" s="3">
        <f>'10月（既存移管合算）'!AE317</f>
        <v>0</v>
      </c>
      <c r="W92" s="3">
        <f>'10月（既存移管合算）'!AF317</f>
        <v>0</v>
      </c>
      <c r="X92" s="3">
        <f>'10月（既存移管合算）'!AG317</f>
        <v>0</v>
      </c>
      <c r="Y92" s="3">
        <f>'10月（既存移管合算）'!AH317</f>
        <v>0</v>
      </c>
      <c r="Z92" s="3">
        <f>'10月（既存移管合算）'!AI317</f>
        <v>0</v>
      </c>
      <c r="AA92" s="3">
        <f>'10月（既存移管合算）'!AJ317</f>
        <v>0</v>
      </c>
      <c r="AB92" s="3">
        <f>'10月（既存移管合算）'!AK317</f>
        <v>0</v>
      </c>
      <c r="AC92" s="3">
        <f>'10月（既存移管合算）'!AL317</f>
        <v>0</v>
      </c>
      <c r="AD92" s="3">
        <f>'10月（既存移管合算）'!AM317</f>
        <v>0</v>
      </c>
      <c r="AE92" s="3">
        <f>'10月（既存移管合算）'!AN317</f>
        <v>0</v>
      </c>
      <c r="AF92" s="3">
        <f>'10月（既存移管合算）'!AO317</f>
        <v>0</v>
      </c>
      <c r="AG92" s="3">
        <f>'10月（既存移管合算）'!AP317</f>
        <v>0</v>
      </c>
      <c r="AH92" s="3">
        <f>'10月（既存移管合算）'!AQ317</f>
        <v>0</v>
      </c>
      <c r="AI92" s="3">
        <f>'10月（既存移管合算）'!AR317</f>
        <v>0</v>
      </c>
      <c r="AJ92" s="3">
        <f>'10月（既存移管合算）'!AS317</f>
        <v>0</v>
      </c>
      <c r="AK92" s="3">
        <f>'10月（既存移管合算）'!AT317</f>
        <v>0</v>
      </c>
      <c r="AL92" s="3">
        <f>'10月（既存移管合算）'!AU317</f>
        <v>0</v>
      </c>
      <c r="AM92" s="3">
        <f>'10月（既存移管合算）'!AV317</f>
        <v>0</v>
      </c>
      <c r="AN92" s="3">
        <f>'10月（既存移管合算）'!AW317</f>
        <v>0</v>
      </c>
      <c r="AO92" s="3">
        <f>'10月（既存移管合算）'!AX317</f>
        <v>0</v>
      </c>
      <c r="AP92" s="3">
        <f>'10月（既存移管合算）'!AY317</f>
        <v>0</v>
      </c>
      <c r="AQ92" s="3">
        <f>'10月（既存移管合算）'!AZ317</f>
        <v>0</v>
      </c>
      <c r="AR92" s="3">
        <f>'10月（既存移管合算）'!BA317</f>
        <v>0</v>
      </c>
      <c r="AS92" s="3">
        <f>'10月（既存移管合算）'!BB317</f>
        <v>0</v>
      </c>
      <c r="AT92" s="3">
        <f>'10月（既存移管合算）'!BC317</f>
        <v>0</v>
      </c>
      <c r="AU92" s="3">
        <f>'10月（既存移管合算）'!BD317</f>
        <v>0</v>
      </c>
      <c r="AV92" s="3">
        <f>'10月（既存移管合算）'!BE317</f>
        <v>0</v>
      </c>
      <c r="AW92" s="10">
        <f t="shared" si="12"/>
        <v>0</v>
      </c>
    </row>
    <row r="93" spans="1:49" ht="22" customHeight="1">
      <c r="A93" s="34" t="s">
        <v>66</v>
      </c>
      <c r="B93" s="35" t="s">
        <v>189</v>
      </c>
      <c r="C93" s="32" t="s">
        <v>212</v>
      </c>
      <c r="D93" s="39"/>
      <c r="E93" s="43">
        <v>9000</v>
      </c>
      <c r="F93" s="43">
        <v>9000</v>
      </c>
      <c r="G93" s="43">
        <v>12000</v>
      </c>
      <c r="H93" s="43">
        <v>9000</v>
      </c>
      <c r="I93" s="43">
        <v>9000</v>
      </c>
      <c r="J93" s="43">
        <v>9000</v>
      </c>
      <c r="K93" s="38">
        <v>0.1</v>
      </c>
      <c r="L93" s="36">
        <f t="shared" si="10"/>
        <v>0</v>
      </c>
      <c r="M93" s="38">
        <v>0.50600000000000001</v>
      </c>
      <c r="N93" s="38">
        <v>0.1</v>
      </c>
      <c r="O93" s="36">
        <f t="shared" si="11"/>
        <v>0</v>
      </c>
      <c r="P93" s="36">
        <f>'10月（既存移管合算）'!Y320</f>
        <v>0</v>
      </c>
      <c r="Q93" s="36">
        <f>'10月（既存移管合算）'!Z320</f>
        <v>0</v>
      </c>
      <c r="R93" s="36">
        <f>'10月（既存移管合算）'!AA320</f>
        <v>0</v>
      </c>
      <c r="S93" s="36">
        <f>'10月（既存移管合算）'!AB320</f>
        <v>0</v>
      </c>
      <c r="T93" s="36">
        <f>'10月（既存移管合算）'!AC320</f>
        <v>0</v>
      </c>
      <c r="U93" s="36">
        <f>'10月（既存移管合算）'!AD320</f>
        <v>0</v>
      </c>
      <c r="V93" s="36">
        <f>'10月（既存移管合算）'!AE320</f>
        <v>0</v>
      </c>
      <c r="W93" s="36">
        <f>'10月（既存移管合算）'!AF320</f>
        <v>0</v>
      </c>
      <c r="X93" s="36">
        <f>'10月（既存移管合算）'!AG320</f>
        <v>0</v>
      </c>
      <c r="Y93" s="36">
        <f>'10月（既存移管合算）'!AH320</f>
        <v>0</v>
      </c>
      <c r="Z93" s="36">
        <f>'10月（既存移管合算）'!AI320</f>
        <v>0</v>
      </c>
      <c r="AA93" s="36">
        <f>'10月（既存移管合算）'!AJ320</f>
        <v>0</v>
      </c>
      <c r="AB93" s="36">
        <f>'10月（既存移管合算）'!AK320</f>
        <v>0</v>
      </c>
      <c r="AC93" s="36">
        <f>'10月（既存移管合算）'!AL320</f>
        <v>0</v>
      </c>
      <c r="AD93" s="36">
        <f>'10月（既存移管合算）'!AM320</f>
        <v>0</v>
      </c>
      <c r="AE93" s="36">
        <f>'10月（既存移管合算）'!AN320</f>
        <v>0</v>
      </c>
      <c r="AF93" s="36">
        <f>'10月（既存移管合算）'!AO320</f>
        <v>0</v>
      </c>
      <c r="AG93" s="36">
        <f>'10月（既存移管合算）'!AP320</f>
        <v>0</v>
      </c>
      <c r="AH93" s="36">
        <f>'10月（既存移管合算）'!AQ320</f>
        <v>0</v>
      </c>
      <c r="AI93" s="36">
        <f>'10月（既存移管合算）'!AR320</f>
        <v>0</v>
      </c>
      <c r="AJ93" s="36">
        <f>'10月（既存移管合算）'!AS320</f>
        <v>0</v>
      </c>
      <c r="AK93" s="36">
        <f>'10月（既存移管合算）'!AT320</f>
        <v>0</v>
      </c>
      <c r="AL93" s="36">
        <f>'10月（既存移管合算）'!AU320</f>
        <v>0</v>
      </c>
      <c r="AM93" s="36">
        <f>'10月（既存移管合算）'!AV320</f>
        <v>0</v>
      </c>
      <c r="AN93" s="36">
        <f>'10月（既存移管合算）'!AW320</f>
        <v>0</v>
      </c>
      <c r="AO93" s="36">
        <f>'10月（既存移管合算）'!AX320</f>
        <v>0</v>
      </c>
      <c r="AP93" s="36">
        <f>'10月（既存移管合算）'!AY320</f>
        <v>0</v>
      </c>
      <c r="AQ93" s="36">
        <f>'10月（既存移管合算）'!AZ320</f>
        <v>0</v>
      </c>
      <c r="AR93" s="36">
        <f>'10月（既存移管合算）'!BA320</f>
        <v>0</v>
      </c>
      <c r="AS93" s="36">
        <f>'10月（既存移管合算）'!BB320</f>
        <v>0</v>
      </c>
      <c r="AT93" s="36">
        <f>'10月（既存移管合算）'!BC320</f>
        <v>0</v>
      </c>
      <c r="AU93" s="36">
        <f>'10月（既存移管合算）'!BD320</f>
        <v>0</v>
      </c>
      <c r="AV93" s="36">
        <f>'10月（既存移管合算）'!BE320</f>
        <v>0</v>
      </c>
      <c r="AW93" s="10">
        <f t="shared" si="12"/>
        <v>0</v>
      </c>
    </row>
    <row r="94" spans="1:49" ht="22" customHeight="1">
      <c r="A94" s="26" t="s">
        <v>39</v>
      </c>
      <c r="B94" s="27" t="s">
        <v>190</v>
      </c>
      <c r="C94" s="25" t="s">
        <v>212</v>
      </c>
      <c r="D94" s="9"/>
      <c r="E94" s="31">
        <v>9000</v>
      </c>
      <c r="F94" s="31">
        <v>9000</v>
      </c>
      <c r="G94" s="31">
        <v>19000</v>
      </c>
      <c r="H94" s="31">
        <v>9000</v>
      </c>
      <c r="I94" s="31">
        <v>9000</v>
      </c>
      <c r="J94" s="31">
        <v>9000</v>
      </c>
      <c r="K94" s="28">
        <v>0.19538461538461541</v>
      </c>
      <c r="L94" s="3">
        <f t="shared" si="10"/>
        <v>7</v>
      </c>
      <c r="M94" s="28">
        <v>0.76900000000000002</v>
      </c>
      <c r="N94" s="28">
        <v>0.19538461538461541</v>
      </c>
      <c r="O94" s="3">
        <f t="shared" si="11"/>
        <v>7</v>
      </c>
      <c r="P94" s="3">
        <f>'10月（既存移管合算）'!Y324</f>
        <v>1</v>
      </c>
      <c r="Q94" s="3">
        <f>'10月（既存移管合算）'!Z324</f>
        <v>2</v>
      </c>
      <c r="R94" s="3">
        <f>'10月（既存移管合算）'!AA324</f>
        <v>1</v>
      </c>
      <c r="S94" s="3">
        <f>'10月（既存移管合算）'!AB324</f>
        <v>1</v>
      </c>
      <c r="T94" s="3">
        <f>'10月（既存移管合算）'!AC324</f>
        <v>1</v>
      </c>
      <c r="U94" s="3">
        <f>'10月（既存移管合算）'!AD324</f>
        <v>1</v>
      </c>
      <c r="V94" s="3">
        <f>'10月（既存移管合算）'!AE324</f>
        <v>1</v>
      </c>
      <c r="W94" s="3">
        <f>'10月（既存移管合算）'!AF324</f>
        <v>1</v>
      </c>
      <c r="X94" s="3">
        <f>'10月（既存移管合算）'!AG324</f>
        <v>1</v>
      </c>
      <c r="Y94" s="3">
        <f>'10月（既存移管合算）'!AH324</f>
        <v>1</v>
      </c>
      <c r="Z94" s="3">
        <f>'10月（既存移管合算）'!AI324</f>
        <v>1</v>
      </c>
      <c r="AA94" s="3">
        <f>'10月（既存移管合算）'!AJ324</f>
        <v>1</v>
      </c>
      <c r="AB94" s="3">
        <f>'10月（既存移管合算）'!AK324</f>
        <v>1</v>
      </c>
      <c r="AC94" s="3">
        <f>'10月（既存移管合算）'!AL324</f>
        <v>1</v>
      </c>
      <c r="AD94" s="3">
        <f>'10月（既存移管合算）'!AM324</f>
        <v>1</v>
      </c>
      <c r="AE94" s="3">
        <f>'10月（既存移管合算）'!AN324</f>
        <v>1</v>
      </c>
      <c r="AF94" s="3">
        <f>'10月（既存移管合算）'!AO324</f>
        <v>1</v>
      </c>
      <c r="AG94" s="3">
        <f>'10月（既存移管合算）'!AP324</f>
        <v>1</v>
      </c>
      <c r="AH94" s="3">
        <f>'10月（既存移管合算）'!AQ324</f>
        <v>1</v>
      </c>
      <c r="AI94" s="3">
        <f>'10月（既存移管合算）'!AR324</f>
        <v>1</v>
      </c>
      <c r="AJ94" s="3">
        <f>'10月（既存移管合算）'!AS324</f>
        <v>1</v>
      </c>
      <c r="AK94" s="3">
        <f>'10月（既存移管合算）'!AT324</f>
        <v>1</v>
      </c>
      <c r="AL94" s="3">
        <f>'10月（既存移管合算）'!AU324</f>
        <v>1</v>
      </c>
      <c r="AM94" s="3">
        <f>'10月（既存移管合算）'!AV324</f>
        <v>1</v>
      </c>
      <c r="AN94" s="3">
        <f>'10月（既存移管合算）'!AW324</f>
        <v>1</v>
      </c>
      <c r="AO94" s="3">
        <f>'10月（既存移管合算）'!AX324</f>
        <v>1</v>
      </c>
      <c r="AP94" s="3">
        <f>'10月（既存移管合算）'!AY324</f>
        <v>1</v>
      </c>
      <c r="AQ94" s="3">
        <f>'10月（既存移管合算）'!AZ324</f>
        <v>1</v>
      </c>
      <c r="AR94" s="3">
        <f>'10月（既存移管合算）'!BA324</f>
        <v>1</v>
      </c>
      <c r="AS94" s="3">
        <f>'10月（既存移管合算）'!BB324</f>
        <v>1</v>
      </c>
      <c r="AT94" s="3">
        <f>'10月（既存移管合算）'!BC324</f>
        <v>2</v>
      </c>
      <c r="AU94" s="3">
        <f>'10月（既存移管合算）'!BD324</f>
        <v>1</v>
      </c>
      <c r="AV94" s="3">
        <f>'10月（既存移管合算）'!BE324</f>
        <v>1</v>
      </c>
      <c r="AW94" s="10">
        <f t="shared" si="12"/>
        <v>35</v>
      </c>
    </row>
    <row r="95" spans="1:49" ht="22" customHeight="1">
      <c r="A95" s="34" t="s">
        <v>35</v>
      </c>
      <c r="B95" s="35" t="s">
        <v>191</v>
      </c>
      <c r="C95" s="32" t="s">
        <v>212</v>
      </c>
      <c r="D95" s="39"/>
      <c r="E95" s="43">
        <v>9000</v>
      </c>
      <c r="F95" s="43">
        <v>9000</v>
      </c>
      <c r="G95" s="43">
        <v>18000</v>
      </c>
      <c r="H95" s="43">
        <v>9000</v>
      </c>
      <c r="I95" s="43">
        <v>9000</v>
      </c>
      <c r="J95" s="43">
        <v>9000</v>
      </c>
      <c r="K95" s="38">
        <v>0.1125541125541126</v>
      </c>
      <c r="L95" s="36">
        <f t="shared" si="10"/>
        <v>4</v>
      </c>
      <c r="M95" s="38">
        <v>0.66500000000000004</v>
      </c>
      <c r="N95" s="38">
        <v>0.1125541125541126</v>
      </c>
      <c r="O95" s="36">
        <f t="shared" si="11"/>
        <v>4</v>
      </c>
      <c r="P95" s="36">
        <f>'10月（既存移管合算）'!Y328</f>
        <v>1</v>
      </c>
      <c r="Q95" s="36">
        <f>'10月（既存移管合算）'!Z328</f>
        <v>2</v>
      </c>
      <c r="R95" s="36">
        <f>'10月（既存移管合算）'!AA328</f>
        <v>1</v>
      </c>
      <c r="S95" s="36">
        <f>'10月（既存移管合算）'!AB328</f>
        <v>1</v>
      </c>
      <c r="T95" s="36">
        <f>'10月（既存移管合算）'!AC328</f>
        <v>1</v>
      </c>
      <c r="U95" s="36">
        <f>'10月（既存移管合算）'!AD328</f>
        <v>1</v>
      </c>
      <c r="V95" s="36">
        <f>'10月（既存移管合算）'!AE328</f>
        <v>1</v>
      </c>
      <c r="W95" s="36">
        <f>'10月（既存移管合算）'!AF328</f>
        <v>1</v>
      </c>
      <c r="X95" s="36">
        <f>'10月（既存移管合算）'!AG328</f>
        <v>1</v>
      </c>
      <c r="Y95" s="36">
        <f>'10月（既存移管合算）'!AH328</f>
        <v>1</v>
      </c>
      <c r="Z95" s="36">
        <f>'10月（既存移管合算）'!AI328</f>
        <v>1</v>
      </c>
      <c r="AA95" s="36">
        <f>'10月（既存移管合算）'!AJ328</f>
        <v>1</v>
      </c>
      <c r="AB95" s="36">
        <f>'10月（既存移管合算）'!AK328</f>
        <v>1</v>
      </c>
      <c r="AC95" s="36">
        <f>'10月（既存移管合算）'!AL328</f>
        <v>1</v>
      </c>
      <c r="AD95" s="36">
        <f>'10月（既存移管合算）'!AM328</f>
        <v>1</v>
      </c>
      <c r="AE95" s="36">
        <f>'10月（既存移管合算）'!AN328</f>
        <v>1</v>
      </c>
      <c r="AF95" s="36">
        <f>'10月（既存移管合算）'!AO328</f>
        <v>1</v>
      </c>
      <c r="AG95" s="36">
        <f>'10月（既存移管合算）'!AP328</f>
        <v>1</v>
      </c>
      <c r="AH95" s="36">
        <f>'10月（既存移管合算）'!AQ328</f>
        <v>1</v>
      </c>
      <c r="AI95" s="36">
        <f>'10月（既存移管合算）'!AR328</f>
        <v>1</v>
      </c>
      <c r="AJ95" s="36">
        <f>'10月（既存移管合算）'!AS328</f>
        <v>1</v>
      </c>
      <c r="AK95" s="36">
        <f>'10月（既存移管合算）'!AT328</f>
        <v>1</v>
      </c>
      <c r="AL95" s="36">
        <f>'10月（既存移管合算）'!AU328</f>
        <v>1</v>
      </c>
      <c r="AM95" s="36">
        <f>'10月（既存移管合算）'!AV328</f>
        <v>1</v>
      </c>
      <c r="AN95" s="36">
        <f>'10月（既存移管合算）'!AW328</f>
        <v>1</v>
      </c>
      <c r="AO95" s="36">
        <f>'10月（既存移管合算）'!AX328</f>
        <v>1</v>
      </c>
      <c r="AP95" s="36">
        <f>'10月（既存移管合算）'!AY328</f>
        <v>1</v>
      </c>
      <c r="AQ95" s="36">
        <f>'10月（既存移管合算）'!AZ328</f>
        <v>1</v>
      </c>
      <c r="AR95" s="36">
        <f>'10月（既存移管合算）'!BA328</f>
        <v>1</v>
      </c>
      <c r="AS95" s="36">
        <f>'10月（既存移管合算）'!BB328</f>
        <v>1</v>
      </c>
      <c r="AT95" s="36">
        <f>'10月（既存移管合算）'!BC328</f>
        <v>2</v>
      </c>
      <c r="AU95" s="36">
        <f>'10月（既存移管合算）'!BD328</f>
        <v>1</v>
      </c>
      <c r="AV95" s="36">
        <f>'10月（既存移管合算）'!BE328</f>
        <v>1</v>
      </c>
      <c r="AW95" s="10">
        <f t="shared" si="12"/>
        <v>35</v>
      </c>
    </row>
    <row r="96" spans="1:49" ht="22" customHeight="1">
      <c r="A96" s="26" t="s">
        <v>82</v>
      </c>
      <c r="B96" s="27" t="s">
        <v>192</v>
      </c>
      <c r="C96" s="25" t="s">
        <v>212</v>
      </c>
      <c r="D96" s="9"/>
      <c r="E96" s="31">
        <v>9000</v>
      </c>
      <c r="F96" s="31">
        <v>9000</v>
      </c>
      <c r="G96" s="31">
        <v>12000</v>
      </c>
      <c r="H96" s="31">
        <v>9000</v>
      </c>
      <c r="I96" s="31">
        <v>9000</v>
      </c>
      <c r="J96" s="31">
        <v>9000</v>
      </c>
      <c r="K96" s="28">
        <v>0.1</v>
      </c>
      <c r="L96" s="3">
        <f t="shared" si="10"/>
        <v>0</v>
      </c>
      <c r="M96" s="28">
        <v>0.34200000000000003</v>
      </c>
      <c r="N96" s="28">
        <v>0.1</v>
      </c>
      <c r="O96" s="3">
        <f t="shared" si="11"/>
        <v>0</v>
      </c>
      <c r="P96" s="3">
        <f>'10月（既存移管合算）'!Y332</f>
        <v>0</v>
      </c>
      <c r="Q96" s="3">
        <f>'10月（既存移管合算）'!Z332</f>
        <v>0</v>
      </c>
      <c r="R96" s="3">
        <f>'10月（既存移管合算）'!AA332</f>
        <v>0</v>
      </c>
      <c r="S96" s="3">
        <f>'10月（既存移管合算）'!AB332</f>
        <v>0</v>
      </c>
      <c r="T96" s="3">
        <f>'10月（既存移管合算）'!AC332</f>
        <v>0</v>
      </c>
      <c r="U96" s="3">
        <f>'10月（既存移管合算）'!AD332</f>
        <v>0</v>
      </c>
      <c r="V96" s="3">
        <f>'10月（既存移管合算）'!AE332</f>
        <v>0</v>
      </c>
      <c r="W96" s="3">
        <f>'10月（既存移管合算）'!AF332</f>
        <v>0</v>
      </c>
      <c r="X96" s="3">
        <f>'10月（既存移管合算）'!AG332</f>
        <v>0</v>
      </c>
      <c r="Y96" s="3">
        <f>'10月（既存移管合算）'!AH332</f>
        <v>0</v>
      </c>
      <c r="Z96" s="3">
        <f>'10月（既存移管合算）'!AI332</f>
        <v>0</v>
      </c>
      <c r="AA96" s="3">
        <f>'10月（既存移管合算）'!AJ332</f>
        <v>0</v>
      </c>
      <c r="AB96" s="3">
        <f>'10月（既存移管合算）'!AK332</f>
        <v>0</v>
      </c>
      <c r="AC96" s="3">
        <f>'10月（既存移管合算）'!AL332</f>
        <v>0</v>
      </c>
      <c r="AD96" s="3">
        <f>'10月（既存移管合算）'!AM332</f>
        <v>0</v>
      </c>
      <c r="AE96" s="3">
        <f>'10月（既存移管合算）'!AN332</f>
        <v>0</v>
      </c>
      <c r="AF96" s="3">
        <f>'10月（既存移管合算）'!AO332</f>
        <v>0</v>
      </c>
      <c r="AG96" s="3">
        <f>'10月（既存移管合算）'!AP332</f>
        <v>0</v>
      </c>
      <c r="AH96" s="3">
        <f>'10月（既存移管合算）'!AQ332</f>
        <v>0</v>
      </c>
      <c r="AI96" s="3">
        <f>'10月（既存移管合算）'!AR332</f>
        <v>0</v>
      </c>
      <c r="AJ96" s="3">
        <f>'10月（既存移管合算）'!AS332</f>
        <v>0</v>
      </c>
      <c r="AK96" s="3">
        <f>'10月（既存移管合算）'!AT332</f>
        <v>0</v>
      </c>
      <c r="AL96" s="3">
        <f>'10月（既存移管合算）'!AU332</f>
        <v>0</v>
      </c>
      <c r="AM96" s="3">
        <f>'10月（既存移管合算）'!AV332</f>
        <v>0</v>
      </c>
      <c r="AN96" s="3">
        <f>'10月（既存移管合算）'!AW332</f>
        <v>0</v>
      </c>
      <c r="AO96" s="3">
        <f>'10月（既存移管合算）'!AX332</f>
        <v>0</v>
      </c>
      <c r="AP96" s="3">
        <f>'10月（既存移管合算）'!AY332</f>
        <v>0</v>
      </c>
      <c r="AQ96" s="3">
        <f>'10月（既存移管合算）'!AZ332</f>
        <v>0</v>
      </c>
      <c r="AR96" s="3">
        <f>'10月（既存移管合算）'!BA332</f>
        <v>0</v>
      </c>
      <c r="AS96" s="3">
        <f>'10月（既存移管合算）'!BB332</f>
        <v>0</v>
      </c>
      <c r="AT96" s="3">
        <f>'10月（既存移管合算）'!BC332</f>
        <v>0</v>
      </c>
      <c r="AU96" s="3">
        <f>'10月（既存移管合算）'!BD332</f>
        <v>0</v>
      </c>
      <c r="AV96" s="3">
        <f>'10月（既存移管合算）'!BE332</f>
        <v>0</v>
      </c>
      <c r="AW96" s="10">
        <f t="shared" si="12"/>
        <v>0</v>
      </c>
    </row>
    <row r="97" spans="1:49" ht="22" customHeight="1">
      <c r="A97" s="34" t="s">
        <v>148</v>
      </c>
      <c r="B97" s="35" t="s">
        <v>193</v>
      </c>
      <c r="C97" s="32" t="s">
        <v>212</v>
      </c>
      <c r="D97" s="39"/>
      <c r="E97" s="43">
        <v>9000</v>
      </c>
      <c r="F97" s="43">
        <v>9000</v>
      </c>
      <c r="G97" s="43">
        <v>14000</v>
      </c>
      <c r="H97" s="43">
        <v>9000</v>
      </c>
      <c r="I97" s="43">
        <v>9000</v>
      </c>
      <c r="J97" s="43">
        <v>9000</v>
      </c>
      <c r="K97" s="38">
        <v>0.1</v>
      </c>
      <c r="L97" s="36">
        <f t="shared" si="10"/>
        <v>0</v>
      </c>
      <c r="M97" s="38">
        <v>0.55000000000000004</v>
      </c>
      <c r="N97" s="38">
        <v>0.1</v>
      </c>
      <c r="O97" s="36">
        <f t="shared" si="11"/>
        <v>0</v>
      </c>
      <c r="P97" s="36">
        <f>'10月（既存移管合算）'!Y336</f>
        <v>0</v>
      </c>
      <c r="Q97" s="36">
        <f>'10月（既存移管合算）'!Z336</f>
        <v>0</v>
      </c>
      <c r="R97" s="36">
        <f>'10月（既存移管合算）'!AA336</f>
        <v>0</v>
      </c>
      <c r="S97" s="36">
        <f>'10月（既存移管合算）'!AB336</f>
        <v>0</v>
      </c>
      <c r="T97" s="36">
        <f>'10月（既存移管合算）'!AC336</f>
        <v>0</v>
      </c>
      <c r="U97" s="36">
        <f>'10月（既存移管合算）'!AD336</f>
        <v>0</v>
      </c>
      <c r="V97" s="36">
        <f>'10月（既存移管合算）'!AE336</f>
        <v>0</v>
      </c>
      <c r="W97" s="36">
        <f>'10月（既存移管合算）'!AF336</f>
        <v>0</v>
      </c>
      <c r="X97" s="36">
        <f>'10月（既存移管合算）'!AG336</f>
        <v>0</v>
      </c>
      <c r="Y97" s="36">
        <f>'10月（既存移管合算）'!AH336</f>
        <v>0</v>
      </c>
      <c r="Z97" s="36">
        <f>'10月（既存移管合算）'!AI336</f>
        <v>0</v>
      </c>
      <c r="AA97" s="36">
        <f>'10月（既存移管合算）'!AJ336</f>
        <v>0</v>
      </c>
      <c r="AB97" s="36">
        <f>'10月（既存移管合算）'!AK336</f>
        <v>0</v>
      </c>
      <c r="AC97" s="36">
        <f>'10月（既存移管合算）'!AL336</f>
        <v>0</v>
      </c>
      <c r="AD97" s="36">
        <f>'10月（既存移管合算）'!AM336</f>
        <v>0</v>
      </c>
      <c r="AE97" s="36">
        <f>'10月（既存移管合算）'!AN336</f>
        <v>0</v>
      </c>
      <c r="AF97" s="36">
        <f>'10月（既存移管合算）'!AO336</f>
        <v>0</v>
      </c>
      <c r="AG97" s="36">
        <f>'10月（既存移管合算）'!AP336</f>
        <v>0</v>
      </c>
      <c r="AH97" s="36">
        <f>'10月（既存移管合算）'!AQ336</f>
        <v>0</v>
      </c>
      <c r="AI97" s="36">
        <f>'10月（既存移管合算）'!AR336</f>
        <v>0</v>
      </c>
      <c r="AJ97" s="36">
        <f>'10月（既存移管合算）'!AS336</f>
        <v>0</v>
      </c>
      <c r="AK97" s="36">
        <f>'10月（既存移管合算）'!AT336</f>
        <v>0</v>
      </c>
      <c r="AL97" s="36">
        <f>'10月（既存移管合算）'!AU336</f>
        <v>0</v>
      </c>
      <c r="AM97" s="36">
        <f>'10月（既存移管合算）'!AV336</f>
        <v>0</v>
      </c>
      <c r="AN97" s="36">
        <f>'10月（既存移管合算）'!AW336</f>
        <v>0</v>
      </c>
      <c r="AO97" s="36">
        <f>'10月（既存移管合算）'!AX336</f>
        <v>0</v>
      </c>
      <c r="AP97" s="36">
        <f>'10月（既存移管合算）'!AY336</f>
        <v>0</v>
      </c>
      <c r="AQ97" s="36">
        <f>'10月（既存移管合算）'!AZ336</f>
        <v>0</v>
      </c>
      <c r="AR97" s="36">
        <f>'10月（既存移管合算）'!BA336</f>
        <v>0</v>
      </c>
      <c r="AS97" s="36">
        <f>'10月（既存移管合算）'!BB336</f>
        <v>0</v>
      </c>
      <c r="AT97" s="36">
        <f>'10月（既存移管合算）'!BC336</f>
        <v>0</v>
      </c>
      <c r="AU97" s="36">
        <f>'10月（既存移管合算）'!BD336</f>
        <v>0</v>
      </c>
      <c r="AV97" s="36">
        <f>'10月（既存移管合算）'!BE336</f>
        <v>0</v>
      </c>
      <c r="AW97" s="10">
        <f t="shared" si="12"/>
        <v>0</v>
      </c>
    </row>
    <row r="98" spans="1:49" ht="22" customHeight="1">
      <c r="A98" s="26" t="s">
        <v>150</v>
      </c>
      <c r="B98" s="27" t="s">
        <v>194</v>
      </c>
      <c r="C98" s="25" t="s">
        <v>212</v>
      </c>
      <c r="D98" s="9"/>
      <c r="E98" s="31">
        <v>9000</v>
      </c>
      <c r="F98" s="31">
        <v>9000</v>
      </c>
      <c r="G98" s="31">
        <v>14000</v>
      </c>
      <c r="H98" s="31">
        <v>9000</v>
      </c>
      <c r="I98" s="31">
        <v>9000</v>
      </c>
      <c r="J98" s="31">
        <v>9000</v>
      </c>
      <c r="K98" s="28">
        <v>0.1</v>
      </c>
      <c r="L98" s="3">
        <f t="shared" si="10"/>
        <v>0</v>
      </c>
      <c r="M98" s="28">
        <v>0.61299999999999999</v>
      </c>
      <c r="N98" s="28">
        <v>0.1</v>
      </c>
      <c r="O98" s="3">
        <f t="shared" si="11"/>
        <v>0</v>
      </c>
      <c r="P98" s="3">
        <f>'10月（既存移管合算）'!Y340</f>
        <v>0</v>
      </c>
      <c r="Q98" s="3">
        <f>'10月（既存移管合算）'!Z340</f>
        <v>0</v>
      </c>
      <c r="R98" s="3">
        <f>'10月（既存移管合算）'!AA340</f>
        <v>0</v>
      </c>
      <c r="S98" s="3">
        <f>'10月（既存移管合算）'!AB340</f>
        <v>0</v>
      </c>
      <c r="T98" s="3">
        <f>'10月（既存移管合算）'!AC340</f>
        <v>0</v>
      </c>
      <c r="U98" s="3">
        <f>'10月（既存移管合算）'!AD340</f>
        <v>0</v>
      </c>
      <c r="V98" s="3">
        <f>'10月（既存移管合算）'!AE340</f>
        <v>0</v>
      </c>
      <c r="W98" s="3">
        <f>'10月（既存移管合算）'!AF340</f>
        <v>0</v>
      </c>
      <c r="X98" s="3">
        <f>'10月（既存移管合算）'!AG340</f>
        <v>0</v>
      </c>
      <c r="Y98" s="3">
        <f>'10月（既存移管合算）'!AH340</f>
        <v>0</v>
      </c>
      <c r="Z98" s="3">
        <f>'10月（既存移管合算）'!AI340</f>
        <v>0</v>
      </c>
      <c r="AA98" s="3">
        <f>'10月（既存移管合算）'!AJ340</f>
        <v>0</v>
      </c>
      <c r="AB98" s="3">
        <f>'10月（既存移管合算）'!AK340</f>
        <v>0</v>
      </c>
      <c r="AC98" s="3">
        <f>'10月（既存移管合算）'!AL340</f>
        <v>0</v>
      </c>
      <c r="AD98" s="3">
        <f>'10月（既存移管合算）'!AM340</f>
        <v>0</v>
      </c>
      <c r="AE98" s="3">
        <f>'10月（既存移管合算）'!AN340</f>
        <v>0</v>
      </c>
      <c r="AF98" s="3">
        <f>'10月（既存移管合算）'!AO340</f>
        <v>0</v>
      </c>
      <c r="AG98" s="3">
        <f>'10月（既存移管合算）'!AP340</f>
        <v>0</v>
      </c>
      <c r="AH98" s="3">
        <f>'10月（既存移管合算）'!AQ340</f>
        <v>0</v>
      </c>
      <c r="AI98" s="3">
        <f>'10月（既存移管合算）'!AR340</f>
        <v>0</v>
      </c>
      <c r="AJ98" s="3">
        <f>'10月（既存移管合算）'!AS340</f>
        <v>0</v>
      </c>
      <c r="AK98" s="3">
        <f>'10月（既存移管合算）'!AT340</f>
        <v>0</v>
      </c>
      <c r="AL98" s="3">
        <f>'10月（既存移管合算）'!AU340</f>
        <v>0</v>
      </c>
      <c r="AM98" s="3">
        <f>'10月（既存移管合算）'!AV340</f>
        <v>0</v>
      </c>
      <c r="AN98" s="3">
        <f>'10月（既存移管合算）'!AW340</f>
        <v>0</v>
      </c>
      <c r="AO98" s="3">
        <f>'10月（既存移管合算）'!AX340</f>
        <v>0</v>
      </c>
      <c r="AP98" s="3">
        <f>'10月（既存移管合算）'!AY340</f>
        <v>0</v>
      </c>
      <c r="AQ98" s="3">
        <f>'10月（既存移管合算）'!AZ340</f>
        <v>0</v>
      </c>
      <c r="AR98" s="3">
        <f>'10月（既存移管合算）'!BA340</f>
        <v>0</v>
      </c>
      <c r="AS98" s="3">
        <f>'10月（既存移管合算）'!BB340</f>
        <v>0</v>
      </c>
      <c r="AT98" s="3">
        <f>'10月（既存移管合算）'!BC340</f>
        <v>0</v>
      </c>
      <c r="AU98" s="3">
        <f>'10月（既存移管合算）'!BD340</f>
        <v>0</v>
      </c>
      <c r="AV98" s="3">
        <f>'10月（既存移管合算）'!BE340</f>
        <v>0</v>
      </c>
      <c r="AW98" s="10">
        <f t="shared" si="12"/>
        <v>0</v>
      </c>
    </row>
    <row r="99" spans="1:49" ht="22" customHeight="1">
      <c r="A99" s="34" t="s">
        <v>100</v>
      </c>
      <c r="B99" s="35" t="s">
        <v>195</v>
      </c>
      <c r="C99" s="32" t="s">
        <v>212</v>
      </c>
      <c r="D99" s="39"/>
      <c r="E99" s="43">
        <v>9000</v>
      </c>
      <c r="F99" s="43">
        <v>9000</v>
      </c>
      <c r="G99" s="43">
        <v>13000</v>
      </c>
      <c r="H99" s="43">
        <v>9000</v>
      </c>
      <c r="I99" s="43">
        <v>9000</v>
      </c>
      <c r="J99" s="43">
        <v>9000</v>
      </c>
      <c r="K99" s="38">
        <v>0.1</v>
      </c>
      <c r="L99" s="36">
        <f t="shared" si="10"/>
        <v>1</v>
      </c>
      <c r="M99" s="38">
        <v>0.57699999999999996</v>
      </c>
      <c r="N99" s="38">
        <v>0.1</v>
      </c>
      <c r="O99" s="36">
        <f t="shared" si="11"/>
        <v>1</v>
      </c>
      <c r="P99" s="36">
        <f>'10月（既存移管合算）'!Y344</f>
        <v>0</v>
      </c>
      <c r="Q99" s="36">
        <f>'10月（既存移管合算）'!Z344</f>
        <v>1</v>
      </c>
      <c r="R99" s="36">
        <f>'10月（既存移管合算）'!AA344</f>
        <v>1</v>
      </c>
      <c r="S99" s="36">
        <f>'10月（既存移管合算）'!AB344</f>
        <v>0</v>
      </c>
      <c r="T99" s="36">
        <f>'10月（既存移管合算）'!AC344</f>
        <v>0</v>
      </c>
      <c r="U99" s="36">
        <f>'10月（既存移管合算）'!AD344</f>
        <v>0</v>
      </c>
      <c r="V99" s="36">
        <f>'10月（既存移管合算）'!AE344</f>
        <v>0</v>
      </c>
      <c r="W99" s="36">
        <f>'10月（既存移管合算）'!AF344</f>
        <v>0</v>
      </c>
      <c r="X99" s="36">
        <f>'10月（既存移管合算）'!AG344</f>
        <v>1</v>
      </c>
      <c r="Y99" s="36">
        <f>'10月（既存移管合算）'!AH344</f>
        <v>1</v>
      </c>
      <c r="Z99" s="36">
        <f>'10月（既存移管合算）'!AI344</f>
        <v>0</v>
      </c>
      <c r="AA99" s="36">
        <f>'10月（既存移管合算）'!AJ344</f>
        <v>0</v>
      </c>
      <c r="AB99" s="36">
        <f>'10月（既存移管合算）'!AK344</f>
        <v>0</v>
      </c>
      <c r="AC99" s="36">
        <f>'10月（既存移管合算）'!AL344</f>
        <v>0</v>
      </c>
      <c r="AD99" s="36">
        <f>'10月（既存移管合算）'!AM344</f>
        <v>0</v>
      </c>
      <c r="AE99" s="36">
        <f>'10月（既存移管合算）'!AN344</f>
        <v>1</v>
      </c>
      <c r="AF99" s="36">
        <f>'10月（既存移管合算）'!AO344</f>
        <v>1</v>
      </c>
      <c r="AG99" s="36">
        <f>'10月（既存移管合算）'!AP344</f>
        <v>0</v>
      </c>
      <c r="AH99" s="36">
        <f>'10月（既存移管合算）'!AQ344</f>
        <v>0</v>
      </c>
      <c r="AI99" s="36">
        <f>'10月（既存移管合算）'!AR344</f>
        <v>0</v>
      </c>
      <c r="AJ99" s="36">
        <f>'10月（既存移管合算）'!AS344</f>
        <v>0</v>
      </c>
      <c r="AK99" s="36">
        <f>'10月（既存移管合算）'!AT344</f>
        <v>0</v>
      </c>
      <c r="AL99" s="36">
        <f>'10月（既存移管合算）'!AU344</f>
        <v>1</v>
      </c>
      <c r="AM99" s="36">
        <f>'10月（既存移管合算）'!AV344</f>
        <v>1</v>
      </c>
      <c r="AN99" s="36">
        <f>'10月（既存移管合算）'!AW344</f>
        <v>1</v>
      </c>
      <c r="AO99" s="36">
        <f>'10月（既存移管合算）'!AX344</f>
        <v>0</v>
      </c>
      <c r="AP99" s="36">
        <f>'10月（既存移管合算）'!AY344</f>
        <v>0</v>
      </c>
      <c r="AQ99" s="36">
        <f>'10月（既存移管合算）'!AZ344</f>
        <v>0</v>
      </c>
      <c r="AR99" s="36">
        <f>'10月（既存移管合算）'!BA344</f>
        <v>0</v>
      </c>
      <c r="AS99" s="36">
        <f>'10月（既存移管合算）'!BB344</f>
        <v>1</v>
      </c>
      <c r="AT99" s="36">
        <f>'10月（既存移管合算）'!BC344</f>
        <v>1</v>
      </c>
      <c r="AU99" s="36">
        <f>'10月（既存移管合算）'!BD344</f>
        <v>0</v>
      </c>
      <c r="AV99" s="36">
        <f>'10月（既存移管合算）'!BE344</f>
        <v>0</v>
      </c>
      <c r="AW99" s="10">
        <f t="shared" si="12"/>
        <v>11</v>
      </c>
    </row>
    <row r="100" spans="1:49" ht="22" customHeight="1">
      <c r="A100" s="26" t="s">
        <v>58</v>
      </c>
      <c r="B100" s="27" t="s">
        <v>196</v>
      </c>
      <c r="C100" s="25" t="s">
        <v>212</v>
      </c>
      <c r="D100" s="9"/>
      <c r="E100" s="31">
        <v>9000</v>
      </c>
      <c r="F100" s="31">
        <v>9000</v>
      </c>
      <c r="G100" s="31">
        <v>14000</v>
      </c>
      <c r="H100" s="31">
        <v>9000</v>
      </c>
      <c r="I100" s="31">
        <v>9000</v>
      </c>
      <c r="J100" s="31">
        <v>9000</v>
      </c>
      <c r="K100" s="28">
        <v>3.0303030303030299E-3</v>
      </c>
      <c r="L100" s="3">
        <f t="shared" si="10"/>
        <v>0</v>
      </c>
      <c r="M100" s="28">
        <v>0.108</v>
      </c>
      <c r="N100" s="28">
        <v>3.0303030303030299E-3</v>
      </c>
      <c r="O100" s="3">
        <f t="shared" si="11"/>
        <v>0</v>
      </c>
      <c r="P100" s="3">
        <f>'10月（既存移管合算）'!Y348</f>
        <v>0</v>
      </c>
      <c r="Q100" s="3">
        <f>'10月（既存移管合算）'!Z348</f>
        <v>1</v>
      </c>
      <c r="R100" s="3">
        <f>'10月（既存移管合算）'!AA348</f>
        <v>1</v>
      </c>
      <c r="S100" s="3">
        <f>'10月（既存移管合算）'!AB348</f>
        <v>0</v>
      </c>
      <c r="T100" s="3">
        <f>'10月（既存移管合算）'!AC348</f>
        <v>0</v>
      </c>
      <c r="U100" s="3">
        <f>'10月（既存移管合算）'!AD348</f>
        <v>0</v>
      </c>
      <c r="V100" s="3">
        <f>'10月（既存移管合算）'!AE348</f>
        <v>0</v>
      </c>
      <c r="W100" s="3">
        <f>'10月（既存移管合算）'!AF348</f>
        <v>0</v>
      </c>
      <c r="X100" s="3">
        <f>'10月（既存移管合算）'!AG348</f>
        <v>1</v>
      </c>
      <c r="Y100" s="3">
        <f>'10月（既存移管合算）'!AH348</f>
        <v>1</v>
      </c>
      <c r="Z100" s="3">
        <f>'10月（既存移管合算）'!AI348</f>
        <v>0</v>
      </c>
      <c r="AA100" s="3">
        <f>'10月（既存移管合算）'!AJ348</f>
        <v>0</v>
      </c>
      <c r="AB100" s="3">
        <f>'10月（既存移管合算）'!AK348</f>
        <v>0</v>
      </c>
      <c r="AC100" s="3">
        <f>'10月（既存移管合算）'!AL348</f>
        <v>0</v>
      </c>
      <c r="AD100" s="3">
        <f>'10月（既存移管合算）'!AM348</f>
        <v>0</v>
      </c>
      <c r="AE100" s="3">
        <f>'10月（既存移管合算）'!AN348</f>
        <v>1</v>
      </c>
      <c r="AF100" s="3">
        <f>'10月（既存移管合算）'!AO348</f>
        <v>1</v>
      </c>
      <c r="AG100" s="3">
        <f>'10月（既存移管合算）'!AP348</f>
        <v>0</v>
      </c>
      <c r="AH100" s="3">
        <f>'10月（既存移管合算）'!AQ348</f>
        <v>0</v>
      </c>
      <c r="AI100" s="3">
        <f>'10月（既存移管合算）'!AR348</f>
        <v>0</v>
      </c>
      <c r="AJ100" s="3">
        <f>'10月（既存移管合算）'!AS348</f>
        <v>0</v>
      </c>
      <c r="AK100" s="3">
        <f>'10月（既存移管合算）'!AT348</f>
        <v>0</v>
      </c>
      <c r="AL100" s="3">
        <f>'10月（既存移管合算）'!AU348</f>
        <v>1</v>
      </c>
      <c r="AM100" s="3">
        <f>'10月（既存移管合算）'!AV348</f>
        <v>1</v>
      </c>
      <c r="AN100" s="3">
        <f>'10月（既存移管合算）'!AW348</f>
        <v>1</v>
      </c>
      <c r="AO100" s="3">
        <f>'10月（既存移管合算）'!AX348</f>
        <v>0</v>
      </c>
      <c r="AP100" s="3">
        <f>'10月（既存移管合算）'!AY348</f>
        <v>0</v>
      </c>
      <c r="AQ100" s="3">
        <f>'10月（既存移管合算）'!AZ348</f>
        <v>0</v>
      </c>
      <c r="AR100" s="3">
        <f>'10月（既存移管合算）'!BA348</f>
        <v>0</v>
      </c>
      <c r="AS100" s="3">
        <f>'10月（既存移管合算）'!BB348</f>
        <v>1</v>
      </c>
      <c r="AT100" s="3">
        <f>'10月（既存移管合算）'!BC348</f>
        <v>1</v>
      </c>
      <c r="AU100" s="3">
        <f>'10月（既存移管合算）'!BD348</f>
        <v>0</v>
      </c>
      <c r="AV100" s="3">
        <f>'10月（既存移管合算）'!BE348</f>
        <v>0</v>
      </c>
      <c r="AW100" s="10">
        <f t="shared" si="12"/>
        <v>11</v>
      </c>
    </row>
    <row r="101" spans="1:49" ht="22" customHeight="1">
      <c r="A101" s="34" t="s">
        <v>48</v>
      </c>
      <c r="B101" s="35" t="s">
        <v>197</v>
      </c>
      <c r="C101" s="32" t="s">
        <v>212</v>
      </c>
      <c r="D101" s="39"/>
      <c r="E101" s="43">
        <v>9000</v>
      </c>
      <c r="F101" s="43">
        <v>9000</v>
      </c>
      <c r="G101" s="43">
        <v>19000</v>
      </c>
      <c r="H101" s="43">
        <v>9000</v>
      </c>
      <c r="I101" s="43">
        <v>9000</v>
      </c>
      <c r="J101" s="43">
        <v>9000</v>
      </c>
      <c r="K101" s="38">
        <v>0.1</v>
      </c>
      <c r="L101" s="36">
        <f t="shared" si="10"/>
        <v>1</v>
      </c>
      <c r="M101" s="38">
        <v>0.47199999999999998</v>
      </c>
      <c r="N101" s="38">
        <v>0.1</v>
      </c>
      <c r="O101" s="36">
        <f t="shared" si="11"/>
        <v>1</v>
      </c>
      <c r="P101" s="36">
        <f>'10月（既存移管合算）'!Y352</f>
        <v>0</v>
      </c>
      <c r="Q101" s="36">
        <f>'10月（既存移管合算）'!Z352</f>
        <v>0</v>
      </c>
      <c r="R101" s="36">
        <f>'10月（既存移管合算）'!AA352</f>
        <v>2</v>
      </c>
      <c r="S101" s="36">
        <f>'10月（既存移管合算）'!AB352</f>
        <v>0</v>
      </c>
      <c r="T101" s="36">
        <f>'10月（既存移管合算）'!AC352</f>
        <v>0</v>
      </c>
      <c r="U101" s="36">
        <f>'10月（既存移管合算）'!AD352</f>
        <v>0</v>
      </c>
      <c r="V101" s="36">
        <f>'10月（既存移管合算）'!AE352</f>
        <v>0</v>
      </c>
      <c r="W101" s="36">
        <f>'10月（既存移管合算）'!AF352</f>
        <v>0</v>
      </c>
      <c r="X101" s="36">
        <f>'10月（既存移管合算）'!AG352</f>
        <v>0</v>
      </c>
      <c r="Y101" s="36">
        <f>'10月（既存移管合算）'!AH352</f>
        <v>2</v>
      </c>
      <c r="Z101" s="36">
        <f>'10月（既存移管合算）'!AI352</f>
        <v>0</v>
      </c>
      <c r="AA101" s="36">
        <f>'10月（既存移管合算）'!AJ352</f>
        <v>0</v>
      </c>
      <c r="AB101" s="36">
        <f>'10月（既存移管合算）'!AK352</f>
        <v>0</v>
      </c>
      <c r="AC101" s="36">
        <f>'10月（既存移管合算）'!AL352</f>
        <v>0</v>
      </c>
      <c r="AD101" s="36">
        <f>'10月（既存移管合算）'!AM352</f>
        <v>0</v>
      </c>
      <c r="AE101" s="36">
        <f>'10月（既存移管合算）'!AN352</f>
        <v>0</v>
      </c>
      <c r="AF101" s="36">
        <f>'10月（既存移管合算）'!AO352</f>
        <v>1</v>
      </c>
      <c r="AG101" s="36">
        <f>'10月（既存移管合算）'!AP352</f>
        <v>0</v>
      </c>
      <c r="AH101" s="36">
        <f>'10月（既存移管合算）'!AQ352</f>
        <v>0</v>
      </c>
      <c r="AI101" s="36">
        <f>'10月（既存移管合算）'!AR352</f>
        <v>0</v>
      </c>
      <c r="AJ101" s="36">
        <f>'10月（既存移管合算）'!AS352</f>
        <v>0</v>
      </c>
      <c r="AK101" s="36">
        <f>'10月（既存移管合算）'!AT352</f>
        <v>0</v>
      </c>
      <c r="AL101" s="36">
        <f>'10月（既存移管合算）'!AU352</f>
        <v>0</v>
      </c>
      <c r="AM101" s="36">
        <f>'10月（既存移管合算）'!AV352</f>
        <v>1</v>
      </c>
      <c r="AN101" s="36">
        <f>'10月（既存移管合算）'!AW352</f>
        <v>1</v>
      </c>
      <c r="AO101" s="36">
        <f>'10月（既存移管合算）'!AX352</f>
        <v>0</v>
      </c>
      <c r="AP101" s="36">
        <f>'10月（既存移管合算）'!AY352</f>
        <v>0</v>
      </c>
      <c r="AQ101" s="36">
        <f>'10月（既存移管合算）'!AZ352</f>
        <v>0</v>
      </c>
      <c r="AR101" s="36">
        <f>'10月（既存移管合算）'!BA352</f>
        <v>0</v>
      </c>
      <c r="AS101" s="36">
        <f>'10月（既存移管合算）'!BB352</f>
        <v>1</v>
      </c>
      <c r="AT101" s="36">
        <f>'10月（既存移管合算）'!BC352</f>
        <v>1</v>
      </c>
      <c r="AU101" s="36">
        <f>'10月（既存移管合算）'!BD352</f>
        <v>0</v>
      </c>
      <c r="AV101" s="36">
        <f>'10月（既存移管合算）'!BE352</f>
        <v>0</v>
      </c>
      <c r="AW101" s="10">
        <f t="shared" si="12"/>
        <v>9</v>
      </c>
    </row>
    <row r="102" spans="1:49" ht="22" customHeight="1">
      <c r="A102" s="26" t="s">
        <v>102</v>
      </c>
      <c r="B102" s="27" t="s">
        <v>198</v>
      </c>
      <c r="C102" s="25"/>
      <c r="D102" s="9"/>
      <c r="E102" s="31">
        <v>9000</v>
      </c>
      <c r="F102" s="31">
        <v>9000</v>
      </c>
      <c r="G102" s="31">
        <v>13000</v>
      </c>
      <c r="H102" s="31">
        <v>9000</v>
      </c>
      <c r="I102" s="31">
        <v>9000</v>
      </c>
      <c r="J102" s="31">
        <v>9000</v>
      </c>
      <c r="K102" s="28">
        <v>0.1</v>
      </c>
      <c r="L102" s="3">
        <f t="shared" si="10"/>
        <v>1</v>
      </c>
      <c r="M102" s="28">
        <v>0.22500000000000001</v>
      </c>
      <c r="N102" s="28">
        <v>0.1</v>
      </c>
      <c r="O102" s="3">
        <f t="shared" si="11"/>
        <v>1</v>
      </c>
      <c r="P102" s="3">
        <f>'10月（既存移管合算）'!Y356</f>
        <v>0</v>
      </c>
      <c r="Q102" s="3">
        <f>'10月（既存移管合算）'!Z356</f>
        <v>1</v>
      </c>
      <c r="R102" s="3">
        <f>'10月（既存移管合算）'!AA356</f>
        <v>1</v>
      </c>
      <c r="S102" s="3">
        <f>'10月（既存移管合算）'!AB356</f>
        <v>0</v>
      </c>
      <c r="T102" s="3">
        <f>'10月（既存移管合算）'!AC356</f>
        <v>0</v>
      </c>
      <c r="U102" s="3">
        <f>'10月（既存移管合算）'!AD356</f>
        <v>0</v>
      </c>
      <c r="V102" s="3">
        <f>'10月（既存移管合算）'!AE356</f>
        <v>0</v>
      </c>
      <c r="W102" s="3">
        <f>'10月（既存移管合算）'!AF356</f>
        <v>0</v>
      </c>
      <c r="X102" s="3">
        <f>'10月（既存移管合算）'!AG356</f>
        <v>1</v>
      </c>
      <c r="Y102" s="3">
        <f>'10月（既存移管合算）'!AH356</f>
        <v>1</v>
      </c>
      <c r="Z102" s="3">
        <f>'10月（既存移管合算）'!AI356</f>
        <v>0</v>
      </c>
      <c r="AA102" s="3">
        <f>'10月（既存移管合算）'!AJ356</f>
        <v>0</v>
      </c>
      <c r="AB102" s="3">
        <f>'10月（既存移管合算）'!AK356</f>
        <v>0</v>
      </c>
      <c r="AC102" s="3">
        <f>'10月（既存移管合算）'!AL356</f>
        <v>0</v>
      </c>
      <c r="AD102" s="3">
        <f>'10月（既存移管合算）'!AM356</f>
        <v>0</v>
      </c>
      <c r="AE102" s="3">
        <f>'10月（既存移管合算）'!AN356</f>
        <v>1</v>
      </c>
      <c r="AF102" s="3">
        <f>'10月（既存移管合算）'!AO356</f>
        <v>1</v>
      </c>
      <c r="AG102" s="3">
        <f>'10月（既存移管合算）'!AP356</f>
        <v>0</v>
      </c>
      <c r="AH102" s="3">
        <f>'10月（既存移管合算）'!AQ356</f>
        <v>0</v>
      </c>
      <c r="AI102" s="3">
        <f>'10月（既存移管合算）'!AR356</f>
        <v>0</v>
      </c>
      <c r="AJ102" s="3">
        <f>'10月（既存移管合算）'!AS356</f>
        <v>0</v>
      </c>
      <c r="AK102" s="3">
        <f>'10月（既存移管合算）'!AT356</f>
        <v>0</v>
      </c>
      <c r="AL102" s="3">
        <f>'10月（既存移管合算）'!AU356</f>
        <v>1</v>
      </c>
      <c r="AM102" s="3">
        <f>'10月（既存移管合算）'!AV356</f>
        <v>1</v>
      </c>
      <c r="AN102" s="3">
        <f>'10月（既存移管合算）'!AW356</f>
        <v>1</v>
      </c>
      <c r="AO102" s="3">
        <f>'10月（既存移管合算）'!AX356</f>
        <v>0</v>
      </c>
      <c r="AP102" s="3">
        <f>'10月（既存移管合算）'!AY356</f>
        <v>0</v>
      </c>
      <c r="AQ102" s="3">
        <f>'10月（既存移管合算）'!AZ356</f>
        <v>0</v>
      </c>
      <c r="AR102" s="3">
        <f>'10月（既存移管合算）'!BA356</f>
        <v>0</v>
      </c>
      <c r="AS102" s="3">
        <f>'10月（既存移管合算）'!BB356</f>
        <v>1</v>
      </c>
      <c r="AT102" s="3">
        <f>'10月（既存移管合算）'!BC356</f>
        <v>1</v>
      </c>
      <c r="AU102" s="3">
        <f>'10月（既存移管合算）'!BD356</f>
        <v>0</v>
      </c>
      <c r="AV102" s="3">
        <f>'10月（既存移管合算）'!BE356</f>
        <v>0</v>
      </c>
      <c r="AW102" s="10">
        <f t="shared" si="12"/>
        <v>11</v>
      </c>
    </row>
    <row r="103" spans="1:49" ht="22" customHeight="1">
      <c r="A103" s="34" t="s">
        <v>50</v>
      </c>
      <c r="B103" s="35" t="s">
        <v>199</v>
      </c>
      <c r="C103" s="32" t="s">
        <v>212</v>
      </c>
      <c r="D103" s="39"/>
      <c r="E103" s="43">
        <v>9000</v>
      </c>
      <c r="F103" s="43">
        <v>9000</v>
      </c>
      <c r="G103" s="43">
        <v>12000</v>
      </c>
      <c r="H103" s="43">
        <v>9000</v>
      </c>
      <c r="I103" s="43">
        <v>9000</v>
      </c>
      <c r="J103" s="43">
        <v>9000</v>
      </c>
      <c r="K103" s="38">
        <v>0.1</v>
      </c>
      <c r="L103" s="36">
        <f t="shared" si="10"/>
        <v>0</v>
      </c>
      <c r="M103" s="38">
        <v>0.58799999999999997</v>
      </c>
      <c r="N103" s="38">
        <v>0.1</v>
      </c>
      <c r="O103" s="36">
        <f t="shared" si="11"/>
        <v>0</v>
      </c>
      <c r="P103" s="36">
        <f>'10月（既存移管合算）'!Y359</f>
        <v>0</v>
      </c>
      <c r="Q103" s="36">
        <f>'10月（既存移管合算）'!Z359</f>
        <v>0</v>
      </c>
      <c r="R103" s="36">
        <f>'10月（既存移管合算）'!AA359</f>
        <v>0</v>
      </c>
      <c r="S103" s="36">
        <f>'10月（既存移管合算）'!AB359</f>
        <v>0</v>
      </c>
      <c r="T103" s="36">
        <f>'10月（既存移管合算）'!AC359</f>
        <v>0</v>
      </c>
      <c r="U103" s="36">
        <f>'10月（既存移管合算）'!AD359</f>
        <v>0</v>
      </c>
      <c r="V103" s="36">
        <f>'10月（既存移管合算）'!AE359</f>
        <v>0</v>
      </c>
      <c r="W103" s="36">
        <f>'10月（既存移管合算）'!AF359</f>
        <v>0</v>
      </c>
      <c r="X103" s="36">
        <f>'10月（既存移管合算）'!AG359</f>
        <v>0</v>
      </c>
      <c r="Y103" s="36">
        <f>'10月（既存移管合算）'!AH359</f>
        <v>0</v>
      </c>
      <c r="Z103" s="36">
        <f>'10月（既存移管合算）'!AI359</f>
        <v>0</v>
      </c>
      <c r="AA103" s="36">
        <f>'10月（既存移管合算）'!AJ359</f>
        <v>0</v>
      </c>
      <c r="AB103" s="36">
        <f>'10月（既存移管合算）'!AK359</f>
        <v>0</v>
      </c>
      <c r="AC103" s="36">
        <f>'10月（既存移管合算）'!AL359</f>
        <v>0</v>
      </c>
      <c r="AD103" s="36">
        <f>'10月（既存移管合算）'!AM359</f>
        <v>0</v>
      </c>
      <c r="AE103" s="36">
        <f>'10月（既存移管合算）'!AN359</f>
        <v>0</v>
      </c>
      <c r="AF103" s="36">
        <f>'10月（既存移管合算）'!AO359</f>
        <v>1</v>
      </c>
      <c r="AG103" s="36">
        <f>'10月（既存移管合算）'!AP359</f>
        <v>0</v>
      </c>
      <c r="AH103" s="36">
        <f>'10月（既存移管合算）'!AQ359</f>
        <v>0</v>
      </c>
      <c r="AI103" s="36">
        <f>'10月（既存移管合算）'!AR359</f>
        <v>0</v>
      </c>
      <c r="AJ103" s="36">
        <f>'10月（既存移管合算）'!AS359</f>
        <v>0</v>
      </c>
      <c r="AK103" s="36">
        <f>'10月（既存移管合算）'!AT359</f>
        <v>0</v>
      </c>
      <c r="AL103" s="36">
        <f>'10月（既存移管合算）'!AU359</f>
        <v>0</v>
      </c>
      <c r="AM103" s="36">
        <f>'10月（既存移管合算）'!AV359</f>
        <v>0</v>
      </c>
      <c r="AN103" s="36">
        <f>'10月（既存移管合算）'!AW359</f>
        <v>1</v>
      </c>
      <c r="AO103" s="36">
        <f>'10月（既存移管合算）'!AX359</f>
        <v>0</v>
      </c>
      <c r="AP103" s="36">
        <f>'10月（既存移管合算）'!AY359</f>
        <v>0</v>
      </c>
      <c r="AQ103" s="36">
        <f>'10月（既存移管合算）'!AZ359</f>
        <v>0</v>
      </c>
      <c r="AR103" s="36">
        <f>'10月（既存移管合算）'!BA359</f>
        <v>0</v>
      </c>
      <c r="AS103" s="36">
        <f>'10月（既存移管合算）'!BB359</f>
        <v>0</v>
      </c>
      <c r="AT103" s="36">
        <f>'10月（既存移管合算）'!BC359</f>
        <v>1</v>
      </c>
      <c r="AU103" s="36">
        <f>'10月（既存移管合算）'!BD359</f>
        <v>0</v>
      </c>
      <c r="AV103" s="36">
        <f>'10月（既存移管合算）'!BE359</f>
        <v>0</v>
      </c>
      <c r="AW103" s="10">
        <f t="shared" si="12"/>
        <v>3</v>
      </c>
    </row>
    <row r="104" spans="1:49" ht="22" customHeight="1">
      <c r="A104" s="26"/>
      <c r="B104" s="27" t="s">
        <v>202</v>
      </c>
      <c r="C104" s="25" t="s">
        <v>212</v>
      </c>
      <c r="D104" s="9"/>
      <c r="E104" s="31">
        <v>0</v>
      </c>
      <c r="F104" s="31">
        <v>0</v>
      </c>
      <c r="G104" s="31">
        <v>0</v>
      </c>
      <c r="H104" s="31">
        <v>0</v>
      </c>
      <c r="I104" s="31">
        <v>0</v>
      </c>
      <c r="J104" s="31">
        <v>0</v>
      </c>
      <c r="K104" s="47">
        <v>0.5</v>
      </c>
      <c r="L104" s="3">
        <f t="shared" ref="L104:L105" si="13">ROUND(AW104*K104,0)</f>
        <v>66</v>
      </c>
      <c r="M104" s="47">
        <v>0.5</v>
      </c>
      <c r="N104" s="47">
        <v>0.5</v>
      </c>
      <c r="O104" s="3">
        <f t="shared" ref="O104:O105" si="14">ROUND(AW104*N104,0)</f>
        <v>66</v>
      </c>
      <c r="P104" s="3">
        <f>'10月（既存移管合算）'!Y370</f>
        <v>4</v>
      </c>
      <c r="Q104" s="3">
        <f>'10月（既存移管合算）'!Z370</f>
        <v>4</v>
      </c>
      <c r="R104" s="3">
        <f>'10月（既存移管合算）'!AA370</f>
        <v>4</v>
      </c>
      <c r="S104" s="3">
        <f>'10月（既存移管合算）'!AB370</f>
        <v>4</v>
      </c>
      <c r="T104" s="3">
        <f>'10月（既存移管合算）'!AC370</f>
        <v>4</v>
      </c>
      <c r="U104" s="3">
        <f>'10月（既存移管合算）'!AD370</f>
        <v>4</v>
      </c>
      <c r="V104" s="3">
        <f>'10月（既存移管合算）'!AE370</f>
        <v>4</v>
      </c>
      <c r="W104" s="3">
        <f>'10月（既存移管合算）'!AF370</f>
        <v>4</v>
      </c>
      <c r="X104" s="3">
        <f>'10月（既存移管合算）'!AG370</f>
        <v>4</v>
      </c>
      <c r="Y104" s="3">
        <f>'10月（既存移管合算）'!AH370</f>
        <v>4</v>
      </c>
      <c r="Z104" s="3">
        <f>'10月（既存移管合算）'!AI370</f>
        <v>4</v>
      </c>
      <c r="AA104" s="3">
        <f>'10月（既存移管合算）'!AJ370</f>
        <v>4</v>
      </c>
      <c r="AB104" s="3">
        <f>'10月（既存移管合算）'!AK370</f>
        <v>4</v>
      </c>
      <c r="AC104" s="3">
        <f>'10月（既存移管合算）'!AL370</f>
        <v>4</v>
      </c>
      <c r="AD104" s="3">
        <f>'10月（既存移管合算）'!AM370</f>
        <v>4</v>
      </c>
      <c r="AE104" s="3">
        <f>'10月（既存移管合算）'!AN370</f>
        <v>4</v>
      </c>
      <c r="AF104" s="3">
        <f>'10月（既存移管合算）'!AO370</f>
        <v>4</v>
      </c>
      <c r="AG104" s="3">
        <f>'10月（既存移管合算）'!AP370</f>
        <v>4</v>
      </c>
      <c r="AH104" s="3">
        <f>'10月（既存移管合算）'!AQ370</f>
        <v>4</v>
      </c>
      <c r="AI104" s="3">
        <f>'10月（既存移管合算）'!AR370</f>
        <v>4</v>
      </c>
      <c r="AJ104" s="3">
        <f>'10月（既存移管合算）'!AS370</f>
        <v>4</v>
      </c>
      <c r="AK104" s="3">
        <f>'10月（既存移管合算）'!AT370</f>
        <v>4</v>
      </c>
      <c r="AL104" s="3">
        <f>'10月（既存移管合算）'!AU370</f>
        <v>4</v>
      </c>
      <c r="AM104" s="3">
        <f>'10月（既存移管合算）'!AV370</f>
        <v>4</v>
      </c>
      <c r="AN104" s="3">
        <f>'10月（既存移管合算）'!AW370</f>
        <v>4</v>
      </c>
      <c r="AO104" s="3">
        <f>'10月（既存移管合算）'!AX370</f>
        <v>4</v>
      </c>
      <c r="AP104" s="3">
        <f>'10月（既存移管合算）'!AY370</f>
        <v>4</v>
      </c>
      <c r="AQ104" s="3">
        <f>'10月（既存移管合算）'!AZ370</f>
        <v>4</v>
      </c>
      <c r="AR104" s="3">
        <f>'10月（既存移管合算）'!BA370</f>
        <v>4</v>
      </c>
      <c r="AS104" s="3">
        <f>'10月（既存移管合算）'!BB370</f>
        <v>4</v>
      </c>
      <c r="AT104" s="3">
        <f>'10月（既存移管合算）'!BC370</f>
        <v>4</v>
      </c>
      <c r="AU104" s="3">
        <f>'10月（既存移管合算）'!BD370</f>
        <v>4</v>
      </c>
      <c r="AV104" s="3">
        <f>'10月（既存移管合算）'!BE370</f>
        <v>4</v>
      </c>
      <c r="AW104" s="10">
        <f t="shared" ref="AW104:AW105" si="15">SUM(P104:AV104)</f>
        <v>132</v>
      </c>
    </row>
    <row r="105" spans="1:49" ht="22" customHeight="1">
      <c r="A105" s="34"/>
      <c r="B105" s="35" t="s">
        <v>203</v>
      </c>
      <c r="C105" s="32"/>
      <c r="D105" s="39"/>
      <c r="E105" s="43">
        <v>0</v>
      </c>
      <c r="F105" s="43">
        <v>0</v>
      </c>
      <c r="G105" s="43">
        <v>0</v>
      </c>
      <c r="H105" s="43">
        <v>0</v>
      </c>
      <c r="I105" s="43">
        <v>0</v>
      </c>
      <c r="J105" s="43">
        <v>0</v>
      </c>
      <c r="K105" s="48">
        <v>0.3</v>
      </c>
      <c r="L105" s="36">
        <f t="shared" si="13"/>
        <v>446</v>
      </c>
      <c r="M105" s="48">
        <v>0.3</v>
      </c>
      <c r="N105" s="48">
        <v>0.3</v>
      </c>
      <c r="O105" s="36">
        <f t="shared" si="14"/>
        <v>446</v>
      </c>
      <c r="P105" s="36">
        <f>'10月（既存移管合算）'!Y373</f>
        <v>55</v>
      </c>
      <c r="Q105" s="36">
        <f>'10月（既存移管合算）'!Z373</f>
        <v>55</v>
      </c>
      <c r="R105" s="36">
        <f>'10月（既存移管合算）'!AA373</f>
        <v>55</v>
      </c>
      <c r="S105" s="36">
        <f>'10月（既存移管合算）'!AB373</f>
        <v>55</v>
      </c>
      <c r="T105" s="36">
        <f>'10月（既存移管合算）'!AC373</f>
        <v>55</v>
      </c>
      <c r="U105" s="36">
        <f>'10月（既存移管合算）'!AD373</f>
        <v>55</v>
      </c>
      <c r="V105" s="36">
        <f>'10月（既存移管合算）'!AE373</f>
        <v>55</v>
      </c>
      <c r="W105" s="36">
        <f>'10月（既存移管合算）'!AF373</f>
        <v>55</v>
      </c>
      <c r="X105" s="36">
        <f>'10月（既存移管合算）'!AG373</f>
        <v>55</v>
      </c>
      <c r="Y105" s="36">
        <f>'10月（既存移管合算）'!AH373</f>
        <v>55</v>
      </c>
      <c r="Z105" s="36">
        <f>'10月（既存移管合算）'!AI373</f>
        <v>55</v>
      </c>
      <c r="AA105" s="36">
        <f>'10月（既存移管合算）'!AJ373</f>
        <v>40</v>
      </c>
      <c r="AB105" s="36">
        <f>'10月（既存移管合算）'!AK373</f>
        <v>40</v>
      </c>
      <c r="AC105" s="36">
        <f>'10月（既存移管合算）'!AL373</f>
        <v>40</v>
      </c>
      <c r="AD105" s="36">
        <f>'10月（既存移管合算）'!AM373</f>
        <v>40</v>
      </c>
      <c r="AE105" s="36">
        <f>'10月（既存移管合算）'!AN373</f>
        <v>40</v>
      </c>
      <c r="AF105" s="36">
        <f>'10月（既存移管合算）'!AO373</f>
        <v>40</v>
      </c>
      <c r="AG105" s="36">
        <f>'10月（既存移管合算）'!AP373</f>
        <v>40</v>
      </c>
      <c r="AH105" s="36">
        <f>'10月（既存移管合算）'!AQ373</f>
        <v>40</v>
      </c>
      <c r="AI105" s="36">
        <f>'10月（既存移管合算）'!AR373</f>
        <v>40</v>
      </c>
      <c r="AJ105" s="36">
        <f>'10月（既存移管合算）'!AS373</f>
        <v>40</v>
      </c>
      <c r="AK105" s="36">
        <f>'10月（既存移管合算）'!AT373</f>
        <v>40</v>
      </c>
      <c r="AL105" s="36">
        <f>'10月（既存移管合算）'!AU373</f>
        <v>40</v>
      </c>
      <c r="AM105" s="36">
        <f>'10月（既存移管合算）'!AV373</f>
        <v>40</v>
      </c>
      <c r="AN105" s="36">
        <f>'10月（既存移管合算）'!AW373</f>
        <v>40</v>
      </c>
      <c r="AO105" s="36">
        <f>'10月（既存移管合算）'!AX373</f>
        <v>40</v>
      </c>
      <c r="AP105" s="36">
        <f>'10月（既存移管合算）'!AY373</f>
        <v>40</v>
      </c>
      <c r="AQ105" s="36">
        <f>'10月（既存移管合算）'!AZ373</f>
        <v>40</v>
      </c>
      <c r="AR105" s="36">
        <f>'10月（既存移管合算）'!BA373</f>
        <v>40</v>
      </c>
      <c r="AS105" s="36">
        <f>'10月（既存移管合算）'!BB373</f>
        <v>40</v>
      </c>
      <c r="AT105" s="36">
        <f>'10月（既存移管合算）'!BC373</f>
        <v>40</v>
      </c>
      <c r="AU105" s="36">
        <f>'10月（既存移管合算）'!BD373</f>
        <v>40</v>
      </c>
      <c r="AV105" s="36">
        <f>'10月（既存移管合算）'!BE373</f>
        <v>40</v>
      </c>
      <c r="AW105" s="10">
        <f t="shared" si="15"/>
        <v>1485</v>
      </c>
    </row>
    <row r="106" spans="1:49" ht="22" customHeight="1"/>
    <row r="107" spans="1:49" ht="22" customHeight="1"/>
    <row r="108" spans="1:49" ht="22" customHeight="1"/>
    <row r="109" spans="1:49" ht="22" customHeight="1"/>
    <row r="110" spans="1:49" ht="22" customHeight="1"/>
    <row r="111" spans="1:49" ht="22" customHeight="1"/>
    <row r="112" spans="1:49"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sheetData>
  <phoneticPr fontId="7"/>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999"/>
  <sheetViews>
    <sheetView showGridLines="0" zoomScale="55" zoomScaleNormal="55" workbookViewId="0">
      <pane xSplit="14" ySplit="5" topLeftCell="O6" activePane="bottomRight" state="frozen"/>
      <selection pane="topRight"/>
      <selection pane="bottomLeft"/>
      <selection pane="bottomRight" activeCell="F7" sqref="F7"/>
    </sheetView>
  </sheetViews>
  <sheetFormatPr defaultRowHeight="14.5"/>
  <cols>
    <col min="1" max="1" width="14" customWidth="1"/>
    <col min="2" max="2" width="34" customWidth="1"/>
    <col min="3" max="14" width="11" customWidth="1"/>
    <col min="15" max="48" width="10" customWidth="1"/>
  </cols>
  <sheetData>
    <row r="1" spans="1:48" ht="22" customHeight="1"/>
    <row r="2" spans="1:48" ht="22" customHeight="1">
      <c r="N2" s="44" t="s">
        <v>204</v>
      </c>
      <c r="O2" s="45">
        <f t="shared" ref="O2:AV2" si="0">SUM(O6:O103)</f>
        <v>623</v>
      </c>
      <c r="P2" s="45">
        <f t="shared" si="0"/>
        <v>1103</v>
      </c>
      <c r="Q2" s="45">
        <f t="shared" si="0"/>
        <v>1116</v>
      </c>
      <c r="R2" s="45">
        <f t="shared" si="0"/>
        <v>830</v>
      </c>
      <c r="S2" s="45">
        <f t="shared" si="0"/>
        <v>811</v>
      </c>
      <c r="T2" s="45">
        <f t="shared" si="0"/>
        <v>809</v>
      </c>
      <c r="U2" s="45">
        <f t="shared" si="0"/>
        <v>777</v>
      </c>
      <c r="V2" s="45">
        <f t="shared" si="0"/>
        <v>682</v>
      </c>
      <c r="W2" s="45">
        <f t="shared" si="0"/>
        <v>1217</v>
      </c>
      <c r="X2" s="45">
        <f t="shared" si="0"/>
        <v>1763</v>
      </c>
      <c r="Y2" s="45">
        <f t="shared" si="0"/>
        <v>728</v>
      </c>
      <c r="Z2" s="45">
        <f t="shared" si="0"/>
        <v>151</v>
      </c>
      <c r="AA2" s="45">
        <f t="shared" si="0"/>
        <v>151</v>
      </c>
      <c r="AB2" s="45">
        <f t="shared" si="0"/>
        <v>151</v>
      </c>
      <c r="AC2" s="45">
        <f t="shared" si="0"/>
        <v>149</v>
      </c>
      <c r="AD2" s="45">
        <f t="shared" si="0"/>
        <v>198</v>
      </c>
      <c r="AE2" s="45">
        <f t="shared" si="0"/>
        <v>241</v>
      </c>
      <c r="AF2" s="45">
        <f t="shared" si="0"/>
        <v>156</v>
      </c>
      <c r="AG2" s="45">
        <f t="shared" si="0"/>
        <v>159</v>
      </c>
      <c r="AH2" s="45">
        <f t="shared" si="0"/>
        <v>158</v>
      </c>
      <c r="AI2" s="45">
        <f t="shared" si="0"/>
        <v>157</v>
      </c>
      <c r="AJ2" s="45">
        <f t="shared" si="0"/>
        <v>155</v>
      </c>
      <c r="AK2" s="45">
        <f t="shared" si="0"/>
        <v>198</v>
      </c>
      <c r="AL2" s="45">
        <f t="shared" si="0"/>
        <v>212</v>
      </c>
      <c r="AM2" s="45">
        <f t="shared" si="0"/>
        <v>224</v>
      </c>
      <c r="AN2" s="45">
        <f t="shared" si="0"/>
        <v>158</v>
      </c>
      <c r="AO2" s="45">
        <f t="shared" si="0"/>
        <v>157</v>
      </c>
      <c r="AP2" s="45">
        <f t="shared" si="0"/>
        <v>157</v>
      </c>
      <c r="AQ2" s="45">
        <f t="shared" ref="AQ2:AU2" si="1">SUM(AQ6:AQ103)</f>
        <v>154</v>
      </c>
      <c r="AR2" s="45">
        <f t="shared" si="1"/>
        <v>202</v>
      </c>
      <c r="AS2" s="45">
        <f>SUM(AS6:AS103)</f>
        <v>237</v>
      </c>
      <c r="AT2" s="45">
        <f t="shared" si="1"/>
        <v>156</v>
      </c>
      <c r="AU2" s="45">
        <f t="shared" si="1"/>
        <v>156</v>
      </c>
      <c r="AV2" s="45">
        <f t="shared" si="0"/>
        <v>13391</v>
      </c>
    </row>
    <row r="3" spans="1:48" ht="22" customHeight="1"/>
    <row r="4" spans="1:48" ht="22" customHeight="1">
      <c r="C4" s="15" t="s">
        <v>213</v>
      </c>
      <c r="D4" s="15" t="s">
        <v>224</v>
      </c>
      <c r="E4" s="15" t="s">
        <v>205</v>
      </c>
      <c r="F4" s="15" t="s">
        <v>205</v>
      </c>
      <c r="G4" s="15" t="s">
        <v>205</v>
      </c>
      <c r="H4" s="15" t="s">
        <v>206</v>
      </c>
      <c r="I4" s="15" t="s">
        <v>206</v>
      </c>
      <c r="J4" s="15" t="s">
        <v>206</v>
      </c>
      <c r="K4" s="15" t="s">
        <v>214</v>
      </c>
      <c r="L4" s="15" t="s">
        <v>215</v>
      </c>
      <c r="M4" s="15" t="s">
        <v>216</v>
      </c>
      <c r="N4" s="15" t="s">
        <v>206</v>
      </c>
      <c r="O4" s="19" t="str">
        <f t="shared" ref="O4:AU4" si="2">CHOOSE(WEEKDAY(O5,2),"月","火","水","木","金","土","日")</f>
        <v>金</v>
      </c>
      <c r="P4" s="19" t="str">
        <f t="shared" si="2"/>
        <v>土</v>
      </c>
      <c r="Q4" s="19" t="str">
        <f t="shared" si="2"/>
        <v>日</v>
      </c>
      <c r="R4" s="19" t="str">
        <f t="shared" si="2"/>
        <v>月</v>
      </c>
      <c r="S4" s="19" t="str">
        <f t="shared" si="2"/>
        <v>火</v>
      </c>
      <c r="T4" s="19" t="str">
        <f t="shared" si="2"/>
        <v>水</v>
      </c>
      <c r="U4" s="19" t="str">
        <f t="shared" si="2"/>
        <v>木</v>
      </c>
      <c r="V4" s="19" t="str">
        <f t="shared" si="2"/>
        <v>金</v>
      </c>
      <c r="W4" s="19" t="str">
        <f t="shared" si="2"/>
        <v>土</v>
      </c>
      <c r="X4" s="19" t="str">
        <f t="shared" si="2"/>
        <v>日</v>
      </c>
      <c r="Y4" s="19" t="str">
        <f t="shared" si="2"/>
        <v>月</v>
      </c>
      <c r="Z4" s="19" t="str">
        <f t="shared" si="2"/>
        <v>火</v>
      </c>
      <c r="AA4" s="19" t="str">
        <f t="shared" si="2"/>
        <v>水</v>
      </c>
      <c r="AB4" s="19" t="str">
        <f t="shared" si="2"/>
        <v>木</v>
      </c>
      <c r="AC4" s="19" t="str">
        <f t="shared" si="2"/>
        <v>金</v>
      </c>
      <c r="AD4" s="19" t="str">
        <f t="shared" si="2"/>
        <v>土</v>
      </c>
      <c r="AE4" s="19" t="str">
        <f t="shared" si="2"/>
        <v>日</v>
      </c>
      <c r="AF4" s="19" t="str">
        <f t="shared" si="2"/>
        <v>月</v>
      </c>
      <c r="AG4" s="19" t="str">
        <f t="shared" si="2"/>
        <v>火</v>
      </c>
      <c r="AH4" s="19" t="str">
        <f t="shared" si="2"/>
        <v>水</v>
      </c>
      <c r="AI4" s="19" t="str">
        <f t="shared" si="2"/>
        <v>木</v>
      </c>
      <c r="AJ4" s="19" t="str">
        <f t="shared" si="2"/>
        <v>金</v>
      </c>
      <c r="AK4" s="19" t="str">
        <f t="shared" si="2"/>
        <v>土</v>
      </c>
      <c r="AL4" s="19" t="str">
        <f t="shared" si="2"/>
        <v>日</v>
      </c>
      <c r="AM4" s="19" t="str">
        <f t="shared" si="2"/>
        <v>月</v>
      </c>
      <c r="AN4" s="19" t="str">
        <f t="shared" si="2"/>
        <v>火</v>
      </c>
      <c r="AO4" s="19" t="str">
        <f t="shared" si="2"/>
        <v>水</v>
      </c>
      <c r="AP4" s="19" t="str">
        <f t="shared" si="2"/>
        <v>木</v>
      </c>
      <c r="AQ4" s="19" t="str">
        <f t="shared" si="2"/>
        <v>金</v>
      </c>
      <c r="AR4" s="19" t="str">
        <f t="shared" si="2"/>
        <v>土</v>
      </c>
      <c r="AS4" s="19" t="str">
        <f t="shared" si="2"/>
        <v>日</v>
      </c>
      <c r="AT4" s="19" t="str">
        <f t="shared" si="2"/>
        <v>月</v>
      </c>
      <c r="AU4" s="19" t="str">
        <f t="shared" si="2"/>
        <v>火</v>
      </c>
      <c r="AV4" s="14"/>
    </row>
    <row r="5" spans="1:48" ht="22" customHeight="1">
      <c r="A5" s="18" t="s">
        <v>13</v>
      </c>
      <c r="B5" s="18" t="s">
        <v>14</v>
      </c>
      <c r="C5" s="18" t="s">
        <v>3</v>
      </c>
      <c r="D5" s="18" t="s">
        <v>3</v>
      </c>
      <c r="E5" s="18" t="s">
        <v>208</v>
      </c>
      <c r="F5" s="18" t="s">
        <v>209</v>
      </c>
      <c r="G5" s="18" t="s">
        <v>210</v>
      </c>
      <c r="H5" s="18" t="s">
        <v>208</v>
      </c>
      <c r="I5" s="18" t="s">
        <v>209</v>
      </c>
      <c r="J5" s="18" t="s">
        <v>210</v>
      </c>
      <c r="K5" s="18" t="s">
        <v>3</v>
      </c>
      <c r="L5" s="18" t="s">
        <v>3</v>
      </c>
      <c r="M5" s="18" t="s">
        <v>3</v>
      </c>
      <c r="N5" s="18" t="s">
        <v>3</v>
      </c>
      <c r="O5" s="17">
        <f>'件数(合算）'!P7</f>
        <v>46283</v>
      </c>
      <c r="P5" s="17">
        <f>'件数(合算）'!Q7</f>
        <v>46284</v>
      </c>
      <c r="Q5" s="17">
        <f>'件数(合算）'!R7</f>
        <v>46285</v>
      </c>
      <c r="R5" s="17">
        <f>'件数(合算）'!S7</f>
        <v>46286</v>
      </c>
      <c r="S5" s="17">
        <f>'件数(合算）'!T7</f>
        <v>46287</v>
      </c>
      <c r="T5" s="17">
        <f>'件数(合算）'!U7</f>
        <v>46288</v>
      </c>
      <c r="U5" s="17">
        <f>'件数(合算）'!V7</f>
        <v>46289</v>
      </c>
      <c r="V5" s="17">
        <f>'件数(合算）'!W7</f>
        <v>46290</v>
      </c>
      <c r="W5" s="17">
        <f>'件数(合算）'!X7</f>
        <v>46291</v>
      </c>
      <c r="X5" s="17">
        <f>'件数(合算）'!Y7</f>
        <v>46292</v>
      </c>
      <c r="Y5" s="17">
        <f>'件数(合算）'!Z7</f>
        <v>46293</v>
      </c>
      <c r="Z5" s="17">
        <f>'件数(合算）'!AA7</f>
        <v>46294</v>
      </c>
      <c r="AA5" s="17">
        <f>'件数(合算）'!AB7</f>
        <v>46295</v>
      </c>
      <c r="AB5" s="17">
        <f>'件数(合算）'!AC7</f>
        <v>46296</v>
      </c>
      <c r="AC5" s="17">
        <f>'件数(合算）'!AD7</f>
        <v>46297</v>
      </c>
      <c r="AD5" s="17">
        <f>'件数(合算）'!AE7</f>
        <v>46298</v>
      </c>
      <c r="AE5" s="17">
        <f>'件数(合算）'!AF7</f>
        <v>46299</v>
      </c>
      <c r="AF5" s="17">
        <f>'件数(合算）'!AG7</f>
        <v>46300</v>
      </c>
      <c r="AG5" s="17">
        <f>'件数(合算）'!AH7</f>
        <v>46301</v>
      </c>
      <c r="AH5" s="17">
        <f>'件数(合算）'!AI7</f>
        <v>46302</v>
      </c>
      <c r="AI5" s="17">
        <f>'件数(合算）'!AJ7</f>
        <v>46303</v>
      </c>
      <c r="AJ5" s="17">
        <f>'件数(合算）'!AK7</f>
        <v>46304</v>
      </c>
      <c r="AK5" s="17">
        <f>'件数(合算）'!AL7</f>
        <v>46305</v>
      </c>
      <c r="AL5" s="17">
        <f>'件数(合算）'!AM7</f>
        <v>46306</v>
      </c>
      <c r="AM5" s="17">
        <f>'件数(合算）'!AN7</f>
        <v>46307</v>
      </c>
      <c r="AN5" s="17">
        <f>'件数(合算）'!AO7</f>
        <v>46308</v>
      </c>
      <c r="AO5" s="17">
        <f>'件数(合算）'!AP7</f>
        <v>46309</v>
      </c>
      <c r="AP5" s="17">
        <f>'件数(合算）'!AQ7</f>
        <v>46310</v>
      </c>
      <c r="AQ5" s="17">
        <f>'件数(合算）'!AR7</f>
        <v>46311</v>
      </c>
      <c r="AR5" s="17">
        <f>'件数(合算）'!AS7</f>
        <v>46312</v>
      </c>
      <c r="AS5" s="17">
        <f>'件数(合算）'!AT7</f>
        <v>46313</v>
      </c>
      <c r="AT5" s="17">
        <f>'件数(合算）'!AU7</f>
        <v>46314</v>
      </c>
      <c r="AU5" s="17">
        <f>'件数(合算）'!AV7</f>
        <v>46315</v>
      </c>
      <c r="AV5" s="14" t="s">
        <v>8</v>
      </c>
    </row>
    <row r="6" spans="1:48" ht="22" customHeight="1">
      <c r="A6" s="26">
        <v>250381</v>
      </c>
      <c r="B6" s="27" t="s">
        <v>36</v>
      </c>
      <c r="C6" s="4">
        <f>'件数(合算）'!K8</f>
        <v>0.58446455505279038</v>
      </c>
      <c r="D6" s="4">
        <f>'件数(合算）'!M8</f>
        <v>0.66500000000000004</v>
      </c>
      <c r="E6" s="5">
        <f>'件数(合算）'!E8</f>
        <v>15000</v>
      </c>
      <c r="F6" s="5">
        <f>'件数(合算）'!F8</f>
        <v>15000</v>
      </c>
      <c r="G6" s="53"/>
      <c r="K6" s="4">
        <f>'件数(合算）'!K8</f>
        <v>0.58446455505279038</v>
      </c>
      <c r="L6" s="4">
        <f>'件数(合算）'!K8</f>
        <v>0.58446455505279038</v>
      </c>
      <c r="M6" s="4">
        <f>'件数(合算）'!K8</f>
        <v>0.58446455505279038</v>
      </c>
      <c r="N6" s="4">
        <f>'件数(合算）'!K8</f>
        <v>0.58446455505279038</v>
      </c>
      <c r="O6" s="3">
        <f>ROUND($D6*'件数(合算）'!P8,0)</f>
        <v>132</v>
      </c>
      <c r="P6" s="3">
        <f>ROUND($D6*'件数(合算）'!Q8,0)</f>
        <v>255</v>
      </c>
      <c r="Q6" s="3">
        <f>ROUND($D6*'件数(合算）'!R8,0)</f>
        <v>220</v>
      </c>
      <c r="R6" s="3">
        <f>ROUND($D6*'件数(合算）'!S8,0)</f>
        <v>145</v>
      </c>
      <c r="S6" s="3">
        <f>ROUND($D6*'件数(合算）'!T8,0)</f>
        <v>176</v>
      </c>
      <c r="T6" s="3">
        <f>ROUND($D6*'件数(合算）'!U8,0)</f>
        <v>152</v>
      </c>
      <c r="U6" s="3">
        <f>ROUND($D6*'件数(合算）'!V8,0)</f>
        <v>139</v>
      </c>
      <c r="V6" s="3">
        <f>ROUND($D6*'件数(合算）'!W8,0)</f>
        <v>114</v>
      </c>
      <c r="W6" s="3">
        <f>ROUND($D6*'件数(合算）'!X8,0)</f>
        <v>219</v>
      </c>
      <c r="X6" s="3">
        <f>ROUND($D6*'件数(合算）'!Y8,0)</f>
        <v>361</v>
      </c>
      <c r="Y6" s="3">
        <f>ROUND($D6*'件数(合算）'!Z8,0)</f>
        <v>150</v>
      </c>
      <c r="Z6" s="3">
        <f>ROUND($C6*'件数(合算）'!AA8,0)</f>
        <v>31</v>
      </c>
      <c r="AA6" s="3">
        <f>ROUND($C6*'件数(合算）'!AB8,0)</f>
        <v>31</v>
      </c>
      <c r="AB6" s="3">
        <f>ROUND($C6*'件数(合算）'!AC8,0)</f>
        <v>31</v>
      </c>
      <c r="AC6" s="3">
        <f>ROUND($C6*'件数(合算）'!AD8,0)</f>
        <v>29</v>
      </c>
      <c r="AD6" s="3">
        <f>ROUND($C6*'件数(合算）'!AE8,0)</f>
        <v>39</v>
      </c>
      <c r="AE6" s="3">
        <f>ROUND($C6*'件数(合算）'!AF8,0)</f>
        <v>52</v>
      </c>
      <c r="AF6" s="3">
        <f>ROUND($C6*'件数(合算）'!AG8,0)</f>
        <v>31</v>
      </c>
      <c r="AG6" s="3">
        <f>ROUND($C6*'件数(合算）'!AH8,0)</f>
        <v>31</v>
      </c>
      <c r="AH6" s="3">
        <f>ROUND($C6*'件数(合算）'!AI8,0)</f>
        <v>31</v>
      </c>
      <c r="AI6" s="3">
        <f>ROUND($C6*'件数(合算）'!AJ8,0)</f>
        <v>31</v>
      </c>
      <c r="AJ6" s="3">
        <f>ROUND($C6*'件数(合算）'!AK8,0)</f>
        <v>29</v>
      </c>
      <c r="AK6" s="3">
        <f>ROUND($C6*'件数(合算）'!AL8,0)</f>
        <v>39</v>
      </c>
      <c r="AL6" s="3">
        <f>ROUND($C6*'件数(合算）'!AM8,0)</f>
        <v>44</v>
      </c>
      <c r="AM6" s="3">
        <f>ROUND($C6*'件数(合算）'!AN8,0)</f>
        <v>49</v>
      </c>
      <c r="AN6" s="3">
        <f>ROUND($C6*'件数(合算）'!AO8,0)</f>
        <v>32</v>
      </c>
      <c r="AO6" s="3">
        <f>ROUND($C6*'件数(合算）'!AP8,0)</f>
        <v>32</v>
      </c>
      <c r="AP6" s="3">
        <f>ROUND($C6*'件数(合算）'!AQ8,0)</f>
        <v>32</v>
      </c>
      <c r="AQ6" s="3">
        <f>ROUND($C6*'件数(合算）'!AR8,0)</f>
        <v>29</v>
      </c>
      <c r="AR6" s="3">
        <f>ROUND($C6*'件数(合算）'!AS8,0)</f>
        <v>39</v>
      </c>
      <c r="AS6" s="3">
        <f>ROUND($C6*'件数(合算）'!AT8,0)</f>
        <v>52</v>
      </c>
      <c r="AT6" s="3">
        <f>ROUND($C6*'件数(合算）'!AU8,0)</f>
        <v>32</v>
      </c>
      <c r="AU6" s="3">
        <f>ROUND($C6*'件数(合算）'!AV8,0)</f>
        <v>32</v>
      </c>
      <c r="AV6" s="10">
        <f t="shared" ref="AV6:AV37" si="3">SUM(O6:AP6)</f>
        <v>2657</v>
      </c>
    </row>
    <row r="7" spans="1:48" ht="22" customHeight="1">
      <c r="A7" s="34">
        <v>162253</v>
      </c>
      <c r="B7" s="35" t="s">
        <v>40</v>
      </c>
      <c r="C7" s="37">
        <f>'件数(合算）'!K9</f>
        <v>0.73449131513647647</v>
      </c>
      <c r="D7" s="4">
        <f>'件数(合算）'!M9</f>
        <v>0.76900000000000002</v>
      </c>
      <c r="E7" s="49">
        <f>'件数(合算）'!E9</f>
        <v>14000</v>
      </c>
      <c r="F7" s="49">
        <f>'件数(合算）'!F9</f>
        <v>15000</v>
      </c>
      <c r="G7" s="53"/>
      <c r="K7" s="37">
        <f>'件数(合算）'!K9</f>
        <v>0.73449131513647647</v>
      </c>
      <c r="L7" s="37">
        <f>'件数(合算）'!K9</f>
        <v>0.73449131513647647</v>
      </c>
      <c r="M7" s="37">
        <f>'件数(合算）'!K9</f>
        <v>0.73449131513647647</v>
      </c>
      <c r="N7" s="37">
        <f>'件数(合算）'!K9</f>
        <v>0.73449131513647647</v>
      </c>
      <c r="O7" s="36">
        <f>ROUND($D7*'件数(合算）'!P9,0)</f>
        <v>82</v>
      </c>
      <c r="P7" s="36">
        <f>ROUND($D7*'件数(合算）'!Q9,0)</f>
        <v>125</v>
      </c>
      <c r="Q7" s="36">
        <f>ROUND($D7*'件数(合算）'!R9,0)</f>
        <v>142</v>
      </c>
      <c r="R7" s="36">
        <f>ROUND($D7*'件数(合算）'!S9,0)</f>
        <v>75</v>
      </c>
      <c r="S7" s="36">
        <f>ROUND($D7*'件数(合算）'!T9,0)</f>
        <v>84</v>
      </c>
      <c r="T7" s="36">
        <f>ROUND($D7*'件数(合算）'!U9,0)</f>
        <v>86</v>
      </c>
      <c r="U7" s="36">
        <f>ROUND($D7*'件数(合算）'!V9,0)</f>
        <v>72</v>
      </c>
      <c r="V7" s="36">
        <f>ROUND($D7*'件数(合算）'!W9,0)</f>
        <v>83</v>
      </c>
      <c r="W7" s="36">
        <f>ROUND($D7*'件数(合算）'!X9,0)</f>
        <v>110</v>
      </c>
      <c r="X7" s="36">
        <f>ROUND($D7*'件数(合算）'!Y9,0)</f>
        <v>193</v>
      </c>
      <c r="Y7" s="36">
        <f>ROUND($D7*'件数(合算）'!Z9,0)</f>
        <v>102</v>
      </c>
      <c r="Z7" s="36">
        <f>ROUND($C7*'件数(合算）'!AA9,0)</f>
        <v>29</v>
      </c>
      <c r="AA7" s="36">
        <f>ROUND($C7*'件数(合算）'!AB9,0)</f>
        <v>29</v>
      </c>
      <c r="AB7" s="36">
        <f>ROUND($C7*'件数(合算）'!AC9,0)</f>
        <v>29</v>
      </c>
      <c r="AC7" s="36">
        <f>ROUND($C7*'件数(合算）'!AD9,0)</f>
        <v>29</v>
      </c>
      <c r="AD7" s="36">
        <f>ROUND($C7*'件数(合算）'!AE9,0)</f>
        <v>50</v>
      </c>
      <c r="AE7" s="36">
        <f>ROUND($C7*'件数(合算）'!AF9,0)</f>
        <v>65</v>
      </c>
      <c r="AF7" s="36">
        <f>ROUND($C7*'件数(合算）'!AG9,0)</f>
        <v>33</v>
      </c>
      <c r="AG7" s="36">
        <f>ROUND($C7*'件数(合算）'!AH9,0)</f>
        <v>33</v>
      </c>
      <c r="AH7" s="36">
        <f>ROUND($C7*'件数(合算）'!AI9,0)</f>
        <v>33</v>
      </c>
      <c r="AI7" s="36">
        <f>ROUND($C7*'件数(合算）'!AJ9,0)</f>
        <v>33</v>
      </c>
      <c r="AJ7" s="36">
        <f>ROUND($C7*'件数(合算）'!AK9,0)</f>
        <v>33</v>
      </c>
      <c r="AK7" s="36">
        <f>ROUND($C7*'件数(合算）'!AL9,0)</f>
        <v>48</v>
      </c>
      <c r="AL7" s="36">
        <f>ROUND($C7*'件数(合算）'!AM9,0)</f>
        <v>51</v>
      </c>
      <c r="AM7" s="36">
        <f>ROUND($C7*'件数(合算）'!AN9,0)</f>
        <v>63</v>
      </c>
      <c r="AN7" s="36">
        <f>ROUND($C7*'件数(合算）'!AO9,0)</f>
        <v>33</v>
      </c>
      <c r="AO7" s="36">
        <f>ROUND($C7*'件数(合算）'!AP9,0)</f>
        <v>33</v>
      </c>
      <c r="AP7" s="36">
        <f>ROUND($C7*'件数(合算）'!AQ9,0)</f>
        <v>33</v>
      </c>
      <c r="AQ7" s="36">
        <f>ROUND($C7*'件数(合算）'!AR9,0)</f>
        <v>33</v>
      </c>
      <c r="AR7" s="36">
        <f>ROUND($C7*'件数(合算）'!AS9,0)</f>
        <v>55</v>
      </c>
      <c r="AS7" s="36">
        <f>ROUND($C7*'件数(合算）'!AT9,0)</f>
        <v>65</v>
      </c>
      <c r="AT7" s="36">
        <f>ROUND($C7*'件数(合算）'!AU9,0)</f>
        <v>33</v>
      </c>
      <c r="AU7" s="36">
        <f>ROUND($C7*'件数(合算）'!AV9,0)</f>
        <v>33</v>
      </c>
      <c r="AV7" s="10">
        <f t="shared" si="3"/>
        <v>1811</v>
      </c>
    </row>
    <row r="8" spans="1:48" ht="22" customHeight="1">
      <c r="A8" s="26">
        <v>391434</v>
      </c>
      <c r="B8" s="27" t="s">
        <v>42</v>
      </c>
      <c r="C8" s="4">
        <f>'件数(合算）'!K10</f>
        <v>0.56428571428571428</v>
      </c>
      <c r="D8" s="4">
        <f>'件数(合算）'!M10</f>
        <v>0.65900000000000003</v>
      </c>
      <c r="E8" s="5">
        <f>'件数(合算）'!E10</f>
        <v>13000</v>
      </c>
      <c r="F8" s="5">
        <f>'件数(合算）'!F10</f>
        <v>13000</v>
      </c>
      <c r="G8" s="53"/>
      <c r="K8" s="4">
        <f>'件数(合算）'!K10</f>
        <v>0.56428571428571428</v>
      </c>
      <c r="L8" s="4">
        <f>'件数(合算）'!K10</f>
        <v>0.56428571428571428</v>
      </c>
      <c r="M8" s="4">
        <f>'件数(合算）'!K10</f>
        <v>0.56428571428571428</v>
      </c>
      <c r="N8" s="4">
        <f>'件数(合算）'!K10</f>
        <v>0.56428571428571428</v>
      </c>
      <c r="O8" s="3">
        <f>ROUND($D8*'件数(合算）'!P10,0)</f>
        <v>227</v>
      </c>
      <c r="P8" s="3">
        <f>ROUND($D8*'件数(合算）'!Q10,0)</f>
        <v>480</v>
      </c>
      <c r="Q8" s="3">
        <f>ROUND($D8*'件数(合算）'!R10,0)</f>
        <v>462</v>
      </c>
      <c r="R8" s="3">
        <f>ROUND($D8*'件数(合算）'!S10,0)</f>
        <v>388</v>
      </c>
      <c r="S8" s="3">
        <f>ROUND($D8*'件数(合算）'!T10,0)</f>
        <v>319</v>
      </c>
      <c r="T8" s="3">
        <f>ROUND($D8*'件数(合算）'!U10,0)</f>
        <v>328</v>
      </c>
      <c r="U8" s="3">
        <f>ROUND($D8*'件数(合算）'!V10,0)</f>
        <v>340</v>
      </c>
      <c r="V8" s="3">
        <f>ROUND($D8*'件数(合算）'!W10,0)</f>
        <v>274</v>
      </c>
      <c r="W8" s="3">
        <f>ROUND($D8*'件数(合算）'!X10,0)</f>
        <v>627</v>
      </c>
      <c r="X8" s="3">
        <f>ROUND($D8*'件数(合算）'!Y10,0)</f>
        <v>855</v>
      </c>
      <c r="Y8" s="3">
        <f>ROUND($D8*'件数(合算）'!Z10,0)</f>
        <v>280</v>
      </c>
      <c r="Z8" s="3">
        <f>ROUND($C8*'件数(合算）'!AA10,0)</f>
        <v>7</v>
      </c>
      <c r="AA8" s="3">
        <f>ROUND($C8*'件数(合算）'!AB10,0)</f>
        <v>7</v>
      </c>
      <c r="AB8" s="3">
        <f>ROUND($C8*'件数(合算）'!AC10,0)</f>
        <v>7</v>
      </c>
      <c r="AC8" s="3">
        <f>ROUND($C8*'件数(合算）'!AD10,0)</f>
        <v>7</v>
      </c>
      <c r="AD8" s="3">
        <f>ROUND($C8*'件数(合算）'!AE10,0)</f>
        <v>8</v>
      </c>
      <c r="AE8" s="3">
        <f>ROUND($C8*'件数(合算）'!AF10,0)</f>
        <v>11</v>
      </c>
      <c r="AF8" s="3">
        <f>ROUND($C8*'件数(合算）'!AG10,0)</f>
        <v>7</v>
      </c>
      <c r="AG8" s="3">
        <f>ROUND($C8*'件数(合算）'!AH10,0)</f>
        <v>7</v>
      </c>
      <c r="AH8" s="3">
        <f>ROUND($C8*'件数(合算）'!AI10,0)</f>
        <v>7</v>
      </c>
      <c r="AI8" s="3">
        <f>ROUND($C8*'件数(合算）'!AJ10,0)</f>
        <v>7</v>
      </c>
      <c r="AJ8" s="3">
        <f>ROUND($C8*'件数(合算）'!AK10,0)</f>
        <v>7</v>
      </c>
      <c r="AK8" s="3">
        <f>ROUND($C8*'件数(合算）'!AL10,0)</f>
        <v>11</v>
      </c>
      <c r="AL8" s="3">
        <f>ROUND($C8*'件数(合算）'!AM10,0)</f>
        <v>11</v>
      </c>
      <c r="AM8" s="3">
        <f>ROUND($C8*'件数(合算）'!AN10,0)</f>
        <v>13</v>
      </c>
      <c r="AN8" s="3">
        <f>ROUND($C8*'件数(合算）'!AO10,0)</f>
        <v>7</v>
      </c>
      <c r="AO8" s="3">
        <f>ROUND($C8*'件数(合算）'!AP10,0)</f>
        <v>7</v>
      </c>
      <c r="AP8" s="3">
        <f>ROUND($C8*'件数(合算）'!AQ10,0)</f>
        <v>7</v>
      </c>
      <c r="AQ8" s="3">
        <f>ROUND($C8*'件数(合算）'!AR10,0)</f>
        <v>7</v>
      </c>
      <c r="AR8" s="3">
        <f>ROUND($C8*'件数(合算）'!AS10,0)</f>
        <v>8</v>
      </c>
      <c r="AS8" s="3">
        <f>ROUND($C8*'件数(合算）'!AT10,0)</f>
        <v>11</v>
      </c>
      <c r="AT8" s="3">
        <f>ROUND($C8*'件数(合算）'!AU10,0)</f>
        <v>7</v>
      </c>
      <c r="AU8" s="3">
        <f>ROUND($C8*'件数(合算）'!AV10,0)</f>
        <v>7</v>
      </c>
      <c r="AV8" s="10">
        <f t="shared" si="3"/>
        <v>4718</v>
      </c>
    </row>
    <row r="9" spans="1:48" ht="22" customHeight="1">
      <c r="A9" s="34">
        <v>374455</v>
      </c>
      <c r="B9" s="35" t="s">
        <v>44</v>
      </c>
      <c r="C9" s="37">
        <f>'件数(合算）'!K11</f>
        <v>0.60776942355889729</v>
      </c>
      <c r="D9" s="4">
        <f>'件数(合算）'!M11</f>
        <v>0.63200000000000001</v>
      </c>
      <c r="E9" s="49">
        <f>'件数(合算）'!E11</f>
        <v>14000</v>
      </c>
      <c r="F9" s="49">
        <f>'件数(合算）'!F11</f>
        <v>14000</v>
      </c>
      <c r="G9" s="53"/>
      <c r="K9" s="37">
        <f>'件数(合算）'!K11</f>
        <v>0.60776942355889729</v>
      </c>
      <c r="L9" s="37">
        <f>'件数(合算）'!K11</f>
        <v>0.60776942355889729</v>
      </c>
      <c r="M9" s="37">
        <f>'件数(合算）'!K11</f>
        <v>0.60776942355889729</v>
      </c>
      <c r="N9" s="37">
        <f>'件数(合算）'!K11</f>
        <v>0.60776942355889729</v>
      </c>
      <c r="O9" s="36">
        <f>ROUND($D9*'件数(合算）'!P11,0)</f>
        <v>27</v>
      </c>
      <c r="P9" s="36">
        <f>ROUND($D9*'件数(合算）'!Q11,0)</f>
        <v>33</v>
      </c>
      <c r="Q9" s="36">
        <f>ROUND($D9*'件数(合算）'!R11,0)</f>
        <v>41</v>
      </c>
      <c r="R9" s="36">
        <f>ROUND($D9*'件数(合算）'!S11,0)</f>
        <v>27</v>
      </c>
      <c r="S9" s="36">
        <f>ROUND($D9*'件数(合算）'!T11,0)</f>
        <v>33</v>
      </c>
      <c r="T9" s="36">
        <f>ROUND($D9*'件数(合算）'!U11,0)</f>
        <v>32</v>
      </c>
      <c r="U9" s="36">
        <f>ROUND($D9*'件数(合算）'!V11,0)</f>
        <v>47</v>
      </c>
      <c r="V9" s="36">
        <f>ROUND($D9*'件数(合算）'!W11,0)</f>
        <v>27</v>
      </c>
      <c r="W9" s="36">
        <f>ROUND($D9*'件数(合算）'!X11,0)</f>
        <v>36</v>
      </c>
      <c r="X9" s="36">
        <f>ROUND($D9*'件数(合算）'!Y11,0)</f>
        <v>71</v>
      </c>
      <c r="Y9" s="36">
        <f>ROUND($D9*'件数(合算）'!Z11,0)</f>
        <v>37</v>
      </c>
      <c r="Z9" s="36">
        <f>ROUND($C9*'件数(合算）'!AA11,0)</f>
        <v>13</v>
      </c>
      <c r="AA9" s="36">
        <f>ROUND($C9*'件数(合算）'!AB11,0)</f>
        <v>13</v>
      </c>
      <c r="AB9" s="36">
        <f>ROUND($C9*'件数(合算）'!AC11,0)</f>
        <v>13</v>
      </c>
      <c r="AC9" s="36">
        <f>ROUND($C9*'件数(合算）'!AD11,0)</f>
        <v>13</v>
      </c>
      <c r="AD9" s="36">
        <f>ROUND($C9*'件数(合算）'!AE11,0)</f>
        <v>16</v>
      </c>
      <c r="AE9" s="36">
        <f>ROUND($C9*'件数(合算）'!AF11,0)</f>
        <v>17</v>
      </c>
      <c r="AF9" s="36">
        <f>ROUND($C9*'件数(合算）'!AG11,0)</f>
        <v>13</v>
      </c>
      <c r="AG9" s="36">
        <f>ROUND($C9*'件数(合算）'!AH11,0)</f>
        <v>13</v>
      </c>
      <c r="AH9" s="36">
        <f>ROUND($C9*'件数(合算）'!AI11,0)</f>
        <v>13</v>
      </c>
      <c r="AI9" s="36">
        <f>ROUND($C9*'件数(合算）'!AJ11,0)</f>
        <v>13</v>
      </c>
      <c r="AJ9" s="36">
        <f>ROUND($C9*'件数(合算）'!AK11,0)</f>
        <v>13</v>
      </c>
      <c r="AK9" s="36">
        <f>ROUND($C9*'件数(合算）'!AL11,0)</f>
        <v>15</v>
      </c>
      <c r="AL9" s="36">
        <f>ROUND($C9*'件数(合算）'!AM11,0)</f>
        <v>15</v>
      </c>
      <c r="AM9" s="36">
        <f>ROUND($C9*'件数(合算）'!AN11,0)</f>
        <v>15</v>
      </c>
      <c r="AN9" s="36">
        <f>ROUND($C9*'件数(合算）'!AO11,0)</f>
        <v>13</v>
      </c>
      <c r="AO9" s="36">
        <f>ROUND($C9*'件数(合算）'!AP11,0)</f>
        <v>13</v>
      </c>
      <c r="AP9" s="36">
        <f>ROUND($C9*'件数(合算）'!AQ11,0)</f>
        <v>13</v>
      </c>
      <c r="AQ9" s="36">
        <f>ROUND($C9*'件数(合算）'!AR11,0)</f>
        <v>13</v>
      </c>
      <c r="AR9" s="36">
        <f>ROUND($C9*'件数(合算）'!AS11,0)</f>
        <v>15</v>
      </c>
      <c r="AS9" s="36">
        <f>ROUND($C9*'件数(合算）'!AT11,0)</f>
        <v>15</v>
      </c>
      <c r="AT9" s="36">
        <f>ROUND($C9*'件数(合算）'!AU11,0)</f>
        <v>13</v>
      </c>
      <c r="AU9" s="36">
        <f>ROUND($C9*'件数(合算）'!AV11,0)</f>
        <v>13</v>
      </c>
      <c r="AV9" s="10">
        <f t="shared" si="3"/>
        <v>645</v>
      </c>
    </row>
    <row r="10" spans="1:48" ht="22" customHeight="1">
      <c r="A10" s="26">
        <v>384209</v>
      </c>
      <c r="B10" s="27" t="s">
        <v>46</v>
      </c>
      <c r="C10" s="4">
        <f>'件数(合算）'!K12</f>
        <v>0.2260397830018083</v>
      </c>
      <c r="D10" s="4">
        <f>'件数(合算）'!M12</f>
        <v>0.23699999999999999</v>
      </c>
      <c r="E10" s="5">
        <f>'件数(合算）'!E12</f>
        <v>18000</v>
      </c>
      <c r="F10" s="5">
        <f>'件数(合算）'!F12</f>
        <v>18000</v>
      </c>
      <c r="G10" s="53"/>
      <c r="K10" s="4">
        <f>'件数(合算）'!K12</f>
        <v>0.2260397830018083</v>
      </c>
      <c r="L10" s="4">
        <f>'件数(合算）'!K12</f>
        <v>0.2260397830018083</v>
      </c>
      <c r="M10" s="4">
        <f>'件数(合算）'!K12</f>
        <v>0.2260397830018083</v>
      </c>
      <c r="N10" s="4">
        <f>'件数(合算）'!K12</f>
        <v>0.2260397830018083</v>
      </c>
      <c r="O10" s="3">
        <f>ROUND($D10*'件数(合算）'!P12,0)</f>
        <v>3</v>
      </c>
      <c r="P10" s="3">
        <f>ROUND($D10*'件数(合算）'!Q12,0)</f>
        <v>5</v>
      </c>
      <c r="Q10" s="3">
        <f>ROUND($D10*'件数(合算）'!R12,0)</f>
        <v>5</v>
      </c>
      <c r="R10" s="3">
        <f>ROUND($D10*'件数(合算）'!S12,0)</f>
        <v>5</v>
      </c>
      <c r="S10" s="3">
        <f>ROUND($D10*'件数(合算）'!T12,0)</f>
        <v>5</v>
      </c>
      <c r="T10" s="3">
        <f>ROUND($D10*'件数(合算）'!U12,0)</f>
        <v>4</v>
      </c>
      <c r="U10" s="3">
        <f>ROUND($D10*'件数(合算）'!V12,0)</f>
        <v>4</v>
      </c>
      <c r="V10" s="3">
        <f>ROUND($D10*'件数(合算）'!W12,0)</f>
        <v>5</v>
      </c>
      <c r="W10" s="3">
        <f>ROUND($D10*'件数(合算）'!X12,0)</f>
        <v>6</v>
      </c>
      <c r="X10" s="3">
        <f>ROUND($D10*'件数(合算）'!Y12,0)</f>
        <v>6</v>
      </c>
      <c r="Y10" s="3">
        <f>ROUND($D10*'件数(合算）'!Z12,0)</f>
        <v>5</v>
      </c>
      <c r="Z10" s="3">
        <f>ROUND($C10*'件数(合算）'!AA12,0)</f>
        <v>3</v>
      </c>
      <c r="AA10" s="3">
        <f>ROUND($C10*'件数(合算）'!AB12,0)</f>
        <v>3</v>
      </c>
      <c r="AB10" s="3">
        <f>ROUND($C10*'件数(合算）'!AC12,0)</f>
        <v>3</v>
      </c>
      <c r="AC10" s="3">
        <f>ROUND($C10*'件数(合算）'!AD12,0)</f>
        <v>3</v>
      </c>
      <c r="AD10" s="3">
        <f>ROUND($C10*'件数(合算）'!AE12,0)</f>
        <v>4</v>
      </c>
      <c r="AE10" s="3">
        <f>ROUND($C10*'件数(合算）'!AF12,0)</f>
        <v>5</v>
      </c>
      <c r="AF10" s="3">
        <f>ROUND($C10*'件数(合算）'!AG12,0)</f>
        <v>3</v>
      </c>
      <c r="AG10" s="3">
        <f>ROUND($C10*'件数(合算）'!AH12,0)</f>
        <v>3</v>
      </c>
      <c r="AH10" s="3">
        <f>ROUND($C10*'件数(合算）'!AI12,0)</f>
        <v>3</v>
      </c>
      <c r="AI10" s="3">
        <f>ROUND($C10*'件数(合算）'!AJ12,0)</f>
        <v>3</v>
      </c>
      <c r="AJ10" s="3">
        <f>ROUND($C10*'件数(合算）'!AK12,0)</f>
        <v>3</v>
      </c>
      <c r="AK10" s="3">
        <f>ROUND($C10*'件数(合算）'!AL12,0)</f>
        <v>5</v>
      </c>
      <c r="AL10" s="3">
        <f>ROUND($C10*'件数(合算）'!AM12,0)</f>
        <v>5</v>
      </c>
      <c r="AM10" s="3">
        <f>ROUND($C10*'件数(合算）'!AN12,0)</f>
        <v>5</v>
      </c>
      <c r="AN10" s="3">
        <f>ROUND($C10*'件数(合算）'!AO12,0)</f>
        <v>3</v>
      </c>
      <c r="AO10" s="3">
        <f>ROUND($C10*'件数(合算）'!AP12,0)</f>
        <v>3</v>
      </c>
      <c r="AP10" s="3">
        <f>ROUND($C10*'件数(合算）'!AQ12,0)</f>
        <v>3</v>
      </c>
      <c r="AQ10" s="3">
        <f>ROUND($C10*'件数(合算）'!AR12,0)</f>
        <v>3</v>
      </c>
      <c r="AR10" s="3">
        <f>ROUND($C10*'件数(合算）'!AS12,0)</f>
        <v>5</v>
      </c>
      <c r="AS10" s="3">
        <f>ROUND($C10*'件数(合算）'!AT12,0)</f>
        <v>6</v>
      </c>
      <c r="AT10" s="3">
        <f>ROUND($C10*'件数(合算）'!AU12,0)</f>
        <v>3</v>
      </c>
      <c r="AU10" s="3">
        <f>ROUND($C10*'件数(合算）'!AV12,0)</f>
        <v>3</v>
      </c>
      <c r="AV10" s="10">
        <f t="shared" si="3"/>
        <v>113</v>
      </c>
    </row>
    <row r="11" spans="1:48" ht="22" customHeight="1">
      <c r="A11" s="34">
        <v>388064</v>
      </c>
      <c r="B11" s="35" t="s">
        <v>49</v>
      </c>
      <c r="C11" s="37">
        <f>'件数(合算）'!K13</f>
        <v>0.41410693970420931</v>
      </c>
      <c r="D11" s="4">
        <f>'件数(合算）'!M13</f>
        <v>0.47199999999999998</v>
      </c>
      <c r="E11" s="49">
        <f>'件数(合算）'!E13</f>
        <v>14000</v>
      </c>
      <c r="F11" s="49">
        <f>'件数(合算）'!F13</f>
        <v>15000</v>
      </c>
      <c r="G11" s="53"/>
      <c r="K11" s="37">
        <f>'件数(合算）'!K13</f>
        <v>0.41410693970420931</v>
      </c>
      <c r="L11" s="37">
        <f>'件数(合算）'!K13</f>
        <v>0.41410693970420931</v>
      </c>
      <c r="M11" s="37">
        <f>'件数(合算）'!K13</f>
        <v>0.41410693970420931</v>
      </c>
      <c r="N11" s="37">
        <f>'件数(合算）'!K13</f>
        <v>0.41410693970420931</v>
      </c>
      <c r="O11" s="36">
        <f>ROUND($D11*'件数(合算）'!P13,0)</f>
        <v>40</v>
      </c>
      <c r="P11" s="36">
        <f>ROUND($D11*'件数(合算）'!Q13,0)</f>
        <v>78</v>
      </c>
      <c r="Q11" s="36">
        <f>ROUND($D11*'件数(合算）'!R13,0)</f>
        <v>112</v>
      </c>
      <c r="R11" s="36">
        <f>ROUND($D11*'件数(合算）'!S13,0)</f>
        <v>71</v>
      </c>
      <c r="S11" s="36">
        <f>ROUND($D11*'件数(合算）'!T13,0)</f>
        <v>68</v>
      </c>
      <c r="T11" s="36">
        <f>ROUND($D11*'件数(合算）'!U13,0)</f>
        <v>80</v>
      </c>
      <c r="U11" s="36">
        <f>ROUND($D11*'件数(合算）'!V13,0)</f>
        <v>57</v>
      </c>
      <c r="V11" s="36">
        <f>ROUND($D11*'件数(合算）'!W13,0)</f>
        <v>57</v>
      </c>
      <c r="W11" s="36">
        <f>ROUND($D11*'件数(合算）'!X13,0)</f>
        <v>83</v>
      </c>
      <c r="X11" s="36">
        <f>ROUND($D11*'件数(合算）'!Y13,0)</f>
        <v>135</v>
      </c>
      <c r="Y11" s="36">
        <f>ROUND($D11*'件数(合算）'!Z13,0)</f>
        <v>46</v>
      </c>
      <c r="Z11" s="36">
        <f>ROUND($C11*'件数(合算）'!AA13,0)</f>
        <v>12</v>
      </c>
      <c r="AA11" s="36">
        <f>ROUND($C11*'件数(合算）'!AB13,0)</f>
        <v>12</v>
      </c>
      <c r="AB11" s="36">
        <f>ROUND($C11*'件数(合算）'!AC13,0)</f>
        <v>12</v>
      </c>
      <c r="AC11" s="36">
        <f>ROUND($C11*'件数(合算）'!AD13,0)</f>
        <v>12</v>
      </c>
      <c r="AD11" s="36">
        <f>ROUND($C11*'件数(合算）'!AE13,0)</f>
        <v>16</v>
      </c>
      <c r="AE11" s="36">
        <f>ROUND($C11*'件数(合算）'!AF13,0)</f>
        <v>19</v>
      </c>
      <c r="AF11" s="36">
        <f>ROUND($C11*'件数(合算）'!AG13,0)</f>
        <v>13</v>
      </c>
      <c r="AG11" s="36">
        <f>ROUND($C11*'件数(合算）'!AH13,0)</f>
        <v>14</v>
      </c>
      <c r="AH11" s="36">
        <f>ROUND($C11*'件数(合算）'!AI13,0)</f>
        <v>14</v>
      </c>
      <c r="AI11" s="36">
        <f>ROUND($C11*'件数(合算）'!AJ13,0)</f>
        <v>14</v>
      </c>
      <c r="AJ11" s="36">
        <f>ROUND($C11*'件数(合算）'!AK13,0)</f>
        <v>14</v>
      </c>
      <c r="AK11" s="36">
        <f>ROUND($C11*'件数(合算）'!AL13,0)</f>
        <v>17</v>
      </c>
      <c r="AL11" s="36">
        <f>ROUND($C11*'件数(合算）'!AM13,0)</f>
        <v>19</v>
      </c>
      <c r="AM11" s="36">
        <f>ROUND($C11*'件数(合算）'!AN13,0)</f>
        <v>13</v>
      </c>
      <c r="AN11" s="36">
        <f>ROUND($C11*'件数(合算）'!AO13,0)</f>
        <v>12</v>
      </c>
      <c r="AO11" s="36">
        <f>ROUND($C11*'件数(合算）'!AP13,0)</f>
        <v>12</v>
      </c>
      <c r="AP11" s="36">
        <f>ROUND($C11*'件数(合算）'!AQ13,0)</f>
        <v>12</v>
      </c>
      <c r="AQ11" s="36">
        <f>ROUND($C11*'件数(合算）'!AR13,0)</f>
        <v>12</v>
      </c>
      <c r="AR11" s="36">
        <f>ROUND($C11*'件数(合算）'!AS13,0)</f>
        <v>16</v>
      </c>
      <c r="AS11" s="36">
        <f>ROUND($C11*'件数(合算）'!AT13,0)</f>
        <v>17</v>
      </c>
      <c r="AT11" s="36">
        <f>ROUND($C11*'件数(合算）'!AU13,0)</f>
        <v>12</v>
      </c>
      <c r="AU11" s="36">
        <f>ROUND($C11*'件数(合算）'!AV13,0)</f>
        <v>12</v>
      </c>
      <c r="AV11" s="10">
        <f t="shared" si="3"/>
        <v>1064</v>
      </c>
    </row>
    <row r="12" spans="1:48" ht="22" customHeight="1">
      <c r="A12" s="26">
        <v>390299</v>
      </c>
      <c r="B12" s="27" t="s">
        <v>51</v>
      </c>
      <c r="C12" s="4">
        <f>'件数(合算）'!K14</f>
        <v>0.51677852348993292</v>
      </c>
      <c r="D12" s="4">
        <f>'件数(合算）'!M14</f>
        <v>0.58799999999999997</v>
      </c>
      <c r="E12" s="5">
        <f>'件数(合算）'!E14</f>
        <v>11000</v>
      </c>
      <c r="F12" s="5">
        <f>'件数(合算）'!F14</f>
        <v>12000</v>
      </c>
      <c r="G12" s="53"/>
      <c r="K12" s="4">
        <f>'件数(合算）'!K14</f>
        <v>0.51677852348993292</v>
      </c>
      <c r="L12" s="4">
        <f>'件数(合算）'!K14</f>
        <v>0.51677852348993292</v>
      </c>
      <c r="M12" s="4">
        <f>'件数(合算）'!K14</f>
        <v>0.51677852348993292</v>
      </c>
      <c r="N12" s="4">
        <f>'件数(合算）'!K14</f>
        <v>0.51677852348993292</v>
      </c>
      <c r="O12" s="3">
        <f>ROUND($D12*'件数(合算）'!P14,0)</f>
        <v>3</v>
      </c>
      <c r="P12" s="3">
        <f>ROUND($D12*'件数(合算）'!Q14,0)</f>
        <v>4</v>
      </c>
      <c r="Q12" s="3">
        <f>ROUND($D12*'件数(合算）'!R14,0)</f>
        <v>6</v>
      </c>
      <c r="R12" s="3">
        <f>ROUND($D12*'件数(合算）'!S14,0)</f>
        <v>5</v>
      </c>
      <c r="S12" s="3">
        <f>ROUND($D12*'件数(合算）'!T14,0)</f>
        <v>5</v>
      </c>
      <c r="T12" s="3">
        <f>ROUND($D12*'件数(合算）'!U14,0)</f>
        <v>5</v>
      </c>
      <c r="U12" s="3">
        <f>ROUND($D12*'件数(合算）'!V14,0)</f>
        <v>5</v>
      </c>
      <c r="V12" s="3">
        <f>ROUND($D12*'件数(合算）'!W14,0)</f>
        <v>5</v>
      </c>
      <c r="W12" s="3">
        <f>ROUND($D12*'件数(合算）'!X14,0)</f>
        <v>5</v>
      </c>
      <c r="X12" s="3">
        <f>ROUND($D12*'件数(合算）'!Y14,0)</f>
        <v>6</v>
      </c>
      <c r="Y12" s="3">
        <f>ROUND($D12*'件数(合算）'!Z14,0)</f>
        <v>6</v>
      </c>
      <c r="Z12" s="3">
        <f>ROUND($C12*'件数(合算）'!AA14,0)</f>
        <v>3</v>
      </c>
      <c r="AA12" s="3">
        <f>ROUND($C12*'件数(合算）'!AB14,0)</f>
        <v>3</v>
      </c>
      <c r="AB12" s="3">
        <f>ROUND($C12*'件数(合算）'!AC14,0)</f>
        <v>3</v>
      </c>
      <c r="AC12" s="3">
        <f>ROUND($C12*'件数(合算）'!AD14,0)</f>
        <v>3</v>
      </c>
      <c r="AD12" s="3">
        <f>ROUND($C12*'件数(合算）'!AE14,0)</f>
        <v>4</v>
      </c>
      <c r="AE12" s="3">
        <f>ROUND($C12*'件数(合算）'!AF14,0)</f>
        <v>6</v>
      </c>
      <c r="AF12" s="3">
        <f>ROUND($C12*'件数(合算）'!AG14,0)</f>
        <v>3</v>
      </c>
      <c r="AG12" s="3">
        <f>ROUND($C12*'件数(合算）'!AH14,0)</f>
        <v>3</v>
      </c>
      <c r="AH12" s="3">
        <f>ROUND($C12*'件数(合算）'!AI14,0)</f>
        <v>3</v>
      </c>
      <c r="AI12" s="3">
        <f>ROUND($C12*'件数(合算）'!AJ14,0)</f>
        <v>3</v>
      </c>
      <c r="AJ12" s="3">
        <f>ROUND($C12*'件数(合算）'!AK14,0)</f>
        <v>3</v>
      </c>
      <c r="AK12" s="3">
        <f>ROUND($C12*'件数(合算）'!AL14,0)</f>
        <v>4</v>
      </c>
      <c r="AL12" s="3">
        <f>ROUND($C12*'件数(合算）'!AM14,0)</f>
        <v>5</v>
      </c>
      <c r="AM12" s="3">
        <f>ROUND($C12*'件数(合算）'!AN14,0)</f>
        <v>5</v>
      </c>
      <c r="AN12" s="3">
        <f>ROUND($C12*'件数(合算）'!AO14,0)</f>
        <v>3</v>
      </c>
      <c r="AO12" s="3">
        <f>ROUND($C12*'件数(合算）'!AP14,0)</f>
        <v>3</v>
      </c>
      <c r="AP12" s="3">
        <f>ROUND($C12*'件数(合算）'!AQ14,0)</f>
        <v>3</v>
      </c>
      <c r="AQ12" s="3">
        <f>ROUND($C12*'件数(合算）'!AR14,0)</f>
        <v>3</v>
      </c>
      <c r="AR12" s="3">
        <f>ROUND($C12*'件数(合算）'!AS14,0)</f>
        <v>4</v>
      </c>
      <c r="AS12" s="3">
        <f>ROUND($C12*'件数(合算）'!AT14,0)</f>
        <v>5</v>
      </c>
      <c r="AT12" s="3">
        <f>ROUND($C12*'件数(合算）'!AU14,0)</f>
        <v>3</v>
      </c>
      <c r="AU12" s="3">
        <f>ROUND($C12*'件数(合算）'!AV14,0)</f>
        <v>3</v>
      </c>
      <c r="AV12" s="10">
        <f t="shared" si="3"/>
        <v>115</v>
      </c>
    </row>
    <row r="13" spans="1:48" ht="22" customHeight="1">
      <c r="A13" s="34">
        <v>139771</v>
      </c>
      <c r="B13" s="35" t="s">
        <v>53</v>
      </c>
      <c r="C13" s="37">
        <f>'件数(合算）'!K15</f>
        <v>0.24175824175824179</v>
      </c>
      <c r="D13" s="4">
        <f>'件数(合算）'!M15</f>
        <v>0.27300000000000002</v>
      </c>
      <c r="E13" s="49">
        <f>'件数(合算）'!E15</f>
        <v>8300</v>
      </c>
      <c r="F13" s="49">
        <f>'件数(合算）'!F15</f>
        <v>8300</v>
      </c>
      <c r="G13" s="53"/>
      <c r="K13" s="37">
        <f>'件数(合算）'!K15</f>
        <v>0.24175824175824179</v>
      </c>
      <c r="L13" s="37">
        <f>'件数(合算）'!K15</f>
        <v>0.24175824175824179</v>
      </c>
      <c r="M13" s="37">
        <f>'件数(合算）'!K15</f>
        <v>0.24175824175824179</v>
      </c>
      <c r="N13" s="37">
        <f>'件数(合算）'!K15</f>
        <v>0.24175824175824179</v>
      </c>
      <c r="O13" s="36">
        <f>ROUND($D13*'件数(合算）'!P15,0)</f>
        <v>4</v>
      </c>
      <c r="P13" s="36">
        <f>ROUND($D13*'件数(合算）'!Q15,0)</f>
        <v>5</v>
      </c>
      <c r="Q13" s="36">
        <f>ROUND($D13*'件数(合算）'!R15,0)</f>
        <v>4</v>
      </c>
      <c r="R13" s="36">
        <f>ROUND($D13*'件数(合算）'!S15,0)</f>
        <v>4</v>
      </c>
      <c r="S13" s="36">
        <f>ROUND($D13*'件数(合算）'!T15,0)</f>
        <v>4</v>
      </c>
      <c r="T13" s="36">
        <f>ROUND($D13*'件数(合算）'!U15,0)</f>
        <v>3</v>
      </c>
      <c r="U13" s="36">
        <f>ROUND($D13*'件数(合算）'!V15,0)</f>
        <v>2</v>
      </c>
      <c r="V13" s="36">
        <f>ROUND($D13*'件数(合算）'!W15,0)</f>
        <v>5</v>
      </c>
      <c r="W13" s="36">
        <f>ROUND($D13*'件数(合算）'!X15,0)</f>
        <v>7</v>
      </c>
      <c r="X13" s="36">
        <f>ROUND($D13*'件数(合算）'!Y15,0)</f>
        <v>5</v>
      </c>
      <c r="Y13" s="36">
        <f>ROUND($D13*'件数(合算）'!Z15,0)</f>
        <v>4</v>
      </c>
      <c r="Z13" s="36">
        <f>ROUND($C13*'件数(合算）'!AA15,0)</f>
        <v>2</v>
      </c>
      <c r="AA13" s="36">
        <f>ROUND($C13*'件数(合算）'!AB15,0)</f>
        <v>2</v>
      </c>
      <c r="AB13" s="36">
        <f>ROUND($C13*'件数(合算）'!AC15,0)</f>
        <v>2</v>
      </c>
      <c r="AC13" s="36">
        <f>ROUND($C13*'件数(合算）'!AD15,0)</f>
        <v>2</v>
      </c>
      <c r="AD13" s="36">
        <f>ROUND($C13*'件数(合算）'!AE15,0)</f>
        <v>2</v>
      </c>
      <c r="AE13" s="36">
        <f>ROUND($C13*'件数(合算）'!AF15,0)</f>
        <v>2</v>
      </c>
      <c r="AF13" s="36">
        <f>ROUND($C13*'件数(合算）'!AG15,0)</f>
        <v>2</v>
      </c>
      <c r="AG13" s="36">
        <f>ROUND($C13*'件数(合算）'!AH15,0)</f>
        <v>2</v>
      </c>
      <c r="AH13" s="36">
        <f>ROUND($C13*'件数(合算）'!AI15,0)</f>
        <v>2</v>
      </c>
      <c r="AI13" s="36">
        <f>ROUND($C13*'件数(合算）'!AJ15,0)</f>
        <v>2</v>
      </c>
      <c r="AJ13" s="36">
        <f>ROUND($C13*'件数(合算）'!AK15,0)</f>
        <v>2</v>
      </c>
      <c r="AK13" s="36">
        <f>ROUND($C13*'件数(合算）'!AL15,0)</f>
        <v>2</v>
      </c>
      <c r="AL13" s="36">
        <f>ROUND($C13*'件数(合算）'!AM15,0)</f>
        <v>2</v>
      </c>
      <c r="AM13" s="36">
        <f>ROUND($C13*'件数(合算）'!AN15,0)</f>
        <v>2</v>
      </c>
      <c r="AN13" s="36">
        <f>ROUND($C13*'件数(合算）'!AO15,0)</f>
        <v>2</v>
      </c>
      <c r="AO13" s="36">
        <f>ROUND($C13*'件数(合算）'!AP15,0)</f>
        <v>2</v>
      </c>
      <c r="AP13" s="36">
        <f>ROUND($C13*'件数(合算）'!AQ15,0)</f>
        <v>2</v>
      </c>
      <c r="AQ13" s="36">
        <f>ROUND($C13*'件数(合算）'!AR15,0)</f>
        <v>2</v>
      </c>
      <c r="AR13" s="36">
        <f>ROUND($C13*'件数(合算）'!AS15,0)</f>
        <v>3</v>
      </c>
      <c r="AS13" s="36">
        <f>ROUND($C13*'件数(合算）'!AT15,0)</f>
        <v>3</v>
      </c>
      <c r="AT13" s="36">
        <f>ROUND($C13*'件数(合算）'!AU15,0)</f>
        <v>2</v>
      </c>
      <c r="AU13" s="36">
        <f>ROUND($C13*'件数(合算）'!AV15,0)</f>
        <v>2</v>
      </c>
      <c r="AV13" s="10">
        <f t="shared" si="3"/>
        <v>81</v>
      </c>
    </row>
    <row r="14" spans="1:48" ht="22" customHeight="1">
      <c r="A14" s="26">
        <v>335161</v>
      </c>
      <c r="B14" s="27" t="s">
        <v>55</v>
      </c>
      <c r="C14" s="4">
        <f>'件数(合算）'!K16</f>
        <v>0.26022304832713761</v>
      </c>
      <c r="D14" s="4">
        <f>'件数(合算）'!M16</f>
        <v>0.36799999999999999</v>
      </c>
      <c r="E14" s="5">
        <f>'件数(合算）'!E16</f>
        <v>18000</v>
      </c>
      <c r="F14" s="5">
        <f>'件数(合算）'!F16</f>
        <v>18000</v>
      </c>
      <c r="G14" s="53"/>
      <c r="K14" s="4">
        <f>'件数(合算）'!K16</f>
        <v>0.26022304832713761</v>
      </c>
      <c r="L14" s="4">
        <f>'件数(合算）'!K16</f>
        <v>0.26022304832713761</v>
      </c>
      <c r="M14" s="4">
        <f>'件数(合算）'!K16</f>
        <v>0.26022304832713761</v>
      </c>
      <c r="N14" s="4">
        <f>'件数(合算）'!K16</f>
        <v>0.26022304832713761</v>
      </c>
      <c r="O14" s="3">
        <f>ROUND($D14*'件数(合算）'!P16,0)</f>
        <v>3</v>
      </c>
      <c r="P14" s="3">
        <f>ROUND($D14*'件数(合算）'!Q16,0)</f>
        <v>3</v>
      </c>
      <c r="Q14" s="3">
        <f>ROUND($D14*'件数(合算）'!R16,0)</f>
        <v>3</v>
      </c>
      <c r="R14" s="3">
        <f>ROUND($D14*'件数(合算）'!S16,0)</f>
        <v>3</v>
      </c>
      <c r="S14" s="3">
        <f>ROUND($D14*'件数(合算）'!T16,0)</f>
        <v>3</v>
      </c>
      <c r="T14" s="3">
        <f>ROUND($D14*'件数(合算）'!U16,0)</f>
        <v>3</v>
      </c>
      <c r="U14" s="3">
        <f>ROUND($D14*'件数(合算）'!V16,0)</f>
        <v>3</v>
      </c>
      <c r="V14" s="3">
        <f>ROUND($D14*'件数(合算）'!W16,0)</f>
        <v>3</v>
      </c>
      <c r="W14" s="3">
        <f>ROUND($D14*'件数(合算）'!X16,0)</f>
        <v>3</v>
      </c>
      <c r="X14" s="3">
        <f>ROUND($D14*'件数(合算）'!Y16,0)</f>
        <v>4</v>
      </c>
      <c r="Y14" s="3">
        <f>ROUND($D14*'件数(合算）'!Z16,0)</f>
        <v>3</v>
      </c>
      <c r="Z14" s="3">
        <f>ROUND($C14*'件数(合算）'!AA16,0)</f>
        <v>2</v>
      </c>
      <c r="AA14" s="3">
        <f>ROUND($C14*'件数(合算）'!AB16,0)</f>
        <v>2</v>
      </c>
      <c r="AB14" s="3">
        <f>ROUND($C14*'件数(合算）'!AC16,0)</f>
        <v>2</v>
      </c>
      <c r="AC14" s="3">
        <f>ROUND($C14*'件数(合算）'!AD16,0)</f>
        <v>2</v>
      </c>
      <c r="AD14" s="3">
        <f>ROUND($C14*'件数(合算）'!AE16,0)</f>
        <v>2</v>
      </c>
      <c r="AE14" s="3">
        <f>ROUND($C14*'件数(合算）'!AF16,0)</f>
        <v>2</v>
      </c>
      <c r="AF14" s="3">
        <f>ROUND($C14*'件数(合算）'!AG16,0)</f>
        <v>2</v>
      </c>
      <c r="AG14" s="3">
        <f>ROUND($C14*'件数(合算）'!AH16,0)</f>
        <v>2</v>
      </c>
      <c r="AH14" s="3">
        <f>ROUND($C14*'件数(合算）'!AI16,0)</f>
        <v>2</v>
      </c>
      <c r="AI14" s="3">
        <f>ROUND($C14*'件数(合算）'!AJ16,0)</f>
        <v>2</v>
      </c>
      <c r="AJ14" s="3">
        <f>ROUND($C14*'件数(合算）'!AK16,0)</f>
        <v>2</v>
      </c>
      <c r="AK14" s="3">
        <f>ROUND($C14*'件数(合算）'!AL16,0)</f>
        <v>2</v>
      </c>
      <c r="AL14" s="3">
        <f>ROUND($C14*'件数(合算）'!AM16,0)</f>
        <v>2</v>
      </c>
      <c r="AM14" s="3">
        <f>ROUND($C14*'件数(合算）'!AN16,0)</f>
        <v>3</v>
      </c>
      <c r="AN14" s="3">
        <f>ROUND($C14*'件数(合算）'!AO16,0)</f>
        <v>2</v>
      </c>
      <c r="AO14" s="3">
        <f>ROUND($C14*'件数(合算）'!AP16,0)</f>
        <v>2</v>
      </c>
      <c r="AP14" s="3">
        <f>ROUND($C14*'件数(合算）'!AQ16,0)</f>
        <v>2</v>
      </c>
      <c r="AQ14" s="3">
        <f>ROUND($C14*'件数(合算）'!AR16,0)</f>
        <v>2</v>
      </c>
      <c r="AR14" s="3">
        <f>ROUND($C14*'件数(合算）'!AS16,0)</f>
        <v>2</v>
      </c>
      <c r="AS14" s="3">
        <f>ROUND($C14*'件数(合算）'!AT16,0)</f>
        <v>2</v>
      </c>
      <c r="AT14" s="3">
        <f>ROUND($C14*'件数(合算）'!AU16,0)</f>
        <v>2</v>
      </c>
      <c r="AU14" s="3">
        <f>ROUND($C14*'件数(合算）'!AV16,0)</f>
        <v>2</v>
      </c>
      <c r="AV14" s="10">
        <f t="shared" si="3"/>
        <v>69</v>
      </c>
    </row>
    <row r="15" spans="1:48" ht="22" customHeight="1">
      <c r="A15" s="34">
        <v>391847</v>
      </c>
      <c r="B15" s="35" t="s">
        <v>57</v>
      </c>
      <c r="C15" s="37">
        <f>'件数(合算）'!K17</f>
        <v>0.65372168284789645</v>
      </c>
      <c r="D15" s="4">
        <f>'件数(合算）'!M17</f>
        <v>0.65372168284789645</v>
      </c>
      <c r="E15" s="49">
        <f>'件数(合算）'!E17</f>
        <v>18000</v>
      </c>
      <c r="F15" s="49">
        <f>'件数(合算）'!F17</f>
        <v>18000</v>
      </c>
      <c r="G15" s="53"/>
      <c r="K15" s="37">
        <f>'件数(合算）'!K17</f>
        <v>0.65372168284789645</v>
      </c>
      <c r="L15" s="37">
        <f>'件数(合算）'!K17</f>
        <v>0.65372168284789645</v>
      </c>
      <c r="M15" s="37">
        <f>'件数(合算）'!K17</f>
        <v>0.65372168284789645</v>
      </c>
      <c r="N15" s="37">
        <f>'件数(合算）'!K17</f>
        <v>0.65372168284789645</v>
      </c>
      <c r="O15" s="36">
        <f>ROUND($D15*'件数(合算）'!P17,0)</f>
        <v>5</v>
      </c>
      <c r="P15" s="36">
        <f>ROUND($D15*'件数(合算）'!Q17,0)</f>
        <v>5</v>
      </c>
      <c r="Q15" s="36">
        <f>ROUND($D15*'件数(合算）'!R17,0)</f>
        <v>7</v>
      </c>
      <c r="R15" s="36">
        <f>ROUND($D15*'件数(合算）'!S17,0)</f>
        <v>5</v>
      </c>
      <c r="S15" s="36">
        <f>ROUND($D15*'件数(合算）'!T17,0)</f>
        <v>5</v>
      </c>
      <c r="T15" s="36">
        <f>ROUND($D15*'件数(合算）'!U17,0)</f>
        <v>5</v>
      </c>
      <c r="U15" s="36">
        <f>ROUND($D15*'件数(合算）'!V17,0)</f>
        <v>5</v>
      </c>
      <c r="V15" s="36">
        <f>ROUND($D15*'件数(合算）'!W17,0)</f>
        <v>5</v>
      </c>
      <c r="W15" s="36">
        <f>ROUND($D15*'件数(合算）'!X17,0)</f>
        <v>5</v>
      </c>
      <c r="X15" s="36">
        <f>ROUND($D15*'件数(合算）'!Y17,0)</f>
        <v>11</v>
      </c>
      <c r="Y15" s="36">
        <f>ROUND($D15*'件数(合算）'!Z17,0)</f>
        <v>8</v>
      </c>
      <c r="Z15" s="36">
        <f>ROUND($C15*'件数(合算）'!AA17,0)</f>
        <v>5</v>
      </c>
      <c r="AA15" s="36">
        <f>ROUND($C15*'件数(合算）'!AB17,0)</f>
        <v>5</v>
      </c>
      <c r="AB15" s="36">
        <f>ROUND($C15*'件数(合算）'!AC17,0)</f>
        <v>5</v>
      </c>
      <c r="AC15" s="36">
        <f>ROUND($C15*'件数(合算）'!AD17,0)</f>
        <v>5</v>
      </c>
      <c r="AD15" s="36">
        <f>ROUND($C15*'件数(合算）'!AE17,0)</f>
        <v>5</v>
      </c>
      <c r="AE15" s="36">
        <f>ROUND($C15*'件数(合算）'!AF17,0)</f>
        <v>6</v>
      </c>
      <c r="AF15" s="36">
        <f>ROUND($C15*'件数(合算）'!AG17,0)</f>
        <v>5</v>
      </c>
      <c r="AG15" s="36">
        <f>ROUND($C15*'件数(合算）'!AH17,0)</f>
        <v>5</v>
      </c>
      <c r="AH15" s="36">
        <f>ROUND($C15*'件数(合算）'!AI17,0)</f>
        <v>5</v>
      </c>
      <c r="AI15" s="36">
        <f>ROUND($C15*'件数(合算）'!AJ17,0)</f>
        <v>5</v>
      </c>
      <c r="AJ15" s="36">
        <f>ROUND($C15*'件数(合算）'!AK17,0)</f>
        <v>5</v>
      </c>
      <c r="AK15" s="36">
        <f>ROUND($C15*'件数(合算）'!AL17,0)</f>
        <v>5</v>
      </c>
      <c r="AL15" s="36">
        <f>ROUND($C15*'件数(合算）'!AM17,0)</f>
        <v>6</v>
      </c>
      <c r="AM15" s="36">
        <f>ROUND($C15*'件数(合算）'!AN17,0)</f>
        <v>7</v>
      </c>
      <c r="AN15" s="36">
        <f>ROUND($C15*'件数(合算）'!AO17,0)</f>
        <v>5</v>
      </c>
      <c r="AO15" s="36">
        <f>ROUND($C15*'件数(合算）'!AP17,0)</f>
        <v>5</v>
      </c>
      <c r="AP15" s="36">
        <f>ROUND($C15*'件数(合算）'!AQ17,0)</f>
        <v>5</v>
      </c>
      <c r="AQ15" s="36">
        <f>ROUND($C15*'件数(合算）'!AR17,0)</f>
        <v>5</v>
      </c>
      <c r="AR15" s="36">
        <f>ROUND($C15*'件数(合算）'!AS17,0)</f>
        <v>5</v>
      </c>
      <c r="AS15" s="36">
        <f>ROUND($C15*'件数(合算）'!AT17,0)</f>
        <v>6</v>
      </c>
      <c r="AT15" s="36">
        <f>ROUND($C15*'件数(合算）'!AU17,0)</f>
        <v>5</v>
      </c>
      <c r="AU15" s="36">
        <f>ROUND($C15*'件数(合算）'!AV17,0)</f>
        <v>5</v>
      </c>
      <c r="AV15" s="10">
        <f t="shared" si="3"/>
        <v>155</v>
      </c>
    </row>
    <row r="16" spans="1:48" ht="22" customHeight="1">
      <c r="A16" s="26">
        <v>387654</v>
      </c>
      <c r="B16" s="27" t="s">
        <v>59</v>
      </c>
      <c r="C16" s="4">
        <f>'件数(合算）'!K18</f>
        <v>0.1404761904761905</v>
      </c>
      <c r="D16" s="4">
        <f>'件数(合算）'!M18</f>
        <v>0.108</v>
      </c>
      <c r="E16" s="5">
        <f>'件数(合算）'!E18</f>
        <v>12000</v>
      </c>
      <c r="F16" s="5">
        <f>'件数(合算）'!F18</f>
        <v>12000</v>
      </c>
      <c r="G16" s="53"/>
      <c r="K16" s="4">
        <f>'件数(合算）'!K18</f>
        <v>0.1404761904761905</v>
      </c>
      <c r="L16" s="4">
        <f>'件数(合算）'!K18</f>
        <v>0.1404761904761905</v>
      </c>
      <c r="M16" s="4">
        <f>'件数(合算）'!K18</f>
        <v>0.1404761904761905</v>
      </c>
      <c r="N16" s="4">
        <f>'件数(合算）'!K18</f>
        <v>0.1404761904761905</v>
      </c>
      <c r="O16" s="3">
        <f>ROUND($D16*'件数(合算）'!P18,0)</f>
        <v>2</v>
      </c>
      <c r="P16" s="3">
        <f>ROUND($D16*'件数(合算）'!Q18,0)</f>
        <v>4</v>
      </c>
      <c r="Q16" s="3">
        <f>ROUND($D16*'件数(合算）'!R18,0)</f>
        <v>3</v>
      </c>
      <c r="R16" s="3">
        <f>ROUND($D16*'件数(合算）'!S18,0)</f>
        <v>5</v>
      </c>
      <c r="S16" s="3">
        <f>ROUND($D16*'件数(合算）'!T18,0)</f>
        <v>6</v>
      </c>
      <c r="T16" s="3">
        <f>ROUND($D16*'件数(合算）'!U18,0)</f>
        <v>5</v>
      </c>
      <c r="U16" s="3">
        <f>ROUND($D16*'件数(合算）'!V18,0)</f>
        <v>5</v>
      </c>
      <c r="V16" s="3">
        <f>ROUND($D16*'件数(合算）'!W18,0)</f>
        <v>4</v>
      </c>
      <c r="W16" s="3">
        <f>ROUND($D16*'件数(合算）'!X18,0)</f>
        <v>7</v>
      </c>
      <c r="X16" s="3">
        <f>ROUND($D16*'件数(合算）'!Y18,0)</f>
        <v>9</v>
      </c>
      <c r="Y16" s="3">
        <f>ROUND($D16*'件数(合算）'!Z18,0)</f>
        <v>3</v>
      </c>
      <c r="Z16" s="3">
        <f>ROUND($C16*'件数(合算）'!AA18,0)</f>
        <v>1</v>
      </c>
      <c r="AA16" s="3">
        <f>ROUND($C16*'件数(合算）'!AB18,0)</f>
        <v>1</v>
      </c>
      <c r="AB16" s="3">
        <f>ROUND($C16*'件数(合算）'!AC18,0)</f>
        <v>1</v>
      </c>
      <c r="AC16" s="3">
        <f>ROUND($C16*'件数(合算）'!AD18,0)</f>
        <v>1</v>
      </c>
      <c r="AD16" s="3">
        <f>ROUND($C16*'件数(合算）'!AE18,0)</f>
        <v>1</v>
      </c>
      <c r="AE16" s="3">
        <f>ROUND($C16*'件数(合算）'!AF18,0)</f>
        <v>2</v>
      </c>
      <c r="AF16" s="3">
        <f>ROUND($C16*'件数(合算）'!AG18,0)</f>
        <v>1</v>
      </c>
      <c r="AG16" s="3">
        <f>ROUND($C16*'件数(合算）'!AH18,0)</f>
        <v>1</v>
      </c>
      <c r="AH16" s="3">
        <f>ROUND($C16*'件数(合算）'!AI18,0)</f>
        <v>1</v>
      </c>
      <c r="AI16" s="3">
        <f>ROUND($C16*'件数(合算）'!AJ18,0)</f>
        <v>1</v>
      </c>
      <c r="AJ16" s="3">
        <f>ROUND($C16*'件数(合算）'!AK18,0)</f>
        <v>1</v>
      </c>
      <c r="AK16" s="3">
        <f>ROUND($C16*'件数(合算）'!AL18,0)</f>
        <v>1</v>
      </c>
      <c r="AL16" s="3">
        <f>ROUND($C16*'件数(合算）'!AM18,0)</f>
        <v>2</v>
      </c>
      <c r="AM16" s="3">
        <f>ROUND($C16*'件数(合算）'!AN18,0)</f>
        <v>1</v>
      </c>
      <c r="AN16" s="3">
        <f>ROUND($C16*'件数(合算）'!AO18,0)</f>
        <v>1</v>
      </c>
      <c r="AO16" s="3">
        <f>ROUND($C16*'件数(合算）'!AP18,0)</f>
        <v>1</v>
      </c>
      <c r="AP16" s="3">
        <f>ROUND($C16*'件数(合算）'!AQ18,0)</f>
        <v>1</v>
      </c>
      <c r="AQ16" s="3">
        <f>ROUND($C16*'件数(合算）'!AR18,0)</f>
        <v>1</v>
      </c>
      <c r="AR16" s="3">
        <f>ROUND($C16*'件数(合算）'!AS18,0)</f>
        <v>1</v>
      </c>
      <c r="AS16" s="3">
        <f>ROUND($C16*'件数(合算）'!AT18,0)</f>
        <v>1</v>
      </c>
      <c r="AT16" s="3">
        <f>ROUND($C16*'件数(合算）'!AU18,0)</f>
        <v>1</v>
      </c>
      <c r="AU16" s="3">
        <f>ROUND($C16*'件数(合算）'!AV18,0)</f>
        <v>1</v>
      </c>
      <c r="AV16" s="10">
        <f t="shared" si="3"/>
        <v>72</v>
      </c>
    </row>
    <row r="17" spans="1:48" ht="22" customHeight="1">
      <c r="A17" s="34">
        <v>363180</v>
      </c>
      <c r="B17" s="35" t="s">
        <v>61</v>
      </c>
      <c r="C17" s="37">
        <f>'件数(合算）'!K19</f>
        <v>0.12612612612612609</v>
      </c>
      <c r="D17" s="4">
        <f>'件数(合算）'!M19</f>
        <v>0.19</v>
      </c>
      <c r="E17" s="49">
        <f>'件数(合算）'!E19</f>
        <v>8000</v>
      </c>
      <c r="F17" s="49">
        <f>'件数(合算）'!F19</f>
        <v>8000</v>
      </c>
      <c r="G17" s="53"/>
      <c r="K17" s="37">
        <f>'件数(合算）'!K19</f>
        <v>0.12612612612612609</v>
      </c>
      <c r="L17" s="37">
        <f>'件数(合算）'!K19</f>
        <v>0.12612612612612609</v>
      </c>
      <c r="M17" s="37">
        <f>'件数(合算）'!K19</f>
        <v>0.12612612612612609</v>
      </c>
      <c r="N17" s="37">
        <f>'件数(合算）'!K19</f>
        <v>0.12612612612612609</v>
      </c>
      <c r="O17" s="36">
        <f>ROUND($D17*'件数(合算）'!P19,0)</f>
        <v>1</v>
      </c>
      <c r="P17" s="36">
        <f>ROUND($D17*'件数(合算）'!Q19,0)</f>
        <v>1</v>
      </c>
      <c r="Q17" s="36">
        <f>ROUND($D17*'件数(合算）'!R19,0)</f>
        <v>1</v>
      </c>
      <c r="R17" s="36">
        <f>ROUND($D17*'件数(合算）'!S19,0)</f>
        <v>1</v>
      </c>
      <c r="S17" s="36">
        <f>ROUND($D17*'件数(合算）'!T19,0)</f>
        <v>1</v>
      </c>
      <c r="T17" s="36">
        <f>ROUND($D17*'件数(合算）'!U19,0)</f>
        <v>1</v>
      </c>
      <c r="U17" s="36">
        <f>ROUND($D17*'件数(合算）'!V19,0)</f>
        <v>1</v>
      </c>
      <c r="V17" s="36">
        <f>ROUND($D17*'件数(合算）'!W19,0)</f>
        <v>1</v>
      </c>
      <c r="W17" s="36">
        <f>ROUND($D17*'件数(合算）'!X19,0)</f>
        <v>1</v>
      </c>
      <c r="X17" s="36">
        <f>ROUND($D17*'件数(合算）'!Y19,0)</f>
        <v>1</v>
      </c>
      <c r="Y17" s="36">
        <f>ROUND($D17*'件数(合算）'!Z19,0)</f>
        <v>1</v>
      </c>
      <c r="Z17" s="36">
        <f>ROUND($C17*'件数(合算）'!AA19,0)</f>
        <v>1</v>
      </c>
      <c r="AA17" s="36">
        <f>ROUND($C17*'件数(合算）'!AB19,0)</f>
        <v>1</v>
      </c>
      <c r="AB17" s="36">
        <f>ROUND($C17*'件数(合算）'!AC19,0)</f>
        <v>1</v>
      </c>
      <c r="AC17" s="36">
        <f>ROUND($C17*'件数(合算）'!AD19,0)</f>
        <v>1</v>
      </c>
      <c r="AD17" s="36">
        <f>ROUND($C17*'件数(合算）'!AE19,0)</f>
        <v>1</v>
      </c>
      <c r="AE17" s="36">
        <f>ROUND($C17*'件数(合算）'!AF19,0)</f>
        <v>1</v>
      </c>
      <c r="AF17" s="36">
        <f>ROUND($C17*'件数(合算）'!AG19,0)</f>
        <v>1</v>
      </c>
      <c r="AG17" s="36">
        <f>ROUND($C17*'件数(合算）'!AH19,0)</f>
        <v>1</v>
      </c>
      <c r="AH17" s="36">
        <f>ROUND($C17*'件数(合算）'!AI19,0)</f>
        <v>1</v>
      </c>
      <c r="AI17" s="36">
        <f>ROUND($C17*'件数(合算）'!AJ19,0)</f>
        <v>1</v>
      </c>
      <c r="AJ17" s="36">
        <f>ROUND($C17*'件数(合算）'!AK19,0)</f>
        <v>1</v>
      </c>
      <c r="AK17" s="36">
        <f>ROUND($C17*'件数(合算）'!AL19,0)</f>
        <v>1</v>
      </c>
      <c r="AL17" s="36">
        <f>ROUND($C17*'件数(合算）'!AM19,0)</f>
        <v>0</v>
      </c>
      <c r="AM17" s="36">
        <f>ROUND($C17*'件数(合算）'!AN19,0)</f>
        <v>0</v>
      </c>
      <c r="AN17" s="36">
        <f>ROUND($C17*'件数(合算）'!AO19,0)</f>
        <v>1</v>
      </c>
      <c r="AO17" s="36">
        <f>ROUND($C17*'件数(合算）'!AP19,0)</f>
        <v>1</v>
      </c>
      <c r="AP17" s="36">
        <f>ROUND($C17*'件数(合算）'!AQ19,0)</f>
        <v>1</v>
      </c>
      <c r="AQ17" s="36">
        <f>ROUND($C17*'件数(合算）'!AR19,0)</f>
        <v>1</v>
      </c>
      <c r="AR17" s="36">
        <f>ROUND($C17*'件数(合算）'!AS19,0)</f>
        <v>1</v>
      </c>
      <c r="AS17" s="36">
        <f>ROUND($C17*'件数(合算）'!AT19,0)</f>
        <v>1</v>
      </c>
      <c r="AT17" s="36">
        <f>ROUND($C17*'件数(合算）'!AU19,0)</f>
        <v>1</v>
      </c>
      <c r="AU17" s="36">
        <f>ROUND($C17*'件数(合算）'!AV19,0)</f>
        <v>1</v>
      </c>
      <c r="AV17" s="10">
        <f t="shared" si="3"/>
        <v>26</v>
      </c>
    </row>
    <row r="18" spans="1:48" ht="22" customHeight="1">
      <c r="A18" s="26">
        <v>391702</v>
      </c>
      <c r="B18" s="27" t="s">
        <v>63</v>
      </c>
      <c r="C18" s="4">
        <f>'件数(合算）'!K20</f>
        <v>0.22222222222222221</v>
      </c>
      <c r="D18" s="4">
        <f>'件数(合算）'!M20</f>
        <v>0.25</v>
      </c>
      <c r="E18" s="5">
        <f>'件数(合算）'!E20</f>
        <v>1300</v>
      </c>
      <c r="F18" s="5">
        <f>'件数(合算）'!F20</f>
        <v>1300</v>
      </c>
      <c r="G18" s="53"/>
      <c r="K18" s="4">
        <f>'件数(合算）'!K20</f>
        <v>0.22222222222222221</v>
      </c>
      <c r="L18" s="4">
        <f>'件数(合算）'!K20</f>
        <v>0.22222222222222221</v>
      </c>
      <c r="M18" s="4">
        <f>'件数(合算）'!K20</f>
        <v>0.22222222222222221</v>
      </c>
      <c r="N18" s="4">
        <f>'件数(合算）'!K20</f>
        <v>0.22222222222222221</v>
      </c>
      <c r="O18" s="3">
        <f>ROUND($D18*'件数(合算）'!P20,0)</f>
        <v>0</v>
      </c>
      <c r="P18" s="3">
        <f>ROUND($D18*'件数(合算）'!Q20,0)</f>
        <v>0</v>
      </c>
      <c r="Q18" s="3">
        <f>ROUND($D18*'件数(合算）'!R20,0)</f>
        <v>0</v>
      </c>
      <c r="R18" s="3">
        <f>ROUND($D18*'件数(合算）'!S20,0)</f>
        <v>0</v>
      </c>
      <c r="S18" s="3">
        <f>ROUND($D18*'件数(合算）'!T20,0)</f>
        <v>0</v>
      </c>
      <c r="T18" s="3">
        <f>ROUND($D18*'件数(合算）'!U20,0)</f>
        <v>0</v>
      </c>
      <c r="U18" s="3">
        <f>ROUND($D18*'件数(合算）'!V20,0)</f>
        <v>0</v>
      </c>
      <c r="V18" s="3">
        <f>ROUND($D18*'件数(合算）'!W20,0)</f>
        <v>0</v>
      </c>
      <c r="W18" s="3">
        <f>ROUND($D18*'件数(合算）'!X20,0)</f>
        <v>0</v>
      </c>
      <c r="X18" s="3">
        <f>ROUND($D18*'件数(合算）'!Y20,0)</f>
        <v>0</v>
      </c>
      <c r="Y18" s="3">
        <f>ROUND($D18*'件数(合算）'!Z20,0)</f>
        <v>0</v>
      </c>
      <c r="Z18" s="3">
        <f>ROUND($C18*'件数(合算）'!AA20,0)</f>
        <v>0</v>
      </c>
      <c r="AA18" s="3">
        <f>ROUND($C18*'件数(合算）'!AB20,0)</f>
        <v>0</v>
      </c>
      <c r="AB18" s="3">
        <f>ROUND($C18*'件数(合算）'!AC20,0)</f>
        <v>0</v>
      </c>
      <c r="AC18" s="3">
        <f>ROUND($C18*'件数(合算）'!AD20,0)</f>
        <v>0</v>
      </c>
      <c r="AD18" s="3">
        <f>ROUND($C18*'件数(合算）'!AE20,0)</f>
        <v>0</v>
      </c>
      <c r="AE18" s="3">
        <f>ROUND($C18*'件数(合算）'!AF20,0)</f>
        <v>0</v>
      </c>
      <c r="AF18" s="3">
        <f>ROUND($C18*'件数(合算）'!AG20,0)</f>
        <v>0</v>
      </c>
      <c r="AG18" s="3">
        <f>ROUND($C18*'件数(合算）'!AH20,0)</f>
        <v>0</v>
      </c>
      <c r="AH18" s="3">
        <f>ROUND($C18*'件数(合算）'!AI20,0)</f>
        <v>0</v>
      </c>
      <c r="AI18" s="3">
        <f>ROUND($C18*'件数(合算）'!AJ20,0)</f>
        <v>0</v>
      </c>
      <c r="AJ18" s="3">
        <f>ROUND($C18*'件数(合算）'!AK20,0)</f>
        <v>0</v>
      </c>
      <c r="AK18" s="3">
        <f>ROUND($C18*'件数(合算）'!AL20,0)</f>
        <v>0</v>
      </c>
      <c r="AL18" s="3">
        <f>ROUND($C18*'件数(合算）'!AM20,0)</f>
        <v>0</v>
      </c>
      <c r="AM18" s="3">
        <f>ROUND($C18*'件数(合算）'!AN20,0)</f>
        <v>0</v>
      </c>
      <c r="AN18" s="3">
        <f>ROUND($C18*'件数(合算）'!AO20,0)</f>
        <v>0</v>
      </c>
      <c r="AO18" s="3">
        <f>ROUND($C18*'件数(合算）'!AP20,0)</f>
        <v>0</v>
      </c>
      <c r="AP18" s="3">
        <f>ROUND($C18*'件数(合算）'!AQ20,0)</f>
        <v>0</v>
      </c>
      <c r="AQ18" s="3">
        <f>ROUND($C18*'件数(合算）'!AR20,0)</f>
        <v>0</v>
      </c>
      <c r="AR18" s="3">
        <f>ROUND($C18*'件数(合算）'!AS20,0)</f>
        <v>0</v>
      </c>
      <c r="AS18" s="3">
        <f>ROUND($C18*'件数(合算）'!AT20,0)</f>
        <v>0</v>
      </c>
      <c r="AT18" s="3">
        <f>ROUND($C18*'件数(合算）'!AU20,0)</f>
        <v>0</v>
      </c>
      <c r="AU18" s="3">
        <f>ROUND($C18*'件数(合算）'!AV20,0)</f>
        <v>0</v>
      </c>
      <c r="AV18" s="10">
        <f t="shared" si="3"/>
        <v>0</v>
      </c>
    </row>
    <row r="19" spans="1:48" ht="22" customHeight="1">
      <c r="A19" s="34">
        <v>392886</v>
      </c>
      <c r="B19" s="35" t="s">
        <v>65</v>
      </c>
      <c r="C19" s="37">
        <f>'件数(合算）'!K21</f>
        <v>0.72435897435897434</v>
      </c>
      <c r="D19" s="4">
        <f>'件数(合算）'!M21</f>
        <v>0.78200000000000003</v>
      </c>
      <c r="E19" s="49">
        <f>'件数(合算）'!E21</f>
        <v>9000</v>
      </c>
      <c r="F19" s="49">
        <f>'件数(合算）'!F21</f>
        <v>9000</v>
      </c>
      <c r="G19" s="53"/>
      <c r="K19" s="37">
        <f>'件数(合算）'!K21</f>
        <v>0.72435897435897434</v>
      </c>
      <c r="L19" s="37">
        <f>'件数(合算）'!K21</f>
        <v>0.72435897435897434</v>
      </c>
      <c r="M19" s="37">
        <f>'件数(合算）'!K21</f>
        <v>0.72435897435897434</v>
      </c>
      <c r="N19" s="37">
        <f>'件数(合算）'!K21</f>
        <v>0.72435897435897434</v>
      </c>
      <c r="O19" s="36">
        <f>ROUND($D19*'件数(合算）'!P21,0)</f>
        <v>8</v>
      </c>
      <c r="P19" s="36">
        <f>ROUND($D19*'件数(合算）'!Q21,0)</f>
        <v>5</v>
      </c>
      <c r="Q19" s="36">
        <f>ROUND($D19*'件数(合算）'!R21,0)</f>
        <v>9</v>
      </c>
      <c r="R19" s="36">
        <f>ROUND($D19*'件数(合算）'!S21,0)</f>
        <v>9</v>
      </c>
      <c r="S19" s="36">
        <f>ROUND($D19*'件数(合算）'!T21,0)</f>
        <v>9</v>
      </c>
      <c r="T19" s="36">
        <f>ROUND($D19*'件数(合算）'!U21,0)</f>
        <v>9</v>
      </c>
      <c r="U19" s="36">
        <f>ROUND($D19*'件数(合算）'!V21,0)</f>
        <v>10</v>
      </c>
      <c r="V19" s="36">
        <f>ROUND($D19*'件数(合算）'!W21,0)</f>
        <v>11</v>
      </c>
      <c r="W19" s="36">
        <f>ROUND($D19*'件数(合算）'!X21,0)</f>
        <v>9</v>
      </c>
      <c r="X19" s="36">
        <f>ROUND($D19*'件数(合算）'!Y21,0)</f>
        <v>6</v>
      </c>
      <c r="Y19" s="36">
        <f>ROUND($D19*'件数(合算）'!Z21,0)</f>
        <v>7</v>
      </c>
      <c r="Z19" s="36">
        <f>ROUND($C19*'件数(合算）'!AA21,0)</f>
        <v>2</v>
      </c>
      <c r="AA19" s="36">
        <f>ROUND($C19*'件数(合算）'!AB21,0)</f>
        <v>2</v>
      </c>
      <c r="AB19" s="36">
        <f>ROUND($C19*'件数(合算）'!AC21,0)</f>
        <v>2</v>
      </c>
      <c r="AC19" s="36">
        <f>ROUND($C19*'件数(合算）'!AD21,0)</f>
        <v>2</v>
      </c>
      <c r="AD19" s="36">
        <f>ROUND($C19*'件数(合算）'!AE21,0)</f>
        <v>5</v>
      </c>
      <c r="AE19" s="36">
        <f>ROUND($C19*'件数(合算）'!AF21,0)</f>
        <v>5</v>
      </c>
      <c r="AF19" s="36">
        <f>ROUND($C19*'件数(合算）'!AG21,0)</f>
        <v>3</v>
      </c>
      <c r="AG19" s="36">
        <f>ROUND($C19*'件数(合算）'!AH21,0)</f>
        <v>3</v>
      </c>
      <c r="AH19" s="36">
        <f>ROUND($C19*'件数(合算）'!AI21,0)</f>
        <v>3</v>
      </c>
      <c r="AI19" s="36">
        <f>ROUND($C19*'件数(合算）'!AJ21,0)</f>
        <v>3</v>
      </c>
      <c r="AJ19" s="36">
        <f>ROUND($C19*'件数(合算）'!AK21,0)</f>
        <v>3</v>
      </c>
      <c r="AK19" s="36">
        <f>ROUND($C19*'件数(合算）'!AL21,0)</f>
        <v>5</v>
      </c>
      <c r="AL19" s="36">
        <f>ROUND($C19*'件数(合算）'!AM21,0)</f>
        <v>5</v>
      </c>
      <c r="AM19" s="36">
        <f>ROUND($C19*'件数(合算）'!AN21,0)</f>
        <v>5</v>
      </c>
      <c r="AN19" s="36">
        <f>ROUND($C19*'件数(合算）'!AO21,0)</f>
        <v>3</v>
      </c>
      <c r="AO19" s="36">
        <f>ROUND($C19*'件数(合算）'!AP21,0)</f>
        <v>3</v>
      </c>
      <c r="AP19" s="36">
        <f>ROUND($C19*'件数(合算）'!AQ21,0)</f>
        <v>3</v>
      </c>
      <c r="AQ19" s="36">
        <f>ROUND($C19*'件数(合算）'!AR21,0)</f>
        <v>3</v>
      </c>
      <c r="AR19" s="36">
        <f>ROUND($C19*'件数(合算）'!AS21,0)</f>
        <v>5</v>
      </c>
      <c r="AS19" s="36">
        <f>ROUND($C19*'件数(合算）'!AT21,0)</f>
        <v>5</v>
      </c>
      <c r="AT19" s="36">
        <f>ROUND($C19*'件数(合算）'!AU21,0)</f>
        <v>3</v>
      </c>
      <c r="AU19" s="36">
        <f>ROUND($C19*'件数(合算）'!AV21,0)</f>
        <v>3</v>
      </c>
      <c r="AV19" s="10">
        <f t="shared" si="3"/>
        <v>149</v>
      </c>
    </row>
    <row r="20" spans="1:48" ht="22" customHeight="1">
      <c r="A20" s="26">
        <v>135749</v>
      </c>
      <c r="B20" s="27" t="s">
        <v>67</v>
      </c>
      <c r="C20" s="4">
        <f>'件数(合算）'!K22</f>
        <v>0.53968253968253965</v>
      </c>
      <c r="D20" s="4">
        <f>'件数(合算）'!M22</f>
        <v>0.50600000000000001</v>
      </c>
      <c r="E20" s="5">
        <f>'件数(合算）'!E22</f>
        <v>12000</v>
      </c>
      <c r="F20" s="5">
        <f>'件数(合算）'!F22</f>
        <v>12000</v>
      </c>
      <c r="G20" s="53"/>
      <c r="K20" s="4">
        <f>'件数(合算）'!K22</f>
        <v>0.53968253968253965</v>
      </c>
      <c r="L20" s="4">
        <f>'件数(合算）'!K22</f>
        <v>0.53968253968253965</v>
      </c>
      <c r="M20" s="4">
        <f>'件数(合算）'!K22</f>
        <v>0.53968253968253965</v>
      </c>
      <c r="N20" s="4">
        <f>'件数(合算）'!K22</f>
        <v>0.53968253968253965</v>
      </c>
      <c r="O20" s="3">
        <f>ROUND($D20*'件数(合算）'!P22,0)</f>
        <v>5</v>
      </c>
      <c r="P20" s="3">
        <f>ROUND($D20*'件数(合算）'!Q22,0)</f>
        <v>4</v>
      </c>
      <c r="Q20" s="3">
        <f>ROUND($D20*'件数(合算）'!R22,0)</f>
        <v>2</v>
      </c>
      <c r="R20" s="3">
        <f>ROUND($D20*'件数(合算）'!S22,0)</f>
        <v>4</v>
      </c>
      <c r="S20" s="3">
        <f>ROUND($D20*'件数(合算）'!T22,0)</f>
        <v>4</v>
      </c>
      <c r="T20" s="3">
        <f>ROUND($D20*'件数(合算）'!U22,0)</f>
        <v>6</v>
      </c>
      <c r="U20" s="3">
        <f>ROUND($D20*'件数(合算）'!V22,0)</f>
        <v>2</v>
      </c>
      <c r="V20" s="3">
        <f>ROUND($D20*'件数(合算）'!W22,0)</f>
        <v>5</v>
      </c>
      <c r="W20" s="3">
        <f>ROUND($D20*'件数(合算）'!X22,0)</f>
        <v>5</v>
      </c>
      <c r="X20" s="3">
        <f>ROUND($D20*'件数(合算）'!Y22,0)</f>
        <v>6</v>
      </c>
      <c r="Y20" s="3">
        <f>ROUND($D20*'件数(合算）'!Z22,0)</f>
        <v>4</v>
      </c>
      <c r="Z20" s="3">
        <f>ROUND($C20*'件数(合算）'!AA22,0)</f>
        <v>4</v>
      </c>
      <c r="AA20" s="3">
        <f>ROUND($C20*'件数(合算）'!AB22,0)</f>
        <v>4</v>
      </c>
      <c r="AB20" s="3">
        <f>ROUND($C20*'件数(合算）'!AC22,0)</f>
        <v>4</v>
      </c>
      <c r="AC20" s="3">
        <f>ROUND($C20*'件数(合算）'!AD22,0)</f>
        <v>4</v>
      </c>
      <c r="AD20" s="3">
        <f>ROUND($C20*'件数(合算）'!AE22,0)</f>
        <v>4</v>
      </c>
      <c r="AE20" s="3">
        <f>ROUND($C20*'件数(合算）'!AF22,0)</f>
        <v>5</v>
      </c>
      <c r="AF20" s="3">
        <f>ROUND($C20*'件数(合算）'!AG22,0)</f>
        <v>4</v>
      </c>
      <c r="AG20" s="3">
        <f>ROUND($C20*'件数(合算）'!AH22,0)</f>
        <v>4</v>
      </c>
      <c r="AH20" s="3">
        <f>ROUND($C20*'件数(合算）'!AI22,0)</f>
        <v>4</v>
      </c>
      <c r="AI20" s="3">
        <f>ROUND($C20*'件数(合算）'!AJ22,0)</f>
        <v>4</v>
      </c>
      <c r="AJ20" s="3">
        <f>ROUND($C20*'件数(合算）'!AK22,0)</f>
        <v>4</v>
      </c>
      <c r="AK20" s="3">
        <f>ROUND($C20*'件数(合算）'!AL22,0)</f>
        <v>4</v>
      </c>
      <c r="AL20" s="3">
        <f>ROUND($C20*'件数(合算）'!AM22,0)</f>
        <v>5</v>
      </c>
      <c r="AM20" s="3">
        <f>ROUND($C20*'件数(合算）'!AN22,0)</f>
        <v>5</v>
      </c>
      <c r="AN20" s="3">
        <f>ROUND($C20*'件数(合算）'!AO22,0)</f>
        <v>4</v>
      </c>
      <c r="AO20" s="3">
        <f>ROUND($C20*'件数(合算）'!AP22,0)</f>
        <v>4</v>
      </c>
      <c r="AP20" s="3">
        <f>ROUND($C20*'件数(合算）'!AQ22,0)</f>
        <v>4</v>
      </c>
      <c r="AQ20" s="3">
        <f>ROUND($C20*'件数(合算）'!AR22,0)</f>
        <v>4</v>
      </c>
      <c r="AR20" s="3">
        <f>ROUND($C20*'件数(合算）'!AS22,0)</f>
        <v>4</v>
      </c>
      <c r="AS20" s="3">
        <f>ROUND($C20*'件数(合算）'!AT22,0)</f>
        <v>5</v>
      </c>
      <c r="AT20" s="3">
        <f>ROUND($C20*'件数(合算）'!AU22,0)</f>
        <v>4</v>
      </c>
      <c r="AU20" s="3">
        <f>ROUND($C20*'件数(合算）'!AV22,0)</f>
        <v>4</v>
      </c>
      <c r="AV20" s="10">
        <f t="shared" si="3"/>
        <v>118</v>
      </c>
    </row>
    <row r="21" spans="1:48" ht="22" customHeight="1">
      <c r="A21" s="34">
        <v>392013</v>
      </c>
      <c r="B21" s="35" t="s">
        <v>69</v>
      </c>
      <c r="C21" s="37">
        <f>'件数(合算）'!K23</f>
        <v>0.2857142857142857</v>
      </c>
      <c r="D21" s="4">
        <f>'件数(合算）'!M23</f>
        <v>0.38600000000000001</v>
      </c>
      <c r="E21" s="49">
        <f>'件数(合算）'!E23</f>
        <v>12000</v>
      </c>
      <c r="F21" s="49">
        <f>'件数(合算）'!F23</f>
        <v>12000</v>
      </c>
      <c r="G21" s="53"/>
      <c r="K21" s="37">
        <f>'件数(合算）'!K23</f>
        <v>0.2857142857142857</v>
      </c>
      <c r="L21" s="37">
        <f>'件数(合算）'!K23</f>
        <v>0.2857142857142857</v>
      </c>
      <c r="M21" s="37">
        <f>'件数(合算）'!K23</f>
        <v>0.2857142857142857</v>
      </c>
      <c r="N21" s="37">
        <f>'件数(合算）'!K23</f>
        <v>0.2857142857142857</v>
      </c>
      <c r="O21" s="36">
        <f>ROUND($D21*'件数(合算）'!P23,0)</f>
        <v>9</v>
      </c>
      <c r="P21" s="36">
        <f>ROUND($D21*'件数(合算）'!Q23,0)</f>
        <v>11</v>
      </c>
      <c r="Q21" s="36">
        <f>ROUND($D21*'件数(合算）'!R23,0)</f>
        <v>12</v>
      </c>
      <c r="R21" s="36">
        <f>ROUND($D21*'件数(合算）'!S23,0)</f>
        <v>10</v>
      </c>
      <c r="S21" s="36">
        <f>ROUND($D21*'件数(合算）'!T23,0)</f>
        <v>13</v>
      </c>
      <c r="T21" s="36">
        <f>ROUND($D21*'件数(合算）'!U23,0)</f>
        <v>15</v>
      </c>
      <c r="U21" s="36">
        <f>ROUND($D21*'件数(合算）'!V23,0)</f>
        <v>10</v>
      </c>
      <c r="V21" s="36">
        <f>ROUND($D21*'件数(合算）'!W23,0)</f>
        <v>10</v>
      </c>
      <c r="W21" s="36">
        <f>ROUND($D21*'件数(合算）'!X23,0)</f>
        <v>10</v>
      </c>
      <c r="X21" s="36">
        <f>ROUND($D21*'件数(合算）'!Y23,0)</f>
        <v>15</v>
      </c>
      <c r="Y21" s="36">
        <f>ROUND($D21*'件数(合算）'!Z23,0)</f>
        <v>8</v>
      </c>
      <c r="Z21" s="36">
        <f>ROUND($C21*'件数(合算）'!AA23,0)</f>
        <v>1</v>
      </c>
      <c r="AA21" s="36">
        <f>ROUND($C21*'件数(合算）'!AB23,0)</f>
        <v>1</v>
      </c>
      <c r="AB21" s="36">
        <f>ROUND($C21*'件数(合算）'!AC23,0)</f>
        <v>1</v>
      </c>
      <c r="AC21" s="36">
        <f>ROUND($C21*'件数(合算）'!AD23,0)</f>
        <v>1</v>
      </c>
      <c r="AD21" s="36">
        <f>ROUND($C21*'件数(合算）'!AE23,0)</f>
        <v>1</v>
      </c>
      <c r="AE21" s="36">
        <f>ROUND($C21*'件数(合算）'!AF23,0)</f>
        <v>1</v>
      </c>
      <c r="AF21" s="36">
        <f>ROUND($C21*'件数(合算）'!AG23,0)</f>
        <v>1</v>
      </c>
      <c r="AG21" s="36">
        <f>ROUND($C21*'件数(合算）'!AH23,0)</f>
        <v>2</v>
      </c>
      <c r="AH21" s="36">
        <f>ROUND($C21*'件数(合算）'!AI23,0)</f>
        <v>2</v>
      </c>
      <c r="AI21" s="36">
        <f>ROUND($C21*'件数(合算）'!AJ23,0)</f>
        <v>1</v>
      </c>
      <c r="AJ21" s="36">
        <f>ROUND($C21*'件数(合算）'!AK23,0)</f>
        <v>1</v>
      </c>
      <c r="AK21" s="36">
        <f>ROUND($C21*'件数(合算）'!AL23,0)</f>
        <v>1</v>
      </c>
      <c r="AL21" s="36">
        <f>ROUND($C21*'件数(合算）'!AM23,0)</f>
        <v>1</v>
      </c>
      <c r="AM21" s="36">
        <f>ROUND($C21*'件数(合算）'!AN23,0)</f>
        <v>1</v>
      </c>
      <c r="AN21" s="36">
        <f>ROUND($C21*'件数(合算）'!AO23,0)</f>
        <v>1</v>
      </c>
      <c r="AO21" s="36">
        <f>ROUND($C21*'件数(合算）'!AP23,0)</f>
        <v>1</v>
      </c>
      <c r="AP21" s="36">
        <f>ROUND($C21*'件数(合算）'!AQ23,0)</f>
        <v>1</v>
      </c>
      <c r="AQ21" s="36">
        <f>ROUND($C21*'件数(合算）'!AR23,0)</f>
        <v>1</v>
      </c>
      <c r="AR21" s="36">
        <f>ROUND($C21*'件数(合算）'!AS23,0)</f>
        <v>1</v>
      </c>
      <c r="AS21" s="36">
        <f>ROUND($C21*'件数(合算）'!AT23,0)</f>
        <v>1</v>
      </c>
      <c r="AT21" s="36">
        <f>ROUND($C21*'件数(合算）'!AU23,0)</f>
        <v>1</v>
      </c>
      <c r="AU21" s="36">
        <f>ROUND($C21*'件数(合算）'!AV23,0)</f>
        <v>1</v>
      </c>
      <c r="AV21" s="10">
        <f t="shared" si="3"/>
        <v>142</v>
      </c>
    </row>
    <row r="22" spans="1:48" ht="22" customHeight="1">
      <c r="A22" s="26">
        <v>355413</v>
      </c>
      <c r="B22" s="27" t="s">
        <v>71</v>
      </c>
      <c r="C22" s="4">
        <f>'件数(合算）'!K24</f>
        <v>8.9743589743589744E-2</v>
      </c>
      <c r="D22" s="4">
        <f>'件数(合算）'!M24</f>
        <v>0.24199999999999999</v>
      </c>
      <c r="E22" s="5">
        <f>'件数(合算）'!E24</f>
        <v>4000</v>
      </c>
      <c r="F22" s="5">
        <f>'件数(合算）'!F24</f>
        <v>4000</v>
      </c>
      <c r="G22" s="53"/>
      <c r="K22" s="4">
        <f>'件数(合算）'!K24</f>
        <v>8.9743589743589744E-2</v>
      </c>
      <c r="L22" s="4">
        <f>'件数(合算）'!K24</f>
        <v>8.9743589743589744E-2</v>
      </c>
      <c r="M22" s="4">
        <f>'件数(合算）'!K24</f>
        <v>8.9743589743589744E-2</v>
      </c>
      <c r="N22" s="4">
        <f>'件数(合算）'!K24</f>
        <v>8.9743589743589744E-2</v>
      </c>
      <c r="O22" s="3">
        <f>ROUND($D22*'件数(合算）'!P24,0)</f>
        <v>1</v>
      </c>
      <c r="P22" s="3">
        <f>ROUND($D22*'件数(合算）'!Q24,0)</f>
        <v>1</v>
      </c>
      <c r="Q22" s="3">
        <f>ROUND($D22*'件数(合算）'!R24,0)</f>
        <v>1</v>
      </c>
      <c r="R22" s="3">
        <f>ROUND($D22*'件数(合算）'!S24,0)</f>
        <v>1</v>
      </c>
      <c r="S22" s="3">
        <f>ROUND($D22*'件数(合算）'!T24,0)</f>
        <v>1</v>
      </c>
      <c r="T22" s="3">
        <f>ROUND($D22*'件数(合算）'!U24,0)</f>
        <v>1</v>
      </c>
      <c r="U22" s="3">
        <f>ROUND($D22*'件数(合算）'!V24,0)</f>
        <v>1</v>
      </c>
      <c r="V22" s="3">
        <f>ROUND($D22*'件数(合算）'!W24,0)</f>
        <v>1</v>
      </c>
      <c r="W22" s="3">
        <f>ROUND($D22*'件数(合算）'!X24,0)</f>
        <v>1</v>
      </c>
      <c r="X22" s="3">
        <f>ROUND($D22*'件数(合算）'!Y24,0)</f>
        <v>0</v>
      </c>
      <c r="Y22" s="3">
        <f>ROUND($D22*'件数(合算）'!Z24,0)</f>
        <v>0</v>
      </c>
      <c r="Z22" s="3">
        <f>ROUND($C22*'件数(合算）'!AA24,0)</f>
        <v>0</v>
      </c>
      <c r="AA22" s="3">
        <f>ROUND($C22*'件数(合算）'!AB24,0)</f>
        <v>0</v>
      </c>
      <c r="AB22" s="3">
        <f>ROUND($C22*'件数(合算）'!AC24,0)</f>
        <v>0</v>
      </c>
      <c r="AC22" s="3">
        <f>ROUND($C22*'件数(合算）'!AD24,0)</f>
        <v>0</v>
      </c>
      <c r="AD22" s="3">
        <f>ROUND($C22*'件数(合算）'!AE24,0)</f>
        <v>0</v>
      </c>
      <c r="AE22" s="3">
        <f>ROUND($C22*'件数(合算）'!AF24,0)</f>
        <v>0</v>
      </c>
      <c r="AF22" s="3">
        <f>ROUND($C22*'件数(合算）'!AG24,0)</f>
        <v>0</v>
      </c>
      <c r="AG22" s="3">
        <f>ROUND($C22*'件数(合算）'!AH24,0)</f>
        <v>0</v>
      </c>
      <c r="AH22" s="3">
        <f>ROUND($C22*'件数(合算）'!AI24,0)</f>
        <v>0</v>
      </c>
      <c r="AI22" s="3">
        <f>ROUND($C22*'件数(合算）'!AJ24,0)</f>
        <v>0</v>
      </c>
      <c r="AJ22" s="3">
        <f>ROUND($C22*'件数(合算）'!AK24,0)</f>
        <v>0</v>
      </c>
      <c r="AK22" s="3">
        <f>ROUND($C22*'件数(合算）'!AL24,0)</f>
        <v>0</v>
      </c>
      <c r="AL22" s="3">
        <f>ROUND($C22*'件数(合算）'!AM24,0)</f>
        <v>0</v>
      </c>
      <c r="AM22" s="3">
        <f>ROUND($C22*'件数(合算）'!AN24,0)</f>
        <v>0</v>
      </c>
      <c r="AN22" s="3">
        <f>ROUND($C22*'件数(合算）'!AO24,0)</f>
        <v>0</v>
      </c>
      <c r="AO22" s="3">
        <f>ROUND($C22*'件数(合算）'!AP24,0)</f>
        <v>0</v>
      </c>
      <c r="AP22" s="3">
        <f>ROUND($C22*'件数(合算）'!AQ24,0)</f>
        <v>0</v>
      </c>
      <c r="AQ22" s="3">
        <f>ROUND($C22*'件数(合算）'!AR24,0)</f>
        <v>0</v>
      </c>
      <c r="AR22" s="3">
        <f>ROUND($C22*'件数(合算）'!AS24,0)</f>
        <v>0</v>
      </c>
      <c r="AS22" s="3">
        <f>ROUND($C22*'件数(合算）'!AT24,0)</f>
        <v>0</v>
      </c>
      <c r="AT22" s="3">
        <f>ROUND($C22*'件数(合算）'!AU24,0)</f>
        <v>0</v>
      </c>
      <c r="AU22" s="3">
        <f>ROUND($C22*'件数(合算）'!AV24,0)</f>
        <v>0</v>
      </c>
      <c r="AV22" s="10">
        <f t="shared" si="3"/>
        <v>9</v>
      </c>
    </row>
    <row r="23" spans="1:48" ht="22" customHeight="1">
      <c r="A23" s="34">
        <v>379186</v>
      </c>
      <c r="B23" s="35" t="s">
        <v>73</v>
      </c>
      <c r="C23" s="37">
        <f>'件数(合算）'!K25</f>
        <v>0.23809523809523811</v>
      </c>
      <c r="D23" s="4">
        <f>'件数(合算）'!M25</f>
        <v>0.2</v>
      </c>
      <c r="E23" s="49">
        <f>'件数(合算）'!E25</f>
        <v>18000</v>
      </c>
      <c r="F23" s="49">
        <f>'件数(合算）'!F25</f>
        <v>18000</v>
      </c>
      <c r="G23" s="53"/>
      <c r="K23" s="37">
        <f>'件数(合算）'!K25</f>
        <v>0.23809523809523811</v>
      </c>
      <c r="L23" s="37">
        <f>'件数(合算）'!K25</f>
        <v>0.23809523809523811</v>
      </c>
      <c r="M23" s="37">
        <f>'件数(合算）'!K25</f>
        <v>0.23809523809523811</v>
      </c>
      <c r="N23" s="37">
        <f>'件数(合算）'!K25</f>
        <v>0.23809523809523811</v>
      </c>
      <c r="O23" s="36">
        <f>ROUND($D23*'件数(合算）'!P25,0)</f>
        <v>0</v>
      </c>
      <c r="P23" s="36">
        <f>ROUND($D23*'件数(合算）'!Q25,0)</f>
        <v>0</v>
      </c>
      <c r="Q23" s="36">
        <f>ROUND($D23*'件数(合算）'!R25,0)</f>
        <v>1</v>
      </c>
      <c r="R23" s="36">
        <f>ROUND($D23*'件数(合算）'!S25,0)</f>
        <v>0</v>
      </c>
      <c r="S23" s="36">
        <f>ROUND($D23*'件数(合算）'!T25,0)</f>
        <v>0</v>
      </c>
      <c r="T23" s="36">
        <f>ROUND($D23*'件数(合算）'!U25,0)</f>
        <v>0</v>
      </c>
      <c r="U23" s="36">
        <f>ROUND($D23*'件数(合算）'!V25,0)</f>
        <v>0</v>
      </c>
      <c r="V23" s="36">
        <f>ROUND($D23*'件数(合算）'!W25,0)</f>
        <v>0</v>
      </c>
      <c r="W23" s="36">
        <f>ROUND($D23*'件数(合算）'!X25,0)</f>
        <v>0</v>
      </c>
      <c r="X23" s="36">
        <f>ROUND($D23*'件数(合算）'!Y25,0)</f>
        <v>1</v>
      </c>
      <c r="Y23" s="36">
        <f>ROUND($D23*'件数(合算）'!Z25,0)</f>
        <v>0</v>
      </c>
      <c r="Z23" s="36">
        <f>ROUND($C23*'件数(合算）'!AA25,0)</f>
        <v>0</v>
      </c>
      <c r="AA23" s="36">
        <f>ROUND($C23*'件数(合算）'!AB25,0)</f>
        <v>0</v>
      </c>
      <c r="AB23" s="36">
        <f>ROUND($C23*'件数(合算）'!AC25,0)</f>
        <v>0</v>
      </c>
      <c r="AC23" s="36">
        <f>ROUND($C23*'件数(合算）'!AD25,0)</f>
        <v>0</v>
      </c>
      <c r="AD23" s="36">
        <f>ROUND($C23*'件数(合算）'!AE25,0)</f>
        <v>0</v>
      </c>
      <c r="AE23" s="36">
        <f>ROUND($C23*'件数(合算）'!AF25,0)</f>
        <v>1</v>
      </c>
      <c r="AF23" s="36">
        <f>ROUND($C23*'件数(合算）'!AG25,0)</f>
        <v>0</v>
      </c>
      <c r="AG23" s="36">
        <f>ROUND($C23*'件数(合算）'!AH25,0)</f>
        <v>1</v>
      </c>
      <c r="AH23" s="36">
        <f>ROUND($C23*'件数(合算）'!AI25,0)</f>
        <v>1</v>
      </c>
      <c r="AI23" s="36">
        <f>ROUND($C23*'件数(合算）'!AJ25,0)</f>
        <v>1</v>
      </c>
      <c r="AJ23" s="36">
        <f>ROUND($C23*'件数(合算）'!AK25,0)</f>
        <v>1</v>
      </c>
      <c r="AK23" s="36">
        <f>ROUND($C23*'件数(合算）'!AL25,0)</f>
        <v>0</v>
      </c>
      <c r="AL23" s="36">
        <f>ROUND($C23*'件数(合算）'!AM25,0)</f>
        <v>0</v>
      </c>
      <c r="AM23" s="36">
        <f>ROUND($C23*'件数(合算）'!AN25,0)</f>
        <v>0</v>
      </c>
      <c r="AN23" s="36">
        <f>ROUND($C23*'件数(合算）'!AO25,0)</f>
        <v>1</v>
      </c>
      <c r="AO23" s="36">
        <f>ROUND($C23*'件数(合算）'!AP25,0)</f>
        <v>1</v>
      </c>
      <c r="AP23" s="36">
        <f>ROUND($C23*'件数(合算）'!AQ25,0)</f>
        <v>1</v>
      </c>
      <c r="AQ23" s="36">
        <f>ROUND($C23*'件数(合算）'!AR25,0)</f>
        <v>1</v>
      </c>
      <c r="AR23" s="36">
        <f>ROUND($C23*'件数(合算）'!AS25,0)</f>
        <v>1</v>
      </c>
      <c r="AS23" s="36">
        <f>ROUND($C23*'件数(合算）'!AT25,0)</f>
        <v>1</v>
      </c>
      <c r="AT23" s="36">
        <f>ROUND($C23*'件数(合算）'!AU25,0)</f>
        <v>1</v>
      </c>
      <c r="AU23" s="36">
        <f>ROUND($C23*'件数(合算）'!AV25,0)</f>
        <v>1</v>
      </c>
      <c r="AV23" s="10">
        <f t="shared" si="3"/>
        <v>10</v>
      </c>
    </row>
    <row r="24" spans="1:48" ht="22" customHeight="1">
      <c r="A24" s="26">
        <v>129217</v>
      </c>
      <c r="B24" s="27" t="s">
        <v>75</v>
      </c>
      <c r="C24" s="4">
        <f>'件数(合算）'!K26</f>
        <v>0.33750000000000002</v>
      </c>
      <c r="D24" s="4">
        <f>'件数(合算）'!M26</f>
        <v>0.60499999999999998</v>
      </c>
      <c r="E24" s="5">
        <f>'件数(合算）'!E26</f>
        <v>14000</v>
      </c>
      <c r="F24" s="5">
        <f>'件数(合算）'!F26</f>
        <v>14000</v>
      </c>
      <c r="G24" s="53"/>
      <c r="K24" s="4">
        <f>'件数(合算）'!K26</f>
        <v>0.33750000000000002</v>
      </c>
      <c r="L24" s="4">
        <f>'件数(合算）'!K26</f>
        <v>0.33750000000000002</v>
      </c>
      <c r="M24" s="4">
        <f>'件数(合算）'!K26</f>
        <v>0.33750000000000002</v>
      </c>
      <c r="N24" s="4">
        <f>'件数(合算）'!K26</f>
        <v>0.33750000000000002</v>
      </c>
      <c r="O24" s="3">
        <f>ROUND($D24*'件数(合算）'!P26,0)</f>
        <v>2</v>
      </c>
      <c r="P24" s="3">
        <f>ROUND($D24*'件数(合算）'!Q26,0)</f>
        <v>1</v>
      </c>
      <c r="Q24" s="3">
        <f>ROUND($D24*'件数(合算）'!R26,0)</f>
        <v>1</v>
      </c>
      <c r="R24" s="3">
        <f>ROUND($D24*'件数(合算）'!S26,0)</f>
        <v>2</v>
      </c>
      <c r="S24" s="3">
        <f>ROUND($D24*'件数(合算）'!T26,0)</f>
        <v>2</v>
      </c>
      <c r="T24" s="3">
        <f>ROUND($D24*'件数(合算）'!U26,0)</f>
        <v>2</v>
      </c>
      <c r="U24" s="3">
        <f>ROUND($D24*'件数(合算）'!V26,0)</f>
        <v>2</v>
      </c>
      <c r="V24" s="3">
        <f>ROUND($D24*'件数(合算）'!W26,0)</f>
        <v>2</v>
      </c>
      <c r="W24" s="3">
        <f>ROUND($D24*'件数(合算）'!X26,0)</f>
        <v>1</v>
      </c>
      <c r="X24" s="3">
        <f>ROUND($D24*'件数(合算）'!Y26,0)</f>
        <v>1</v>
      </c>
      <c r="Y24" s="3">
        <f>ROUND($D24*'件数(合算）'!Z26,0)</f>
        <v>2</v>
      </c>
      <c r="Z24" s="3">
        <f>ROUND($C24*'件数(合算）'!AA26,0)</f>
        <v>1</v>
      </c>
      <c r="AA24" s="3">
        <f>ROUND($C24*'件数(合算）'!AB26,0)</f>
        <v>1</v>
      </c>
      <c r="AB24" s="3">
        <f>ROUND($C24*'件数(合算）'!AC26,0)</f>
        <v>1</v>
      </c>
      <c r="AC24" s="3">
        <f>ROUND($C24*'件数(合算）'!AD26,0)</f>
        <v>1</v>
      </c>
      <c r="AD24" s="3">
        <f>ROUND($C24*'件数(合算）'!AE26,0)</f>
        <v>0</v>
      </c>
      <c r="AE24" s="3">
        <f>ROUND($C24*'件数(合算）'!AF26,0)</f>
        <v>0</v>
      </c>
      <c r="AF24" s="3">
        <f>ROUND($C24*'件数(合算）'!AG26,0)</f>
        <v>1</v>
      </c>
      <c r="AG24" s="3">
        <f>ROUND($C24*'件数(合算）'!AH26,0)</f>
        <v>1</v>
      </c>
      <c r="AH24" s="3">
        <f>ROUND($C24*'件数(合算）'!AI26,0)</f>
        <v>1</v>
      </c>
      <c r="AI24" s="3">
        <f>ROUND($C24*'件数(合算）'!AJ26,0)</f>
        <v>1</v>
      </c>
      <c r="AJ24" s="3">
        <f>ROUND($C24*'件数(合算）'!AK26,0)</f>
        <v>1</v>
      </c>
      <c r="AK24" s="3">
        <f>ROUND($C24*'件数(合算）'!AL26,0)</f>
        <v>0</v>
      </c>
      <c r="AL24" s="3">
        <f>ROUND($C24*'件数(合算）'!AM26,0)</f>
        <v>0</v>
      </c>
      <c r="AM24" s="3">
        <f>ROUND($C24*'件数(合算）'!AN26,0)</f>
        <v>1</v>
      </c>
      <c r="AN24" s="3">
        <f>ROUND($C24*'件数(合算）'!AO26,0)</f>
        <v>1</v>
      </c>
      <c r="AO24" s="3">
        <f>ROUND($C24*'件数(合算）'!AP26,0)</f>
        <v>1</v>
      </c>
      <c r="AP24" s="3">
        <f>ROUND($C24*'件数(合算）'!AQ26,0)</f>
        <v>1</v>
      </c>
      <c r="AQ24" s="3">
        <f>ROUND($C24*'件数(合算）'!AR26,0)</f>
        <v>1</v>
      </c>
      <c r="AR24" s="3">
        <f>ROUND($C24*'件数(合算）'!AS26,0)</f>
        <v>0</v>
      </c>
      <c r="AS24" s="3">
        <f>ROUND($C24*'件数(合算）'!AT26,0)</f>
        <v>0</v>
      </c>
      <c r="AT24" s="3">
        <f>ROUND($C24*'件数(合算）'!AU26,0)</f>
        <v>1</v>
      </c>
      <c r="AU24" s="3">
        <f>ROUND($C24*'件数(合算）'!AV26,0)</f>
        <v>1</v>
      </c>
      <c r="AV24" s="10">
        <f t="shared" si="3"/>
        <v>31</v>
      </c>
    </row>
    <row r="25" spans="1:48" ht="22" customHeight="1">
      <c r="A25" s="34">
        <v>391206</v>
      </c>
      <c r="B25" s="35" t="s">
        <v>77</v>
      </c>
      <c r="C25" s="37">
        <f>'件数(合算）'!K27</f>
        <v>9.0909090909090912E-2</v>
      </c>
      <c r="D25" s="4">
        <f>'件数(合算）'!M27</f>
        <v>6.5000000000000002E-2</v>
      </c>
      <c r="E25" s="49">
        <f>'件数(合算）'!E27</f>
        <v>4000</v>
      </c>
      <c r="F25" s="49">
        <f>'件数(合算）'!F27</f>
        <v>4000</v>
      </c>
      <c r="G25" s="53"/>
      <c r="K25" s="37">
        <f>'件数(合算）'!K27</f>
        <v>9.0909090909090912E-2</v>
      </c>
      <c r="L25" s="37">
        <f>'件数(合算）'!K27</f>
        <v>9.0909090909090912E-2</v>
      </c>
      <c r="M25" s="37">
        <f>'件数(合算）'!K27</f>
        <v>9.0909090909090912E-2</v>
      </c>
      <c r="N25" s="37">
        <f>'件数(合算）'!K27</f>
        <v>9.0909090909090912E-2</v>
      </c>
      <c r="O25" s="36">
        <f>ROUND($D25*'件数(合算）'!P27,0)</f>
        <v>1</v>
      </c>
      <c r="P25" s="36">
        <f>ROUND($D25*'件数(合算）'!Q27,0)</f>
        <v>1</v>
      </c>
      <c r="Q25" s="36">
        <f>ROUND($D25*'件数(合算）'!R27,0)</f>
        <v>1</v>
      </c>
      <c r="R25" s="36">
        <f>ROUND($D25*'件数(合算）'!S27,0)</f>
        <v>1</v>
      </c>
      <c r="S25" s="36">
        <f>ROUND($D25*'件数(合算）'!T27,0)</f>
        <v>1</v>
      </c>
      <c r="T25" s="36">
        <f>ROUND($D25*'件数(合算）'!U27,0)</f>
        <v>1</v>
      </c>
      <c r="U25" s="36">
        <f>ROUND($D25*'件数(合算）'!V27,0)</f>
        <v>1</v>
      </c>
      <c r="V25" s="36">
        <f>ROUND($D25*'件数(合算）'!W27,0)</f>
        <v>1</v>
      </c>
      <c r="W25" s="36">
        <f>ROUND($D25*'件数(合算）'!X27,0)</f>
        <v>1</v>
      </c>
      <c r="X25" s="36">
        <f>ROUND($D25*'件数(合算）'!Y27,0)</f>
        <v>1</v>
      </c>
      <c r="Y25" s="36">
        <f>ROUND($D25*'件数(合算）'!Z27,0)</f>
        <v>1</v>
      </c>
      <c r="Z25" s="36">
        <f>ROUND($C25*'件数(合算）'!AA27,0)</f>
        <v>0</v>
      </c>
      <c r="AA25" s="36">
        <f>ROUND($C25*'件数(合算）'!AB27,0)</f>
        <v>0</v>
      </c>
      <c r="AB25" s="36">
        <f>ROUND($C25*'件数(合算）'!AC27,0)</f>
        <v>0</v>
      </c>
      <c r="AC25" s="36">
        <f>ROUND($C25*'件数(合算）'!AD27,0)</f>
        <v>0</v>
      </c>
      <c r="AD25" s="36">
        <f>ROUND($C25*'件数(合算）'!AE27,0)</f>
        <v>1</v>
      </c>
      <c r="AE25" s="36">
        <f>ROUND($C25*'件数(合算）'!AF27,0)</f>
        <v>1</v>
      </c>
      <c r="AF25" s="36">
        <f>ROUND($C25*'件数(合算）'!AG27,0)</f>
        <v>0</v>
      </c>
      <c r="AG25" s="36">
        <f>ROUND($C25*'件数(合算）'!AH27,0)</f>
        <v>0</v>
      </c>
      <c r="AH25" s="36">
        <f>ROUND($C25*'件数(合算）'!AI27,0)</f>
        <v>0</v>
      </c>
      <c r="AI25" s="36">
        <f>ROUND($C25*'件数(合算）'!AJ27,0)</f>
        <v>0</v>
      </c>
      <c r="AJ25" s="36">
        <f>ROUND($C25*'件数(合算）'!AK27,0)</f>
        <v>0</v>
      </c>
      <c r="AK25" s="36">
        <f>ROUND($C25*'件数(合算）'!AL27,0)</f>
        <v>1</v>
      </c>
      <c r="AL25" s="36">
        <f>ROUND($C25*'件数(合算）'!AM27,0)</f>
        <v>1</v>
      </c>
      <c r="AM25" s="36">
        <f>ROUND($C25*'件数(合算）'!AN27,0)</f>
        <v>1</v>
      </c>
      <c r="AN25" s="36">
        <f>ROUND($C25*'件数(合算）'!AO27,0)</f>
        <v>0</v>
      </c>
      <c r="AO25" s="36">
        <f>ROUND($C25*'件数(合算）'!AP27,0)</f>
        <v>0</v>
      </c>
      <c r="AP25" s="36">
        <f>ROUND($C25*'件数(合算）'!AQ27,0)</f>
        <v>0</v>
      </c>
      <c r="AQ25" s="36">
        <f>ROUND($C25*'件数(合算）'!AR27,0)</f>
        <v>0</v>
      </c>
      <c r="AR25" s="36">
        <f>ROUND($C25*'件数(合算）'!AS27,0)</f>
        <v>1</v>
      </c>
      <c r="AS25" s="36">
        <f>ROUND($C25*'件数(合算）'!AT27,0)</f>
        <v>1</v>
      </c>
      <c r="AT25" s="36">
        <f>ROUND($C25*'件数(合算）'!AU27,0)</f>
        <v>0</v>
      </c>
      <c r="AU25" s="36">
        <f>ROUND($C25*'件数(合算）'!AV27,0)</f>
        <v>0</v>
      </c>
      <c r="AV25" s="10">
        <f t="shared" si="3"/>
        <v>16</v>
      </c>
    </row>
    <row r="26" spans="1:48" ht="22" customHeight="1">
      <c r="A26" s="26">
        <v>386941</v>
      </c>
      <c r="B26" s="27" t="s">
        <v>79</v>
      </c>
      <c r="C26" s="4">
        <f>'件数(合算）'!K28</f>
        <v>0.3923076923076923</v>
      </c>
      <c r="D26" s="4">
        <f>'件数(合算）'!M28</f>
        <v>0.52200000000000002</v>
      </c>
      <c r="E26" s="5">
        <f>'件数(合算）'!E28</f>
        <v>8200</v>
      </c>
      <c r="F26" s="5">
        <f>'件数(合算）'!F28</f>
        <v>8200</v>
      </c>
      <c r="G26" s="53"/>
      <c r="K26" s="4">
        <f>'件数(合算）'!K28</f>
        <v>0.3923076923076923</v>
      </c>
      <c r="L26" s="4">
        <f>'件数(合算）'!K28</f>
        <v>0.3923076923076923</v>
      </c>
      <c r="M26" s="4">
        <f>'件数(合算）'!K28</f>
        <v>0.3923076923076923</v>
      </c>
      <c r="N26" s="4">
        <f>'件数(合算）'!K28</f>
        <v>0.3923076923076923</v>
      </c>
      <c r="O26" s="3">
        <f>ROUND($D26*'件数(合算）'!P28,0)</f>
        <v>4</v>
      </c>
      <c r="P26" s="3">
        <f>ROUND($D26*'件数(合算）'!Q28,0)</f>
        <v>4</v>
      </c>
      <c r="Q26" s="3">
        <f>ROUND($D26*'件数(合算）'!R28,0)</f>
        <v>5</v>
      </c>
      <c r="R26" s="3">
        <f>ROUND($D26*'件数(合算）'!S28,0)</f>
        <v>4</v>
      </c>
      <c r="S26" s="3">
        <f>ROUND($D26*'件数(合算）'!T28,0)</f>
        <v>4</v>
      </c>
      <c r="T26" s="3">
        <f>ROUND($D26*'件数(合算）'!U28,0)</f>
        <v>4</v>
      </c>
      <c r="U26" s="3">
        <f>ROUND($D26*'件数(合算）'!V28,0)</f>
        <v>4</v>
      </c>
      <c r="V26" s="3">
        <f>ROUND($D26*'件数(合算）'!W28,0)</f>
        <v>3</v>
      </c>
      <c r="W26" s="3">
        <f>ROUND($D26*'件数(合算）'!X28,0)</f>
        <v>4</v>
      </c>
      <c r="X26" s="3">
        <f>ROUND($D26*'件数(合算）'!Y28,0)</f>
        <v>2</v>
      </c>
      <c r="Y26" s="3">
        <f>ROUND($D26*'件数(合算）'!Z28,0)</f>
        <v>1</v>
      </c>
      <c r="Z26" s="3">
        <f>ROUND($C26*'件数(合算）'!AA28,0)</f>
        <v>1</v>
      </c>
      <c r="AA26" s="3">
        <f>ROUND($C26*'件数(合算）'!AB28,0)</f>
        <v>1</v>
      </c>
      <c r="AB26" s="3">
        <f>ROUND($C26*'件数(合算）'!AC28,0)</f>
        <v>1</v>
      </c>
      <c r="AC26" s="3">
        <f>ROUND($C26*'件数(合算）'!AD28,0)</f>
        <v>1</v>
      </c>
      <c r="AD26" s="3">
        <f>ROUND($C26*'件数(合算）'!AE28,0)</f>
        <v>1</v>
      </c>
      <c r="AE26" s="3">
        <f>ROUND($C26*'件数(合算）'!AF28,0)</f>
        <v>1</v>
      </c>
      <c r="AF26" s="3">
        <f>ROUND($C26*'件数(合算）'!AG28,0)</f>
        <v>1</v>
      </c>
      <c r="AG26" s="3">
        <f>ROUND($C26*'件数(合算）'!AH28,0)</f>
        <v>1</v>
      </c>
      <c r="AH26" s="3">
        <f>ROUND($C26*'件数(合算）'!AI28,0)</f>
        <v>1</v>
      </c>
      <c r="AI26" s="3">
        <f>ROUND($C26*'件数(合算）'!AJ28,0)</f>
        <v>1</v>
      </c>
      <c r="AJ26" s="3">
        <f>ROUND($C26*'件数(合算）'!AK28,0)</f>
        <v>1</v>
      </c>
      <c r="AK26" s="3">
        <f>ROUND($C26*'件数(合算）'!AL28,0)</f>
        <v>0</v>
      </c>
      <c r="AL26" s="3">
        <f>ROUND($C26*'件数(合算）'!AM28,0)</f>
        <v>1</v>
      </c>
      <c r="AM26" s="3">
        <f>ROUND($C26*'件数(合算）'!AN28,0)</f>
        <v>0</v>
      </c>
      <c r="AN26" s="3">
        <f>ROUND($C26*'件数(合算）'!AO28,0)</f>
        <v>2</v>
      </c>
      <c r="AO26" s="3">
        <f>ROUND($C26*'件数(合算）'!AP28,0)</f>
        <v>2</v>
      </c>
      <c r="AP26" s="3">
        <f>ROUND($C26*'件数(合算）'!AQ28,0)</f>
        <v>2</v>
      </c>
      <c r="AQ26" s="3">
        <f>ROUND($C26*'件数(合算）'!AR28,0)</f>
        <v>2</v>
      </c>
      <c r="AR26" s="3">
        <f>ROUND($C26*'件数(合算）'!AS28,0)</f>
        <v>1</v>
      </c>
      <c r="AS26" s="3">
        <f>ROUND($C26*'件数(合算）'!AT28,0)</f>
        <v>2</v>
      </c>
      <c r="AT26" s="3">
        <f>ROUND($C26*'件数(合算）'!AU28,0)</f>
        <v>2</v>
      </c>
      <c r="AU26" s="3">
        <f>ROUND($C26*'件数(合算）'!AV28,0)</f>
        <v>2</v>
      </c>
      <c r="AV26" s="10">
        <f t="shared" si="3"/>
        <v>57</v>
      </c>
    </row>
    <row r="27" spans="1:48" ht="22" customHeight="1">
      <c r="A27" s="34">
        <v>370582</v>
      </c>
      <c r="B27" s="35" t="s">
        <v>81</v>
      </c>
      <c r="C27" s="37">
        <f>'件数(合算）'!K29</f>
        <v>0.19626168224299059</v>
      </c>
      <c r="D27" s="4">
        <f>'件数(合算）'!M29</f>
        <v>0.13</v>
      </c>
      <c r="E27" s="49">
        <f>'件数(合算）'!E29</f>
        <v>17000</v>
      </c>
      <c r="F27" s="49">
        <f>'件数(合算）'!F29</f>
        <v>17000</v>
      </c>
      <c r="G27" s="53"/>
      <c r="K27" s="37">
        <f>'件数(合算）'!K29</f>
        <v>0.19626168224299059</v>
      </c>
      <c r="L27" s="37">
        <f>'件数(合算）'!K29</f>
        <v>0.19626168224299059</v>
      </c>
      <c r="M27" s="37">
        <f>'件数(合算）'!K29</f>
        <v>0.19626168224299059</v>
      </c>
      <c r="N27" s="37">
        <f>'件数(合算）'!K29</f>
        <v>0.19626168224299059</v>
      </c>
      <c r="O27" s="36">
        <f>ROUND($D27*'件数(合算）'!P29,0)</f>
        <v>1</v>
      </c>
      <c r="P27" s="36">
        <f>ROUND($D27*'件数(合算）'!Q29,0)</f>
        <v>1</v>
      </c>
      <c r="Q27" s="36">
        <f>ROUND($D27*'件数(合算）'!R29,0)</f>
        <v>1</v>
      </c>
      <c r="R27" s="36">
        <f>ROUND($D27*'件数(合算）'!S29,0)</f>
        <v>1</v>
      </c>
      <c r="S27" s="36">
        <f>ROUND($D27*'件数(合算）'!T29,0)</f>
        <v>1</v>
      </c>
      <c r="T27" s="36">
        <f>ROUND($D27*'件数(合算）'!U29,0)</f>
        <v>1</v>
      </c>
      <c r="U27" s="36">
        <f>ROUND($D27*'件数(合算）'!V29,0)</f>
        <v>1</v>
      </c>
      <c r="V27" s="36">
        <f>ROUND($D27*'件数(合算）'!W29,0)</f>
        <v>1</v>
      </c>
      <c r="W27" s="36">
        <f>ROUND($D27*'件数(合算）'!X29,0)</f>
        <v>1</v>
      </c>
      <c r="X27" s="36">
        <f>ROUND($D27*'件数(合算）'!Y29,0)</f>
        <v>1</v>
      </c>
      <c r="Y27" s="36">
        <f>ROUND($D27*'件数(合算）'!Z29,0)</f>
        <v>1</v>
      </c>
      <c r="Z27" s="36">
        <f>ROUND($C27*'件数(合算）'!AA29,0)</f>
        <v>0</v>
      </c>
      <c r="AA27" s="36">
        <f>ROUND($C27*'件数(合算）'!AB29,0)</f>
        <v>0</v>
      </c>
      <c r="AB27" s="36">
        <f>ROUND($C27*'件数(合算）'!AC29,0)</f>
        <v>0</v>
      </c>
      <c r="AC27" s="36">
        <f>ROUND($C27*'件数(合算）'!AD29,0)</f>
        <v>0</v>
      </c>
      <c r="AD27" s="36">
        <f>ROUND($C27*'件数(合算）'!AE29,0)</f>
        <v>1</v>
      </c>
      <c r="AE27" s="36">
        <f>ROUND($C27*'件数(合算）'!AF29,0)</f>
        <v>1</v>
      </c>
      <c r="AF27" s="36">
        <f>ROUND($C27*'件数(合算）'!AG29,0)</f>
        <v>0</v>
      </c>
      <c r="AG27" s="36">
        <f>ROUND($C27*'件数(合算）'!AH29,0)</f>
        <v>0</v>
      </c>
      <c r="AH27" s="36">
        <f>ROUND($C27*'件数(合算）'!AI29,0)</f>
        <v>0</v>
      </c>
      <c r="AI27" s="36">
        <f>ROUND($C27*'件数(合算）'!AJ29,0)</f>
        <v>0</v>
      </c>
      <c r="AJ27" s="36">
        <f>ROUND($C27*'件数(合算）'!AK29,0)</f>
        <v>0</v>
      </c>
      <c r="AK27" s="36">
        <f>ROUND($C27*'件数(合算）'!AL29,0)</f>
        <v>1</v>
      </c>
      <c r="AL27" s="36">
        <f>ROUND($C27*'件数(合算）'!AM29,0)</f>
        <v>1</v>
      </c>
      <c r="AM27" s="36">
        <f>ROUND($C27*'件数(合算）'!AN29,0)</f>
        <v>1</v>
      </c>
      <c r="AN27" s="36">
        <f>ROUND($C27*'件数(合算）'!AO29,0)</f>
        <v>0</v>
      </c>
      <c r="AO27" s="36">
        <f>ROUND($C27*'件数(合算）'!AP29,0)</f>
        <v>0</v>
      </c>
      <c r="AP27" s="36">
        <f>ROUND($C27*'件数(合算）'!AQ29,0)</f>
        <v>0</v>
      </c>
      <c r="AQ27" s="36">
        <f>ROUND($C27*'件数(合算）'!AR29,0)</f>
        <v>0</v>
      </c>
      <c r="AR27" s="36">
        <f>ROUND($C27*'件数(合算）'!AS29,0)</f>
        <v>1</v>
      </c>
      <c r="AS27" s="36">
        <f>ROUND($C27*'件数(合算）'!AT29,0)</f>
        <v>1</v>
      </c>
      <c r="AT27" s="36">
        <f>ROUND($C27*'件数(合算）'!AU29,0)</f>
        <v>0</v>
      </c>
      <c r="AU27" s="36">
        <f>ROUND($C27*'件数(合算）'!AV29,0)</f>
        <v>0</v>
      </c>
      <c r="AV27" s="10">
        <f t="shared" si="3"/>
        <v>16</v>
      </c>
    </row>
    <row r="28" spans="1:48" ht="22" customHeight="1">
      <c r="A28" s="26">
        <v>346991</v>
      </c>
      <c r="B28" s="27" t="s">
        <v>83</v>
      </c>
      <c r="C28" s="4">
        <f>'件数(合算）'!K30</f>
        <v>0.40136054421768708</v>
      </c>
      <c r="D28" s="4">
        <f>'件数(合算）'!M30</f>
        <v>0.34200000000000003</v>
      </c>
      <c r="E28" s="5">
        <f>'件数(合算）'!E30</f>
        <v>11000</v>
      </c>
      <c r="F28" s="5">
        <f>'件数(合算）'!F30</f>
        <v>11000</v>
      </c>
      <c r="G28" s="53"/>
      <c r="K28" s="4">
        <f>'件数(合算）'!K30</f>
        <v>0.40136054421768708</v>
      </c>
      <c r="L28" s="4">
        <f>'件数(合算）'!K30</f>
        <v>0.40136054421768708</v>
      </c>
      <c r="M28" s="4">
        <f>'件数(合算）'!K30</f>
        <v>0.40136054421768708</v>
      </c>
      <c r="N28" s="4">
        <f>'件数(合算）'!K30</f>
        <v>0.40136054421768708</v>
      </c>
      <c r="O28" s="3">
        <f>ROUND($D28*'件数(合算）'!P30,0)</f>
        <v>2</v>
      </c>
      <c r="P28" s="3">
        <f>ROUND($D28*'件数(合算）'!Q30,0)</f>
        <v>3</v>
      </c>
      <c r="Q28" s="3">
        <f>ROUND($D28*'件数(合算）'!R30,0)</f>
        <v>3</v>
      </c>
      <c r="R28" s="3">
        <f>ROUND($D28*'件数(合算）'!S30,0)</f>
        <v>2</v>
      </c>
      <c r="S28" s="3">
        <f>ROUND($D28*'件数(合算）'!T30,0)</f>
        <v>2</v>
      </c>
      <c r="T28" s="3">
        <f>ROUND($D28*'件数(合算）'!U30,0)</f>
        <v>3</v>
      </c>
      <c r="U28" s="3">
        <f>ROUND($D28*'件数(合算）'!V30,0)</f>
        <v>3</v>
      </c>
      <c r="V28" s="3">
        <f>ROUND($D28*'件数(合算）'!W30,0)</f>
        <v>2</v>
      </c>
      <c r="W28" s="3">
        <f>ROUND($D28*'件数(合算）'!X30,0)</f>
        <v>3</v>
      </c>
      <c r="X28" s="3">
        <f>ROUND($D28*'件数(合算）'!Y30,0)</f>
        <v>3</v>
      </c>
      <c r="Y28" s="3">
        <f>ROUND($D28*'件数(合算）'!Z30,0)</f>
        <v>2</v>
      </c>
      <c r="Z28" s="3">
        <f>ROUND($C28*'件数(合算）'!AA30,0)</f>
        <v>2</v>
      </c>
      <c r="AA28" s="3">
        <f>ROUND($C28*'件数(合算）'!AB30,0)</f>
        <v>2</v>
      </c>
      <c r="AB28" s="3">
        <f>ROUND($C28*'件数(合算）'!AC30,0)</f>
        <v>2</v>
      </c>
      <c r="AC28" s="3">
        <f>ROUND($C28*'件数(合算）'!AD30,0)</f>
        <v>2</v>
      </c>
      <c r="AD28" s="3">
        <f>ROUND($C28*'件数(合算）'!AE30,0)</f>
        <v>2</v>
      </c>
      <c r="AE28" s="3">
        <f>ROUND($C28*'件数(合算）'!AF30,0)</f>
        <v>2</v>
      </c>
      <c r="AF28" s="3">
        <f>ROUND($C28*'件数(合算）'!AG30,0)</f>
        <v>2</v>
      </c>
      <c r="AG28" s="3">
        <f>ROUND($C28*'件数(合算）'!AH30,0)</f>
        <v>2</v>
      </c>
      <c r="AH28" s="3">
        <f>ROUND($C28*'件数(合算）'!AI30,0)</f>
        <v>2</v>
      </c>
      <c r="AI28" s="3">
        <f>ROUND($C28*'件数(合算）'!AJ30,0)</f>
        <v>2</v>
      </c>
      <c r="AJ28" s="3">
        <f>ROUND($C28*'件数(合算）'!AK30,0)</f>
        <v>2</v>
      </c>
      <c r="AK28" s="3">
        <f>ROUND($C28*'件数(合算）'!AL30,0)</f>
        <v>2</v>
      </c>
      <c r="AL28" s="3">
        <f>ROUND($C28*'件数(合算）'!AM30,0)</f>
        <v>2</v>
      </c>
      <c r="AM28" s="3">
        <f>ROUND($C28*'件数(合算）'!AN30,0)</f>
        <v>2</v>
      </c>
      <c r="AN28" s="3">
        <f>ROUND($C28*'件数(合算）'!AO30,0)</f>
        <v>2</v>
      </c>
      <c r="AO28" s="3">
        <f>ROUND($C28*'件数(合算）'!AP30,0)</f>
        <v>2</v>
      </c>
      <c r="AP28" s="3">
        <f>ROUND($C28*'件数(合算）'!AQ30,0)</f>
        <v>2</v>
      </c>
      <c r="AQ28" s="3">
        <f>ROUND($C28*'件数(合算）'!AR30,0)</f>
        <v>2</v>
      </c>
      <c r="AR28" s="3">
        <f>ROUND($C28*'件数(合算）'!AS30,0)</f>
        <v>2</v>
      </c>
      <c r="AS28" s="3">
        <f>ROUND($C28*'件数(合算）'!AT30,0)</f>
        <v>2</v>
      </c>
      <c r="AT28" s="3">
        <f>ROUND($C28*'件数(合算）'!AU30,0)</f>
        <v>2</v>
      </c>
      <c r="AU28" s="3">
        <f>ROUND($C28*'件数(合算）'!AV30,0)</f>
        <v>2</v>
      </c>
      <c r="AV28" s="10">
        <f t="shared" si="3"/>
        <v>62</v>
      </c>
    </row>
    <row r="29" spans="1:48" ht="22" customHeight="1">
      <c r="A29" s="34">
        <v>33077</v>
      </c>
      <c r="B29" s="35" t="s">
        <v>85</v>
      </c>
      <c r="C29" s="37">
        <f>'件数(合算）'!K31</f>
        <v>0.50909090909090904</v>
      </c>
      <c r="D29" s="4">
        <f>'件数(合算）'!M31</f>
        <v>0.71399999999999997</v>
      </c>
      <c r="E29" s="49">
        <f>'件数(合算）'!E31</f>
        <v>9000</v>
      </c>
      <c r="F29" s="49">
        <f>'件数(合算）'!F31</f>
        <v>9000</v>
      </c>
      <c r="G29" s="53"/>
      <c r="K29" s="37">
        <f>'件数(合算）'!K31</f>
        <v>0.50909090909090904</v>
      </c>
      <c r="L29" s="37">
        <f>'件数(合算）'!K31</f>
        <v>0.50909090909090904</v>
      </c>
      <c r="M29" s="37">
        <f>'件数(合算）'!K31</f>
        <v>0.50909090909090904</v>
      </c>
      <c r="N29" s="37">
        <f>'件数(合算）'!K31</f>
        <v>0.50909090909090904</v>
      </c>
      <c r="O29" s="36">
        <f>ROUND($D29*'件数(合算）'!P31,0)</f>
        <v>2</v>
      </c>
      <c r="P29" s="36">
        <f>ROUND($D29*'件数(合算）'!Q31,0)</f>
        <v>2</v>
      </c>
      <c r="Q29" s="36">
        <f>ROUND($D29*'件数(合算）'!R31,0)</f>
        <v>2</v>
      </c>
      <c r="R29" s="36">
        <f>ROUND($D29*'件数(合算）'!S31,0)</f>
        <v>2</v>
      </c>
      <c r="S29" s="36">
        <f>ROUND($D29*'件数(合算）'!T31,0)</f>
        <v>2</v>
      </c>
      <c r="T29" s="36">
        <f>ROUND($D29*'件数(合算）'!U31,0)</f>
        <v>2</v>
      </c>
      <c r="U29" s="36">
        <f>ROUND($D29*'件数(合算）'!V31,0)</f>
        <v>2</v>
      </c>
      <c r="V29" s="36">
        <f>ROUND($D29*'件数(合算）'!W31,0)</f>
        <v>2</v>
      </c>
      <c r="W29" s="36">
        <f>ROUND($D29*'件数(合算）'!X31,0)</f>
        <v>2</v>
      </c>
      <c r="X29" s="36">
        <f>ROUND($D29*'件数(合算）'!Y31,0)</f>
        <v>2</v>
      </c>
      <c r="Y29" s="36">
        <f>ROUND($D29*'件数(合算）'!Z31,0)</f>
        <v>2</v>
      </c>
      <c r="Z29" s="36">
        <f>ROUND($C29*'件数(合算）'!AA31,0)</f>
        <v>1</v>
      </c>
      <c r="AA29" s="36">
        <f>ROUND($C29*'件数(合算）'!AB31,0)</f>
        <v>1</v>
      </c>
      <c r="AB29" s="36">
        <f>ROUND($C29*'件数(合算）'!AC31,0)</f>
        <v>1</v>
      </c>
      <c r="AC29" s="36">
        <f>ROUND($C29*'件数(合算）'!AD31,0)</f>
        <v>1</v>
      </c>
      <c r="AD29" s="36">
        <f>ROUND($C29*'件数(合算）'!AE31,0)</f>
        <v>1</v>
      </c>
      <c r="AE29" s="36">
        <f>ROUND($C29*'件数(合算）'!AF31,0)</f>
        <v>1</v>
      </c>
      <c r="AF29" s="36">
        <f>ROUND($C29*'件数(合算）'!AG31,0)</f>
        <v>1</v>
      </c>
      <c r="AG29" s="36">
        <f>ROUND($C29*'件数(合算）'!AH31,0)</f>
        <v>1</v>
      </c>
      <c r="AH29" s="36">
        <f>ROUND($C29*'件数(合算）'!AI31,0)</f>
        <v>1</v>
      </c>
      <c r="AI29" s="36">
        <f>ROUND($C29*'件数(合算）'!AJ31,0)</f>
        <v>1</v>
      </c>
      <c r="AJ29" s="36">
        <f>ROUND($C29*'件数(合算）'!AK31,0)</f>
        <v>1</v>
      </c>
      <c r="AK29" s="36">
        <f>ROUND($C29*'件数(合算）'!AL31,0)</f>
        <v>1</v>
      </c>
      <c r="AL29" s="36">
        <f>ROUND($C29*'件数(合算）'!AM31,0)</f>
        <v>1</v>
      </c>
      <c r="AM29" s="36">
        <f>ROUND($C29*'件数(合算）'!AN31,0)</f>
        <v>1</v>
      </c>
      <c r="AN29" s="36">
        <f>ROUND($C29*'件数(合算）'!AO31,0)</f>
        <v>1</v>
      </c>
      <c r="AO29" s="36">
        <f>ROUND($C29*'件数(合算）'!AP31,0)</f>
        <v>1</v>
      </c>
      <c r="AP29" s="36">
        <f>ROUND($C29*'件数(合算）'!AQ31,0)</f>
        <v>1</v>
      </c>
      <c r="AQ29" s="36">
        <f>ROUND($C29*'件数(合算）'!AR31,0)</f>
        <v>1</v>
      </c>
      <c r="AR29" s="36">
        <f>ROUND($C29*'件数(合算）'!AS31,0)</f>
        <v>1</v>
      </c>
      <c r="AS29" s="36">
        <f>ROUND($C29*'件数(合算）'!AT31,0)</f>
        <v>1</v>
      </c>
      <c r="AT29" s="36">
        <f>ROUND($C29*'件数(合算）'!AU31,0)</f>
        <v>1</v>
      </c>
      <c r="AU29" s="36">
        <f>ROUND($C29*'件数(合算）'!AV31,0)</f>
        <v>1</v>
      </c>
      <c r="AV29" s="10">
        <f t="shared" si="3"/>
        <v>39</v>
      </c>
    </row>
    <row r="30" spans="1:48" ht="22" customHeight="1">
      <c r="A30" s="26">
        <v>374919</v>
      </c>
      <c r="B30" s="27" t="s">
        <v>87</v>
      </c>
      <c r="C30" s="4">
        <f>'件数(合算）'!K32</f>
        <v>0.2068965517241379</v>
      </c>
      <c r="D30" s="4">
        <f>'件数(合算）'!M32</f>
        <v>0.2</v>
      </c>
      <c r="E30" s="5">
        <f>'件数(合算）'!E32</f>
        <v>6000</v>
      </c>
      <c r="F30" s="5">
        <f>'件数(合算）'!F32</f>
        <v>6000</v>
      </c>
      <c r="G30" s="53"/>
      <c r="K30" s="4">
        <f>'件数(合算）'!K32</f>
        <v>0.2068965517241379</v>
      </c>
      <c r="L30" s="4">
        <f>'件数(合算）'!K32</f>
        <v>0.2068965517241379</v>
      </c>
      <c r="M30" s="4">
        <f>'件数(合算）'!K32</f>
        <v>0.2068965517241379</v>
      </c>
      <c r="N30" s="4">
        <f>'件数(合算）'!K32</f>
        <v>0.2068965517241379</v>
      </c>
      <c r="O30" s="3">
        <f>ROUND($D30*'件数(合算）'!P32,0)</f>
        <v>1</v>
      </c>
      <c r="P30" s="3">
        <f>ROUND($D30*'件数(合算）'!Q32,0)</f>
        <v>1</v>
      </c>
      <c r="Q30" s="3">
        <f>ROUND($D30*'件数(合算）'!R32,0)</f>
        <v>1</v>
      </c>
      <c r="R30" s="3">
        <f>ROUND($D30*'件数(合算）'!S32,0)</f>
        <v>1</v>
      </c>
      <c r="S30" s="3">
        <f>ROUND($D30*'件数(合算）'!T32,0)</f>
        <v>1</v>
      </c>
      <c r="T30" s="3">
        <f>ROUND($D30*'件数(合算）'!U32,0)</f>
        <v>1</v>
      </c>
      <c r="U30" s="3">
        <f>ROUND($D30*'件数(合算）'!V32,0)</f>
        <v>1</v>
      </c>
      <c r="V30" s="3">
        <f>ROUND($D30*'件数(合算）'!W32,0)</f>
        <v>1</v>
      </c>
      <c r="W30" s="3">
        <f>ROUND($D30*'件数(合算）'!X32,0)</f>
        <v>1</v>
      </c>
      <c r="X30" s="3">
        <f>ROUND($D30*'件数(合算）'!Y32,0)</f>
        <v>1</v>
      </c>
      <c r="Y30" s="3">
        <f>ROUND($D30*'件数(合算）'!Z32,0)</f>
        <v>1</v>
      </c>
      <c r="Z30" s="3">
        <f>ROUND($C30*'件数(合算）'!AA32,0)</f>
        <v>0</v>
      </c>
      <c r="AA30" s="3">
        <f>ROUND($C30*'件数(合算）'!AB32,0)</f>
        <v>0</v>
      </c>
      <c r="AB30" s="3">
        <f>ROUND($C30*'件数(合算）'!AC32,0)</f>
        <v>0</v>
      </c>
      <c r="AC30" s="3">
        <f>ROUND($C30*'件数(合算）'!AD32,0)</f>
        <v>0</v>
      </c>
      <c r="AD30" s="3">
        <f>ROUND($C30*'件数(合算）'!AE32,0)</f>
        <v>1</v>
      </c>
      <c r="AE30" s="3">
        <f>ROUND($C30*'件数(合算）'!AF32,0)</f>
        <v>1</v>
      </c>
      <c r="AF30" s="3">
        <f>ROUND($C30*'件数(合算）'!AG32,0)</f>
        <v>0</v>
      </c>
      <c r="AG30" s="3">
        <f>ROUND($C30*'件数(合算）'!AH32,0)</f>
        <v>0</v>
      </c>
      <c r="AH30" s="3">
        <f>ROUND($C30*'件数(合算）'!AI32,0)</f>
        <v>0</v>
      </c>
      <c r="AI30" s="3">
        <f>ROUND($C30*'件数(合算）'!AJ32,0)</f>
        <v>0</v>
      </c>
      <c r="AJ30" s="3">
        <f>ROUND($C30*'件数(合算）'!AK32,0)</f>
        <v>0</v>
      </c>
      <c r="AK30" s="3">
        <f>ROUND($C30*'件数(合算）'!AL32,0)</f>
        <v>1</v>
      </c>
      <c r="AL30" s="3">
        <f>ROUND($C30*'件数(合算）'!AM32,0)</f>
        <v>1</v>
      </c>
      <c r="AM30" s="3">
        <f>ROUND($C30*'件数(合算）'!AN32,0)</f>
        <v>0</v>
      </c>
      <c r="AN30" s="3">
        <f>ROUND($C30*'件数(合算）'!AO32,0)</f>
        <v>0</v>
      </c>
      <c r="AO30" s="3">
        <f>ROUND($C30*'件数(合算）'!AP32,0)</f>
        <v>0</v>
      </c>
      <c r="AP30" s="3">
        <f>ROUND($C30*'件数(合算）'!AQ32,0)</f>
        <v>0</v>
      </c>
      <c r="AQ30" s="3">
        <f>ROUND($C30*'件数(合算）'!AR32,0)</f>
        <v>0</v>
      </c>
      <c r="AR30" s="3">
        <f>ROUND($C30*'件数(合算）'!AS32,0)</f>
        <v>0</v>
      </c>
      <c r="AS30" s="3">
        <f>ROUND($C30*'件数(合算）'!AT32,0)</f>
        <v>1</v>
      </c>
      <c r="AT30" s="3">
        <f>ROUND($C30*'件数(合算）'!AU32,0)</f>
        <v>0</v>
      </c>
      <c r="AU30" s="3">
        <f>ROUND($C30*'件数(合算）'!AV32,0)</f>
        <v>0</v>
      </c>
      <c r="AV30" s="10">
        <f t="shared" si="3"/>
        <v>15</v>
      </c>
    </row>
    <row r="31" spans="1:48" ht="22" customHeight="1">
      <c r="A31" s="34">
        <v>385218</v>
      </c>
      <c r="B31" s="35" t="s">
        <v>89</v>
      </c>
      <c r="C31" s="37">
        <f>'件数(合算）'!K33</f>
        <v>0.1176470588235294</v>
      </c>
      <c r="D31" s="4">
        <f>'件数(合算）'!M33</f>
        <v>0.125</v>
      </c>
      <c r="E31" s="49">
        <f>'件数(合算）'!E33</f>
        <v>15000</v>
      </c>
      <c r="F31" s="49">
        <f>'件数(合算）'!F33</f>
        <v>15000</v>
      </c>
      <c r="G31" s="53"/>
      <c r="K31" s="37">
        <f>'件数(合算）'!K33</f>
        <v>0.1176470588235294</v>
      </c>
      <c r="L31" s="37">
        <f>'件数(合算）'!K33</f>
        <v>0.1176470588235294</v>
      </c>
      <c r="M31" s="37">
        <f>'件数(合算）'!K33</f>
        <v>0.1176470588235294</v>
      </c>
      <c r="N31" s="37">
        <f>'件数(合算）'!K33</f>
        <v>0.1176470588235294</v>
      </c>
      <c r="O31" s="36">
        <f>ROUND($D31*'件数(合算）'!P33,0)</f>
        <v>0</v>
      </c>
      <c r="P31" s="36">
        <f>ROUND($D31*'件数(合算）'!Q33,0)</f>
        <v>0</v>
      </c>
      <c r="Q31" s="36">
        <f>ROUND($D31*'件数(合算）'!R33,0)</f>
        <v>0</v>
      </c>
      <c r="R31" s="36">
        <f>ROUND($D31*'件数(合算）'!S33,0)</f>
        <v>0</v>
      </c>
      <c r="S31" s="36">
        <f>ROUND($D31*'件数(合算）'!T33,0)</f>
        <v>0</v>
      </c>
      <c r="T31" s="36">
        <f>ROUND($D31*'件数(合算）'!U33,0)</f>
        <v>0</v>
      </c>
      <c r="U31" s="36">
        <f>ROUND($D31*'件数(合算）'!V33,0)</f>
        <v>0</v>
      </c>
      <c r="V31" s="36">
        <f>ROUND($D31*'件数(合算）'!W33,0)</f>
        <v>0</v>
      </c>
      <c r="W31" s="36">
        <f>ROUND($D31*'件数(合算）'!X33,0)</f>
        <v>0</v>
      </c>
      <c r="X31" s="36">
        <f>ROUND($D31*'件数(合算）'!Y33,0)</f>
        <v>0</v>
      </c>
      <c r="Y31" s="36">
        <f>ROUND($D31*'件数(合算）'!Z33,0)</f>
        <v>0</v>
      </c>
      <c r="Z31" s="36">
        <f>ROUND($C31*'件数(合算）'!AA33,0)</f>
        <v>0</v>
      </c>
      <c r="AA31" s="36">
        <f>ROUND($C31*'件数(合算）'!AB33,0)</f>
        <v>0</v>
      </c>
      <c r="AB31" s="36">
        <f>ROUND($C31*'件数(合算）'!AC33,0)</f>
        <v>0</v>
      </c>
      <c r="AC31" s="36">
        <f>ROUND($C31*'件数(合算）'!AD33,0)</f>
        <v>0</v>
      </c>
      <c r="AD31" s="36">
        <f>ROUND($C31*'件数(合算）'!AE33,0)</f>
        <v>0</v>
      </c>
      <c r="AE31" s="36">
        <f>ROUND($C31*'件数(合算）'!AF33,0)</f>
        <v>0</v>
      </c>
      <c r="AF31" s="36">
        <f>ROUND($C31*'件数(合算）'!AG33,0)</f>
        <v>0</v>
      </c>
      <c r="AG31" s="36">
        <f>ROUND($C31*'件数(合算）'!AH33,0)</f>
        <v>0</v>
      </c>
      <c r="AH31" s="36">
        <f>ROUND($C31*'件数(合算）'!AI33,0)</f>
        <v>0</v>
      </c>
      <c r="AI31" s="36">
        <f>ROUND($C31*'件数(合算）'!AJ33,0)</f>
        <v>0</v>
      </c>
      <c r="AJ31" s="36">
        <f>ROUND($C31*'件数(合算）'!AK33,0)</f>
        <v>0</v>
      </c>
      <c r="AK31" s="36">
        <f>ROUND($C31*'件数(合算）'!AL33,0)</f>
        <v>0</v>
      </c>
      <c r="AL31" s="36">
        <f>ROUND($C31*'件数(合算）'!AM33,0)</f>
        <v>0</v>
      </c>
      <c r="AM31" s="36">
        <f>ROUND($C31*'件数(合算）'!AN33,0)</f>
        <v>0</v>
      </c>
      <c r="AN31" s="36">
        <f>ROUND($C31*'件数(合算）'!AO33,0)</f>
        <v>0</v>
      </c>
      <c r="AO31" s="36">
        <f>ROUND($C31*'件数(合算）'!AP33,0)</f>
        <v>0</v>
      </c>
      <c r="AP31" s="36">
        <f>ROUND($C31*'件数(合算）'!AQ33,0)</f>
        <v>0</v>
      </c>
      <c r="AQ31" s="36">
        <f>ROUND($C31*'件数(合算）'!AR33,0)</f>
        <v>0</v>
      </c>
      <c r="AR31" s="36">
        <f>ROUND($C31*'件数(合算）'!AS33,0)</f>
        <v>0</v>
      </c>
      <c r="AS31" s="36">
        <f>ROUND($C31*'件数(合算）'!AT33,0)</f>
        <v>0</v>
      </c>
      <c r="AT31" s="36">
        <f>ROUND($C31*'件数(合算）'!AU33,0)</f>
        <v>0</v>
      </c>
      <c r="AU31" s="36">
        <f>ROUND($C31*'件数(合算）'!AV33,0)</f>
        <v>0</v>
      </c>
      <c r="AV31" s="10">
        <f t="shared" si="3"/>
        <v>0</v>
      </c>
    </row>
    <row r="32" spans="1:48" ht="22" customHeight="1">
      <c r="A32" s="26">
        <v>369103</v>
      </c>
      <c r="B32" s="27" t="s">
        <v>91</v>
      </c>
      <c r="C32" s="4">
        <f>'件数(合算）'!K34</f>
        <v>0.6</v>
      </c>
      <c r="D32" s="4">
        <f>'件数(合算）'!M34</f>
        <v>0.6</v>
      </c>
      <c r="E32" s="5">
        <f>'件数(合算）'!E34</f>
        <v>5000</v>
      </c>
      <c r="F32" s="5">
        <f>'件数(合算）'!F34</f>
        <v>5000</v>
      </c>
      <c r="G32" s="53"/>
      <c r="K32" s="4">
        <f>'件数(合算）'!K34</f>
        <v>0.6</v>
      </c>
      <c r="L32" s="4">
        <f>'件数(合算）'!K34</f>
        <v>0.6</v>
      </c>
      <c r="M32" s="4">
        <f>'件数(合算）'!K34</f>
        <v>0.6</v>
      </c>
      <c r="N32" s="4">
        <f>'件数(合算）'!K34</f>
        <v>0.6</v>
      </c>
      <c r="O32" s="3">
        <f>ROUND($D32*'件数(合算）'!P34,0)</f>
        <v>1</v>
      </c>
      <c r="P32" s="3">
        <f>ROUND($D32*'件数(合算）'!Q34,0)</f>
        <v>1</v>
      </c>
      <c r="Q32" s="3">
        <f>ROUND($D32*'件数(合算）'!R34,0)</f>
        <v>1</v>
      </c>
      <c r="R32" s="3">
        <f>ROUND($D32*'件数(合算）'!S34,0)</f>
        <v>1</v>
      </c>
      <c r="S32" s="3">
        <f>ROUND($D32*'件数(合算）'!T34,0)</f>
        <v>1</v>
      </c>
      <c r="T32" s="3">
        <f>ROUND($D32*'件数(合算）'!U34,0)</f>
        <v>1</v>
      </c>
      <c r="U32" s="3">
        <f>ROUND($D32*'件数(合算）'!V34,0)</f>
        <v>1</v>
      </c>
      <c r="V32" s="3">
        <f>ROUND($D32*'件数(合算）'!W34,0)</f>
        <v>1</v>
      </c>
      <c r="W32" s="3">
        <f>ROUND($D32*'件数(合算）'!X34,0)</f>
        <v>1</v>
      </c>
      <c r="X32" s="3">
        <f>ROUND($D32*'件数(合算）'!Y34,0)</f>
        <v>1</v>
      </c>
      <c r="Y32" s="3">
        <f>ROUND($D32*'件数(合算）'!Z34,0)</f>
        <v>0</v>
      </c>
      <c r="Z32" s="3">
        <f>ROUND($C32*'件数(合算）'!AA34,0)</f>
        <v>1</v>
      </c>
      <c r="AA32" s="3">
        <f>ROUND($C32*'件数(合算）'!AB34,0)</f>
        <v>1</v>
      </c>
      <c r="AB32" s="3">
        <f>ROUND($C32*'件数(合算）'!AC34,0)</f>
        <v>1</v>
      </c>
      <c r="AC32" s="3">
        <f>ROUND($C32*'件数(合算）'!AD34,0)</f>
        <v>1</v>
      </c>
      <c r="AD32" s="3">
        <f>ROUND($C32*'件数(合算）'!AE34,0)</f>
        <v>2</v>
      </c>
      <c r="AE32" s="3">
        <f>ROUND($C32*'件数(合算）'!AF34,0)</f>
        <v>2</v>
      </c>
      <c r="AF32" s="3">
        <f>ROUND($C32*'件数(合算）'!AG34,0)</f>
        <v>1</v>
      </c>
      <c r="AG32" s="3">
        <f>ROUND($C32*'件数(合算）'!AH34,0)</f>
        <v>1</v>
      </c>
      <c r="AH32" s="3">
        <f>ROUND($C32*'件数(合算）'!AI34,0)</f>
        <v>1</v>
      </c>
      <c r="AI32" s="3">
        <f>ROUND($C32*'件数(合算）'!AJ34,0)</f>
        <v>1</v>
      </c>
      <c r="AJ32" s="3">
        <f>ROUND($C32*'件数(合算）'!AK34,0)</f>
        <v>1</v>
      </c>
      <c r="AK32" s="3">
        <f>ROUND($C32*'件数(合算）'!AL34,0)</f>
        <v>2</v>
      </c>
      <c r="AL32" s="3">
        <f>ROUND($C32*'件数(合算）'!AM34,0)</f>
        <v>2</v>
      </c>
      <c r="AM32" s="3">
        <f>ROUND($C32*'件数(合算）'!AN34,0)</f>
        <v>1</v>
      </c>
      <c r="AN32" s="3">
        <f>ROUND($C32*'件数(合算）'!AO34,0)</f>
        <v>1</v>
      </c>
      <c r="AO32" s="3">
        <f>ROUND($C32*'件数(合算）'!AP34,0)</f>
        <v>1</v>
      </c>
      <c r="AP32" s="3">
        <f>ROUND($C32*'件数(合算）'!AQ34,0)</f>
        <v>1</v>
      </c>
      <c r="AQ32" s="3">
        <f>ROUND($C32*'件数(合算）'!AR34,0)</f>
        <v>1</v>
      </c>
      <c r="AR32" s="3">
        <f>ROUND($C32*'件数(合算）'!AS34,0)</f>
        <v>1</v>
      </c>
      <c r="AS32" s="3">
        <f>ROUND($C32*'件数(合算）'!AT34,0)</f>
        <v>2</v>
      </c>
      <c r="AT32" s="3">
        <f>ROUND($C32*'件数(合算）'!AU34,0)</f>
        <v>1</v>
      </c>
      <c r="AU32" s="3">
        <f>ROUND($C32*'件数(合算）'!AV34,0)</f>
        <v>1</v>
      </c>
      <c r="AV32" s="10">
        <f t="shared" si="3"/>
        <v>31</v>
      </c>
    </row>
    <row r="33" spans="1:48" ht="22" customHeight="1">
      <c r="A33" s="34">
        <v>391527</v>
      </c>
      <c r="B33" s="35" t="s">
        <v>93</v>
      </c>
      <c r="C33" s="37">
        <f>'件数(合算）'!K35</f>
        <v>0</v>
      </c>
      <c r="D33" s="4">
        <f>'件数(合算）'!M35</f>
        <v>0</v>
      </c>
      <c r="E33" s="49">
        <f>'件数(合算）'!E35</f>
        <v>5000</v>
      </c>
      <c r="F33" s="49">
        <f>'件数(合算）'!F35</f>
        <v>5000</v>
      </c>
      <c r="G33" s="53"/>
      <c r="K33" s="37">
        <f>'件数(合算）'!K35</f>
        <v>0</v>
      </c>
      <c r="L33" s="37">
        <f>'件数(合算）'!K35</f>
        <v>0</v>
      </c>
      <c r="M33" s="37">
        <f>'件数(合算）'!K35</f>
        <v>0</v>
      </c>
      <c r="N33" s="37">
        <f>'件数(合算）'!K35</f>
        <v>0</v>
      </c>
      <c r="O33" s="36">
        <f>ROUND($D33*'件数(合算）'!P35,0)</f>
        <v>0</v>
      </c>
      <c r="P33" s="36">
        <f>ROUND($D33*'件数(合算）'!Q35,0)</f>
        <v>0</v>
      </c>
      <c r="Q33" s="36">
        <f>ROUND($D33*'件数(合算）'!R35,0)</f>
        <v>0</v>
      </c>
      <c r="R33" s="36">
        <f>ROUND($D33*'件数(合算）'!S35,0)</f>
        <v>0</v>
      </c>
      <c r="S33" s="36">
        <f>ROUND($D33*'件数(合算）'!T35,0)</f>
        <v>0</v>
      </c>
      <c r="T33" s="36">
        <f>ROUND($D33*'件数(合算）'!U35,0)</f>
        <v>0</v>
      </c>
      <c r="U33" s="36">
        <f>ROUND($D33*'件数(合算）'!V35,0)</f>
        <v>0</v>
      </c>
      <c r="V33" s="36">
        <f>ROUND($D33*'件数(合算）'!W35,0)</f>
        <v>0</v>
      </c>
      <c r="W33" s="36">
        <f>ROUND($D33*'件数(合算）'!X35,0)</f>
        <v>0</v>
      </c>
      <c r="X33" s="36">
        <f>ROUND($D33*'件数(合算）'!Y35,0)</f>
        <v>0</v>
      </c>
      <c r="Y33" s="36">
        <f>ROUND($D33*'件数(合算）'!Z35,0)</f>
        <v>0</v>
      </c>
      <c r="Z33" s="36">
        <f>ROUND($C33*'件数(合算）'!AA35,0)</f>
        <v>0</v>
      </c>
      <c r="AA33" s="36">
        <f>ROUND($C33*'件数(合算）'!AB35,0)</f>
        <v>0</v>
      </c>
      <c r="AB33" s="36">
        <f>ROUND($C33*'件数(合算）'!AC35,0)</f>
        <v>0</v>
      </c>
      <c r="AC33" s="36">
        <f>ROUND($C33*'件数(合算）'!AD35,0)</f>
        <v>0</v>
      </c>
      <c r="AD33" s="36">
        <f>ROUND($C33*'件数(合算）'!AE35,0)</f>
        <v>0</v>
      </c>
      <c r="AE33" s="36">
        <f>ROUND($C33*'件数(合算）'!AF35,0)</f>
        <v>0</v>
      </c>
      <c r="AF33" s="36">
        <f>ROUND($C33*'件数(合算）'!AG35,0)</f>
        <v>0</v>
      </c>
      <c r="AG33" s="36">
        <f>ROUND($C33*'件数(合算）'!AH35,0)</f>
        <v>0</v>
      </c>
      <c r="AH33" s="36">
        <f>ROUND($C33*'件数(合算）'!AI35,0)</f>
        <v>0</v>
      </c>
      <c r="AI33" s="36">
        <f>ROUND($C33*'件数(合算）'!AJ35,0)</f>
        <v>0</v>
      </c>
      <c r="AJ33" s="36">
        <f>ROUND($C33*'件数(合算）'!AK35,0)</f>
        <v>0</v>
      </c>
      <c r="AK33" s="36">
        <f>ROUND($C33*'件数(合算）'!AL35,0)</f>
        <v>0</v>
      </c>
      <c r="AL33" s="36">
        <f>ROUND($C33*'件数(合算）'!AM35,0)</f>
        <v>0</v>
      </c>
      <c r="AM33" s="36">
        <f>ROUND($C33*'件数(合算）'!AN35,0)</f>
        <v>0</v>
      </c>
      <c r="AN33" s="36">
        <f>ROUND($C33*'件数(合算）'!AO35,0)</f>
        <v>0</v>
      </c>
      <c r="AO33" s="36">
        <f>ROUND($C33*'件数(合算）'!AP35,0)</f>
        <v>0</v>
      </c>
      <c r="AP33" s="36">
        <f>ROUND($C33*'件数(合算）'!AQ35,0)</f>
        <v>0</v>
      </c>
      <c r="AQ33" s="36">
        <f>ROUND($C33*'件数(合算）'!AR35,0)</f>
        <v>0</v>
      </c>
      <c r="AR33" s="36">
        <f>ROUND($C33*'件数(合算）'!AS35,0)</f>
        <v>0</v>
      </c>
      <c r="AS33" s="36">
        <f>ROUND($C33*'件数(合算）'!AT35,0)</f>
        <v>0</v>
      </c>
      <c r="AT33" s="36">
        <f>ROUND($C33*'件数(合算）'!AU35,0)</f>
        <v>0</v>
      </c>
      <c r="AU33" s="36">
        <f>ROUND($C33*'件数(合算）'!AV35,0)</f>
        <v>0</v>
      </c>
      <c r="AV33" s="10">
        <f t="shared" si="3"/>
        <v>0</v>
      </c>
    </row>
    <row r="34" spans="1:48" ht="22" customHeight="1">
      <c r="A34" s="26">
        <v>1695</v>
      </c>
      <c r="B34" s="27" t="s">
        <v>95</v>
      </c>
      <c r="C34" s="4">
        <f>'件数(合算）'!K36</f>
        <v>0.59090909090909094</v>
      </c>
      <c r="D34" s="4">
        <f>'件数(合算）'!M36</f>
        <v>0.5</v>
      </c>
      <c r="E34" s="5">
        <f>'件数(合算）'!E36</f>
        <v>2400</v>
      </c>
      <c r="F34" s="5">
        <f>'件数(合算）'!F36</f>
        <v>2400</v>
      </c>
      <c r="G34" s="53"/>
      <c r="K34" s="4">
        <f>'件数(合算）'!K36</f>
        <v>0.59090909090909094</v>
      </c>
      <c r="L34" s="4">
        <f>'件数(合算）'!K36</f>
        <v>0.59090909090909094</v>
      </c>
      <c r="M34" s="4">
        <f>'件数(合算）'!K36</f>
        <v>0.59090909090909094</v>
      </c>
      <c r="N34" s="4">
        <f>'件数(合算）'!K36</f>
        <v>0.59090909090909094</v>
      </c>
      <c r="O34" s="3">
        <f>ROUND($D34*'件数(合算）'!P36,0)</f>
        <v>1</v>
      </c>
      <c r="P34" s="3">
        <f>ROUND($D34*'件数(合算）'!Q36,0)</f>
        <v>2</v>
      </c>
      <c r="Q34" s="3">
        <f>ROUND($D34*'件数(合算）'!R36,0)</f>
        <v>1</v>
      </c>
      <c r="R34" s="3">
        <f>ROUND($D34*'件数(合算）'!S36,0)</f>
        <v>1</v>
      </c>
      <c r="S34" s="3">
        <f>ROUND($D34*'件数(合算）'!T36,0)</f>
        <v>1</v>
      </c>
      <c r="T34" s="3">
        <f>ROUND($D34*'件数(合算）'!U36,0)</f>
        <v>1</v>
      </c>
      <c r="U34" s="3">
        <f>ROUND($D34*'件数(合算）'!V36,0)</f>
        <v>1</v>
      </c>
      <c r="V34" s="3">
        <f>ROUND($D34*'件数(合算）'!W36,0)</f>
        <v>1</v>
      </c>
      <c r="W34" s="3">
        <f>ROUND($D34*'件数(合算）'!X36,0)</f>
        <v>2</v>
      </c>
      <c r="X34" s="3">
        <f>ROUND($D34*'件数(合算）'!Y36,0)</f>
        <v>1</v>
      </c>
      <c r="Y34" s="3">
        <f>ROUND($D34*'件数(合算）'!Z36,0)</f>
        <v>1</v>
      </c>
      <c r="Z34" s="3">
        <f>ROUND($C34*'件数(合算）'!AA36,0)</f>
        <v>0</v>
      </c>
      <c r="AA34" s="3">
        <f>ROUND($C34*'件数(合算）'!AB36,0)</f>
        <v>0</v>
      </c>
      <c r="AB34" s="3">
        <f>ROUND($C34*'件数(合算）'!AC36,0)</f>
        <v>0</v>
      </c>
      <c r="AC34" s="3">
        <f>ROUND($C34*'件数(合算）'!AD36,0)</f>
        <v>0</v>
      </c>
      <c r="AD34" s="3">
        <f>ROUND($C34*'件数(合算）'!AE36,0)</f>
        <v>1</v>
      </c>
      <c r="AE34" s="3">
        <f>ROUND($C34*'件数(合算）'!AF36,0)</f>
        <v>1</v>
      </c>
      <c r="AF34" s="3">
        <f>ROUND($C34*'件数(合算）'!AG36,0)</f>
        <v>0</v>
      </c>
      <c r="AG34" s="3">
        <f>ROUND($C34*'件数(合算）'!AH36,0)</f>
        <v>0</v>
      </c>
      <c r="AH34" s="3">
        <f>ROUND($C34*'件数(合算）'!AI36,0)</f>
        <v>0</v>
      </c>
      <c r="AI34" s="3">
        <f>ROUND($C34*'件数(合算）'!AJ36,0)</f>
        <v>0</v>
      </c>
      <c r="AJ34" s="3">
        <f>ROUND($C34*'件数(合算）'!AK36,0)</f>
        <v>0</v>
      </c>
      <c r="AK34" s="3">
        <f>ROUND($C34*'件数(合算）'!AL36,0)</f>
        <v>1</v>
      </c>
      <c r="AL34" s="3">
        <f>ROUND($C34*'件数(合算）'!AM36,0)</f>
        <v>1</v>
      </c>
      <c r="AM34" s="3">
        <f>ROUND($C34*'件数(合算）'!AN36,0)</f>
        <v>1</v>
      </c>
      <c r="AN34" s="3">
        <f>ROUND($C34*'件数(合算）'!AO36,0)</f>
        <v>0</v>
      </c>
      <c r="AO34" s="3">
        <f>ROUND($C34*'件数(合算）'!AP36,0)</f>
        <v>0</v>
      </c>
      <c r="AP34" s="3">
        <f>ROUND($C34*'件数(合算）'!AQ36,0)</f>
        <v>0</v>
      </c>
      <c r="AQ34" s="3">
        <f>ROUND($C34*'件数(合算）'!AR36,0)</f>
        <v>0</v>
      </c>
      <c r="AR34" s="3">
        <f>ROUND($C34*'件数(合算）'!AS36,0)</f>
        <v>1</v>
      </c>
      <c r="AS34" s="3">
        <f>ROUND($C34*'件数(合算）'!AT36,0)</f>
        <v>1</v>
      </c>
      <c r="AT34" s="3">
        <f>ROUND($C34*'件数(合算）'!AU36,0)</f>
        <v>0</v>
      </c>
      <c r="AU34" s="3">
        <f>ROUND($C34*'件数(合算）'!AV36,0)</f>
        <v>0</v>
      </c>
      <c r="AV34" s="10">
        <f t="shared" si="3"/>
        <v>18</v>
      </c>
    </row>
    <row r="35" spans="1:48" ht="22" customHeight="1">
      <c r="A35" s="34">
        <v>74401</v>
      </c>
      <c r="B35" s="35" t="s">
        <v>97</v>
      </c>
      <c r="C35" s="37">
        <f>'件数(合算）'!K37</f>
        <v>0.46875</v>
      </c>
      <c r="D35" s="4">
        <f>'件数(合算）'!M37</f>
        <v>0.59099999999999997</v>
      </c>
      <c r="E35" s="49">
        <f>'件数(合算）'!E37</f>
        <v>10000</v>
      </c>
      <c r="F35" s="49">
        <f>'件数(合算）'!F37</f>
        <v>11000</v>
      </c>
      <c r="G35" s="53"/>
      <c r="K35" s="37">
        <f>'件数(合算）'!K37</f>
        <v>0.46875</v>
      </c>
      <c r="L35" s="37">
        <f>'件数(合算）'!K37</f>
        <v>0.46875</v>
      </c>
      <c r="M35" s="37">
        <f>'件数(合算）'!K37</f>
        <v>0.46875</v>
      </c>
      <c r="N35" s="37">
        <f>'件数(合算）'!K37</f>
        <v>0.46875</v>
      </c>
      <c r="O35" s="36">
        <f>ROUND($D35*'件数(合算）'!P37,0)</f>
        <v>1</v>
      </c>
      <c r="P35" s="36">
        <f>ROUND($D35*'件数(合算）'!Q37,0)</f>
        <v>1</v>
      </c>
      <c r="Q35" s="36">
        <f>ROUND($D35*'件数(合算）'!R37,0)</f>
        <v>1</v>
      </c>
      <c r="R35" s="36">
        <f>ROUND($D35*'件数(合算）'!S37,0)</f>
        <v>1</v>
      </c>
      <c r="S35" s="36">
        <f>ROUND($D35*'件数(合算）'!T37,0)</f>
        <v>1</v>
      </c>
      <c r="T35" s="36">
        <f>ROUND($D35*'件数(合算）'!U37,0)</f>
        <v>1</v>
      </c>
      <c r="U35" s="36">
        <f>ROUND($D35*'件数(合算）'!V37,0)</f>
        <v>1</v>
      </c>
      <c r="V35" s="36">
        <f>ROUND($D35*'件数(合算）'!W37,0)</f>
        <v>1</v>
      </c>
      <c r="W35" s="36">
        <f>ROUND($D35*'件数(合算）'!X37,0)</f>
        <v>3</v>
      </c>
      <c r="X35" s="36">
        <f>ROUND($D35*'件数(合算）'!Y37,0)</f>
        <v>4</v>
      </c>
      <c r="Y35" s="36">
        <f>ROUND($D35*'件数(合算）'!Z37,0)</f>
        <v>1</v>
      </c>
      <c r="Z35" s="36">
        <f>ROUND($C35*'件数(合算）'!AA37,0)</f>
        <v>0</v>
      </c>
      <c r="AA35" s="36">
        <f>ROUND($C35*'件数(合算）'!AB37,0)</f>
        <v>0</v>
      </c>
      <c r="AB35" s="36">
        <f>ROUND($C35*'件数(合算）'!AC37,0)</f>
        <v>0</v>
      </c>
      <c r="AC35" s="36">
        <f>ROUND($C35*'件数(合算）'!AD37,0)</f>
        <v>0</v>
      </c>
      <c r="AD35" s="36">
        <f>ROUND($C35*'件数(合算）'!AE37,0)</f>
        <v>1</v>
      </c>
      <c r="AE35" s="36">
        <f>ROUND($C35*'件数(合算）'!AF37,0)</f>
        <v>1</v>
      </c>
      <c r="AF35" s="36">
        <f>ROUND($C35*'件数(合算）'!AG37,0)</f>
        <v>0</v>
      </c>
      <c r="AG35" s="36">
        <f>ROUND($C35*'件数(合算）'!AH37,0)</f>
        <v>0</v>
      </c>
      <c r="AH35" s="36">
        <f>ROUND($C35*'件数(合算）'!AI37,0)</f>
        <v>0</v>
      </c>
      <c r="AI35" s="36">
        <f>ROUND($C35*'件数(合算）'!AJ37,0)</f>
        <v>0</v>
      </c>
      <c r="AJ35" s="36">
        <f>ROUND($C35*'件数(合算）'!AK37,0)</f>
        <v>0</v>
      </c>
      <c r="AK35" s="36">
        <f>ROUND($C35*'件数(合算）'!AL37,0)</f>
        <v>1</v>
      </c>
      <c r="AL35" s="36">
        <f>ROUND($C35*'件数(合算）'!AM37,0)</f>
        <v>1</v>
      </c>
      <c r="AM35" s="36">
        <f>ROUND($C35*'件数(合算）'!AN37,0)</f>
        <v>1</v>
      </c>
      <c r="AN35" s="36">
        <f>ROUND($C35*'件数(合算）'!AO37,0)</f>
        <v>0</v>
      </c>
      <c r="AO35" s="36">
        <f>ROUND($C35*'件数(合算）'!AP37,0)</f>
        <v>0</v>
      </c>
      <c r="AP35" s="36">
        <f>ROUND($C35*'件数(合算）'!AQ37,0)</f>
        <v>0</v>
      </c>
      <c r="AQ35" s="36">
        <f>ROUND($C35*'件数(合算）'!AR37,0)</f>
        <v>0</v>
      </c>
      <c r="AR35" s="36">
        <f>ROUND($C35*'件数(合算）'!AS37,0)</f>
        <v>1</v>
      </c>
      <c r="AS35" s="36">
        <f>ROUND($C35*'件数(合算）'!AT37,0)</f>
        <v>1</v>
      </c>
      <c r="AT35" s="36">
        <f>ROUND($C35*'件数(合算）'!AU37,0)</f>
        <v>0</v>
      </c>
      <c r="AU35" s="36">
        <f>ROUND($C35*'件数(合算）'!AV37,0)</f>
        <v>0</v>
      </c>
      <c r="AV35" s="10">
        <f t="shared" si="3"/>
        <v>21</v>
      </c>
    </row>
    <row r="36" spans="1:48" ht="22" customHeight="1">
      <c r="A36" s="26">
        <v>391152</v>
      </c>
      <c r="B36" s="27" t="s">
        <v>99</v>
      </c>
      <c r="C36" s="4">
        <f>'件数(合算）'!K38</f>
        <v>0.1875</v>
      </c>
      <c r="D36" s="4">
        <f>'件数(合算）'!M38</f>
        <v>0.1875</v>
      </c>
      <c r="E36" s="5">
        <f>'件数(合算）'!E38</f>
        <v>5000</v>
      </c>
      <c r="F36" s="5">
        <f>'件数(合算）'!F38</f>
        <v>5000</v>
      </c>
      <c r="G36" s="53"/>
      <c r="K36" s="4">
        <f>'件数(合算）'!K38</f>
        <v>0.1875</v>
      </c>
      <c r="L36" s="4">
        <f>'件数(合算）'!K38</f>
        <v>0.1875</v>
      </c>
      <c r="M36" s="4">
        <f>'件数(合算）'!K38</f>
        <v>0.1875</v>
      </c>
      <c r="N36" s="4">
        <f>'件数(合算）'!K38</f>
        <v>0.1875</v>
      </c>
      <c r="O36" s="3">
        <f>ROUND($D36*'件数(合算）'!P38,0)</f>
        <v>0</v>
      </c>
      <c r="P36" s="3">
        <f>ROUND($D36*'件数(合算）'!Q38,0)</f>
        <v>0</v>
      </c>
      <c r="Q36" s="3">
        <f>ROUND($D36*'件数(合算）'!R38,0)</f>
        <v>0</v>
      </c>
      <c r="R36" s="3">
        <f>ROUND($D36*'件数(合算）'!S38,0)</f>
        <v>0</v>
      </c>
      <c r="S36" s="3">
        <f>ROUND($D36*'件数(合算）'!T38,0)</f>
        <v>0</v>
      </c>
      <c r="T36" s="3">
        <f>ROUND($D36*'件数(合算）'!U38,0)</f>
        <v>0</v>
      </c>
      <c r="U36" s="3">
        <f>ROUND($D36*'件数(合算）'!V38,0)</f>
        <v>0</v>
      </c>
      <c r="V36" s="3">
        <f>ROUND($D36*'件数(合算）'!W38,0)</f>
        <v>0</v>
      </c>
      <c r="W36" s="3">
        <f>ROUND($D36*'件数(合算）'!X38,0)</f>
        <v>0</v>
      </c>
      <c r="X36" s="3">
        <f>ROUND($D36*'件数(合算）'!Y38,0)</f>
        <v>0</v>
      </c>
      <c r="Y36" s="3">
        <f>ROUND($D36*'件数(合算）'!Z38,0)</f>
        <v>0</v>
      </c>
      <c r="Z36" s="3">
        <f>ROUND($C36*'件数(合算）'!AA38,0)</f>
        <v>0</v>
      </c>
      <c r="AA36" s="3">
        <f>ROUND($C36*'件数(合算）'!AB38,0)</f>
        <v>0</v>
      </c>
      <c r="AB36" s="3">
        <f>ROUND($C36*'件数(合算）'!AC38,0)</f>
        <v>0</v>
      </c>
      <c r="AC36" s="3">
        <f>ROUND($C36*'件数(合算）'!AD38,0)</f>
        <v>0</v>
      </c>
      <c r="AD36" s="3">
        <f>ROUND($C36*'件数(合算）'!AE38,0)</f>
        <v>0</v>
      </c>
      <c r="AE36" s="3">
        <f>ROUND($C36*'件数(合算）'!AF38,0)</f>
        <v>0</v>
      </c>
      <c r="AF36" s="3">
        <f>ROUND($C36*'件数(合算）'!AG38,0)</f>
        <v>0</v>
      </c>
      <c r="AG36" s="3">
        <f>ROUND($C36*'件数(合算）'!AH38,0)</f>
        <v>0</v>
      </c>
      <c r="AH36" s="3">
        <f>ROUND($C36*'件数(合算）'!AI38,0)</f>
        <v>0</v>
      </c>
      <c r="AI36" s="3">
        <f>ROUND($C36*'件数(合算）'!AJ38,0)</f>
        <v>0</v>
      </c>
      <c r="AJ36" s="3">
        <f>ROUND($C36*'件数(合算）'!AK38,0)</f>
        <v>0</v>
      </c>
      <c r="AK36" s="3">
        <f>ROUND($C36*'件数(合算）'!AL38,0)</f>
        <v>0</v>
      </c>
      <c r="AL36" s="3">
        <f>ROUND($C36*'件数(合算）'!AM38,0)</f>
        <v>0</v>
      </c>
      <c r="AM36" s="3">
        <f>ROUND($C36*'件数(合算）'!AN38,0)</f>
        <v>0</v>
      </c>
      <c r="AN36" s="3">
        <f>ROUND($C36*'件数(合算）'!AO38,0)</f>
        <v>0</v>
      </c>
      <c r="AO36" s="3">
        <f>ROUND($C36*'件数(合算）'!AP38,0)</f>
        <v>0</v>
      </c>
      <c r="AP36" s="3">
        <f>ROUND($C36*'件数(合算）'!AQ38,0)</f>
        <v>0</v>
      </c>
      <c r="AQ36" s="3">
        <f>ROUND($C36*'件数(合算）'!AR38,0)</f>
        <v>0</v>
      </c>
      <c r="AR36" s="3">
        <f>ROUND($C36*'件数(合算）'!AS38,0)</f>
        <v>0</v>
      </c>
      <c r="AS36" s="3">
        <f>ROUND($C36*'件数(合算）'!AT38,0)</f>
        <v>0</v>
      </c>
      <c r="AT36" s="3">
        <f>ROUND($C36*'件数(合算）'!AU38,0)</f>
        <v>0</v>
      </c>
      <c r="AU36" s="3">
        <f>ROUND($C36*'件数(合算）'!AV38,0)</f>
        <v>0</v>
      </c>
      <c r="AV36" s="10">
        <f t="shared" si="3"/>
        <v>0</v>
      </c>
    </row>
    <row r="37" spans="1:48" ht="22" customHeight="1">
      <c r="A37" s="34">
        <v>368894</v>
      </c>
      <c r="B37" s="35" t="s">
        <v>101</v>
      </c>
      <c r="C37" s="37">
        <f>'件数(合算）'!K39</f>
        <v>0.4</v>
      </c>
      <c r="D37" s="4">
        <f>'件数(合算）'!M39</f>
        <v>0.57699999999999996</v>
      </c>
      <c r="E37" s="49">
        <f>'件数(合算）'!E39</f>
        <v>9000</v>
      </c>
      <c r="F37" s="49">
        <f>'件数(合算）'!F39</f>
        <v>9000</v>
      </c>
      <c r="G37" s="53"/>
      <c r="K37" s="37">
        <f>'件数(合算）'!K39</f>
        <v>0.4</v>
      </c>
      <c r="L37" s="37">
        <f>'件数(合算）'!K39</f>
        <v>0.4</v>
      </c>
      <c r="M37" s="37">
        <f>'件数(合算）'!K39</f>
        <v>0.4</v>
      </c>
      <c r="N37" s="37">
        <f>'件数(合算）'!K39</f>
        <v>0.4</v>
      </c>
      <c r="O37" s="36">
        <f>ROUND($D37*'件数(合算）'!P39,0)</f>
        <v>2</v>
      </c>
      <c r="P37" s="36">
        <f>ROUND($D37*'件数(合算）'!Q39,0)</f>
        <v>2</v>
      </c>
      <c r="Q37" s="36">
        <f>ROUND($D37*'件数(合算）'!R39,0)</f>
        <v>2</v>
      </c>
      <c r="R37" s="36">
        <f>ROUND($D37*'件数(合算）'!S39,0)</f>
        <v>2</v>
      </c>
      <c r="S37" s="36">
        <f>ROUND($D37*'件数(合算）'!T39,0)</f>
        <v>2</v>
      </c>
      <c r="T37" s="36">
        <f>ROUND($D37*'件数(合算）'!U39,0)</f>
        <v>2</v>
      </c>
      <c r="U37" s="36">
        <f>ROUND($D37*'件数(合算）'!V39,0)</f>
        <v>2</v>
      </c>
      <c r="V37" s="36">
        <f>ROUND($D37*'件数(合算）'!W39,0)</f>
        <v>2</v>
      </c>
      <c r="W37" s="36">
        <f>ROUND($D37*'件数(合算）'!X39,0)</f>
        <v>2</v>
      </c>
      <c r="X37" s="36">
        <f>ROUND($D37*'件数(合算）'!Y39,0)</f>
        <v>2</v>
      </c>
      <c r="Y37" s="36">
        <f>ROUND($D37*'件数(合算）'!Z39,0)</f>
        <v>2</v>
      </c>
      <c r="Z37" s="36">
        <f>ROUND($C37*'件数(合算）'!AA39,0)</f>
        <v>0</v>
      </c>
      <c r="AA37" s="36">
        <f>ROUND($C37*'件数(合算）'!AB39,0)</f>
        <v>0</v>
      </c>
      <c r="AB37" s="36">
        <f>ROUND($C37*'件数(合算）'!AC39,0)</f>
        <v>0</v>
      </c>
      <c r="AC37" s="36">
        <f>ROUND($C37*'件数(合算）'!AD39,0)</f>
        <v>0</v>
      </c>
      <c r="AD37" s="36">
        <f>ROUND($C37*'件数(合算）'!AE39,0)</f>
        <v>1</v>
      </c>
      <c r="AE37" s="36">
        <f>ROUND($C37*'件数(合算）'!AF39,0)</f>
        <v>1</v>
      </c>
      <c r="AF37" s="36">
        <f>ROUND($C37*'件数(合算）'!AG39,0)</f>
        <v>0</v>
      </c>
      <c r="AG37" s="36">
        <f>ROUND($C37*'件数(合算）'!AH39,0)</f>
        <v>0</v>
      </c>
      <c r="AH37" s="36">
        <f>ROUND($C37*'件数(合算）'!AI39,0)</f>
        <v>0</v>
      </c>
      <c r="AI37" s="36">
        <f>ROUND($C37*'件数(合算）'!AJ39,0)</f>
        <v>0</v>
      </c>
      <c r="AJ37" s="36">
        <f>ROUND($C37*'件数(合算）'!AK39,0)</f>
        <v>0</v>
      </c>
      <c r="AK37" s="36">
        <f>ROUND($C37*'件数(合算）'!AL39,0)</f>
        <v>1</v>
      </c>
      <c r="AL37" s="36">
        <f>ROUND($C37*'件数(合算）'!AM39,0)</f>
        <v>1</v>
      </c>
      <c r="AM37" s="36">
        <f>ROUND($C37*'件数(合算）'!AN39,0)</f>
        <v>1</v>
      </c>
      <c r="AN37" s="36">
        <f>ROUND($C37*'件数(合算）'!AO39,0)</f>
        <v>1</v>
      </c>
      <c r="AO37" s="36">
        <f>ROUND($C37*'件数(合算）'!AP39,0)</f>
        <v>0</v>
      </c>
      <c r="AP37" s="36">
        <f>ROUND($C37*'件数(合算）'!AQ39,0)</f>
        <v>0</v>
      </c>
      <c r="AQ37" s="36">
        <f>ROUND($C37*'件数(合算）'!AR39,0)</f>
        <v>0</v>
      </c>
      <c r="AR37" s="36">
        <f>ROUND($C37*'件数(合算）'!AS39,0)</f>
        <v>1</v>
      </c>
      <c r="AS37" s="36">
        <f>ROUND($C37*'件数(合算）'!AT39,0)</f>
        <v>1</v>
      </c>
      <c r="AT37" s="36">
        <f>ROUND($C37*'件数(合算）'!AU39,0)</f>
        <v>0</v>
      </c>
      <c r="AU37" s="36">
        <f>ROUND($C37*'件数(合算）'!AV39,0)</f>
        <v>0</v>
      </c>
      <c r="AV37" s="10">
        <f t="shared" si="3"/>
        <v>28</v>
      </c>
    </row>
    <row r="38" spans="1:48" ht="22" customHeight="1">
      <c r="A38" s="26">
        <v>388297</v>
      </c>
      <c r="B38" s="27" t="s">
        <v>103</v>
      </c>
      <c r="C38" s="4">
        <f>'件数(合算）'!K40</f>
        <v>0.21917808219178081</v>
      </c>
      <c r="D38" s="4">
        <f>'件数(合算）'!M40</f>
        <v>0.22500000000000001</v>
      </c>
      <c r="E38" s="5">
        <f>'件数(合算）'!E40</f>
        <v>11000</v>
      </c>
      <c r="F38" s="5">
        <f>'件数(合算）'!F40</f>
        <v>11000</v>
      </c>
      <c r="G38" s="53"/>
      <c r="K38" s="4">
        <f>'件数(合算）'!K40</f>
        <v>0.21917808219178081</v>
      </c>
      <c r="L38" s="4">
        <f>'件数(合算）'!K40</f>
        <v>0.21917808219178081</v>
      </c>
      <c r="M38" s="4">
        <f>'件数(合算）'!K40</f>
        <v>0.21917808219178081</v>
      </c>
      <c r="N38" s="4">
        <f>'件数(合算）'!K40</f>
        <v>0.21917808219178081</v>
      </c>
      <c r="O38" s="3">
        <f>ROUND($D38*'件数(合算）'!P40,0)</f>
        <v>1</v>
      </c>
      <c r="P38" s="3">
        <f>ROUND($D38*'件数(合算）'!Q40,0)</f>
        <v>1</v>
      </c>
      <c r="Q38" s="3">
        <f>ROUND($D38*'件数(合算）'!R40,0)</f>
        <v>1</v>
      </c>
      <c r="R38" s="3">
        <f>ROUND($D38*'件数(合算）'!S40,0)</f>
        <v>1</v>
      </c>
      <c r="S38" s="3">
        <f>ROUND($D38*'件数(合算）'!T40,0)</f>
        <v>1</v>
      </c>
      <c r="T38" s="3">
        <f>ROUND($D38*'件数(合算）'!U40,0)</f>
        <v>1</v>
      </c>
      <c r="U38" s="3">
        <f>ROUND($D38*'件数(合算）'!V40,0)</f>
        <v>1</v>
      </c>
      <c r="V38" s="3">
        <f>ROUND($D38*'件数(合算）'!W40,0)</f>
        <v>1</v>
      </c>
      <c r="W38" s="3">
        <f>ROUND($D38*'件数(合算）'!X40,0)</f>
        <v>1</v>
      </c>
      <c r="X38" s="3">
        <f>ROUND($D38*'件数(合算）'!Y40,0)</f>
        <v>1</v>
      </c>
      <c r="Y38" s="3">
        <f>ROUND($D38*'件数(合算）'!Z40,0)</f>
        <v>1</v>
      </c>
      <c r="Z38" s="3">
        <f>ROUND($C38*'件数(合算）'!AA40,0)</f>
        <v>0</v>
      </c>
      <c r="AA38" s="3">
        <f>ROUND($C38*'件数(合算）'!AB40,0)</f>
        <v>0</v>
      </c>
      <c r="AB38" s="3">
        <f>ROUND($C38*'件数(合算）'!AC40,0)</f>
        <v>0</v>
      </c>
      <c r="AC38" s="3">
        <f>ROUND($C38*'件数(合算）'!AD40,0)</f>
        <v>0</v>
      </c>
      <c r="AD38" s="3">
        <f>ROUND($C38*'件数(合算）'!AE40,0)</f>
        <v>0</v>
      </c>
      <c r="AE38" s="3">
        <f>ROUND($C38*'件数(合算）'!AF40,0)</f>
        <v>0</v>
      </c>
      <c r="AF38" s="3">
        <f>ROUND($C38*'件数(合算）'!AG40,0)</f>
        <v>0</v>
      </c>
      <c r="AG38" s="3">
        <f>ROUND($C38*'件数(合算）'!AH40,0)</f>
        <v>0</v>
      </c>
      <c r="AH38" s="3">
        <f>ROUND($C38*'件数(合算）'!AI40,0)</f>
        <v>0</v>
      </c>
      <c r="AI38" s="3">
        <f>ROUND($C38*'件数(合算）'!AJ40,0)</f>
        <v>0</v>
      </c>
      <c r="AJ38" s="3">
        <f>ROUND($C38*'件数(合算）'!AK40,0)</f>
        <v>0</v>
      </c>
      <c r="AK38" s="3">
        <f>ROUND($C38*'件数(合算）'!AL40,0)</f>
        <v>0</v>
      </c>
      <c r="AL38" s="3">
        <f>ROUND($C38*'件数(合算）'!AM40,0)</f>
        <v>0</v>
      </c>
      <c r="AM38" s="3">
        <f>ROUND($C38*'件数(合算）'!AN40,0)</f>
        <v>0</v>
      </c>
      <c r="AN38" s="3">
        <f>ROUND($C38*'件数(合算）'!AO40,0)</f>
        <v>0</v>
      </c>
      <c r="AO38" s="3">
        <f>ROUND($C38*'件数(合算）'!AP40,0)</f>
        <v>0</v>
      </c>
      <c r="AP38" s="3">
        <f>ROUND($C38*'件数(合算）'!AQ40,0)</f>
        <v>0</v>
      </c>
      <c r="AQ38" s="3">
        <f>ROUND($C38*'件数(合算）'!AR40,0)</f>
        <v>0</v>
      </c>
      <c r="AR38" s="3">
        <f>ROUND($C38*'件数(合算）'!AS40,0)</f>
        <v>0</v>
      </c>
      <c r="AS38" s="3">
        <f>ROUND($C38*'件数(合算）'!AT40,0)</f>
        <v>0</v>
      </c>
      <c r="AT38" s="3">
        <f>ROUND($C38*'件数(合算）'!AU40,0)</f>
        <v>0</v>
      </c>
      <c r="AU38" s="3">
        <f>ROUND($C38*'件数(合算）'!AV40,0)</f>
        <v>0</v>
      </c>
      <c r="AV38" s="10">
        <f t="shared" ref="AV38:AV69" si="4">SUM(O38:AP38)</f>
        <v>11</v>
      </c>
    </row>
    <row r="39" spans="1:48" ht="22" customHeight="1">
      <c r="A39" s="34">
        <v>392708</v>
      </c>
      <c r="B39" s="35" t="s">
        <v>105</v>
      </c>
      <c r="C39" s="37">
        <f>'件数(合算）'!K41</f>
        <v>7.3529411764705885E-2</v>
      </c>
      <c r="D39" s="4">
        <f>'件数(合算）'!M41</f>
        <v>0.107</v>
      </c>
      <c r="E39" s="49">
        <f>'件数(合算）'!E41</f>
        <v>18000</v>
      </c>
      <c r="F39" s="49">
        <f>'件数(合算）'!F41</f>
        <v>18000</v>
      </c>
      <c r="G39" s="53"/>
      <c r="K39" s="37">
        <f>'件数(合算）'!K41</f>
        <v>7.3529411764705885E-2</v>
      </c>
      <c r="L39" s="37">
        <f>'件数(合算）'!K41</f>
        <v>7.3529411764705885E-2</v>
      </c>
      <c r="M39" s="37">
        <f>'件数(合算）'!K41</f>
        <v>7.3529411764705885E-2</v>
      </c>
      <c r="N39" s="37">
        <f>'件数(合算）'!K41</f>
        <v>7.3529411764705885E-2</v>
      </c>
      <c r="O39" s="36">
        <f>ROUND($D39*'件数(合算）'!P41,0)</f>
        <v>0</v>
      </c>
      <c r="P39" s="36">
        <f>ROUND($D39*'件数(合算）'!Q41,0)</f>
        <v>0</v>
      </c>
      <c r="Q39" s="36">
        <f>ROUND($D39*'件数(合算）'!R41,0)</f>
        <v>0</v>
      </c>
      <c r="R39" s="36">
        <f>ROUND($D39*'件数(合算）'!S41,0)</f>
        <v>0</v>
      </c>
      <c r="S39" s="36">
        <f>ROUND($D39*'件数(合算）'!T41,0)</f>
        <v>0</v>
      </c>
      <c r="T39" s="36">
        <f>ROUND($D39*'件数(合算）'!U41,0)</f>
        <v>0</v>
      </c>
      <c r="U39" s="36">
        <f>ROUND($D39*'件数(合算）'!V41,0)</f>
        <v>0</v>
      </c>
      <c r="V39" s="36">
        <f>ROUND($D39*'件数(合算）'!W41,0)</f>
        <v>0</v>
      </c>
      <c r="W39" s="36">
        <f>ROUND($D39*'件数(合算）'!X41,0)</f>
        <v>0</v>
      </c>
      <c r="X39" s="36">
        <f>ROUND($D39*'件数(合算）'!Y41,0)</f>
        <v>0</v>
      </c>
      <c r="Y39" s="36">
        <f>ROUND($D39*'件数(合算）'!Z41,0)</f>
        <v>0</v>
      </c>
      <c r="Z39" s="36">
        <f>ROUND($C39*'件数(合算）'!AA41,0)</f>
        <v>0</v>
      </c>
      <c r="AA39" s="36">
        <f>ROUND($C39*'件数(合算）'!AB41,0)</f>
        <v>0</v>
      </c>
      <c r="AB39" s="36">
        <f>ROUND($C39*'件数(合算）'!AC41,0)</f>
        <v>0</v>
      </c>
      <c r="AC39" s="36">
        <f>ROUND($C39*'件数(合算）'!AD41,0)</f>
        <v>0</v>
      </c>
      <c r="AD39" s="36">
        <f>ROUND($C39*'件数(合算）'!AE41,0)</f>
        <v>0</v>
      </c>
      <c r="AE39" s="36">
        <f>ROUND($C39*'件数(合算）'!AF41,0)</f>
        <v>0</v>
      </c>
      <c r="AF39" s="36">
        <f>ROUND($C39*'件数(合算）'!AG41,0)</f>
        <v>0</v>
      </c>
      <c r="AG39" s="36">
        <f>ROUND($C39*'件数(合算）'!AH41,0)</f>
        <v>0</v>
      </c>
      <c r="AH39" s="36">
        <f>ROUND($C39*'件数(合算）'!AI41,0)</f>
        <v>0</v>
      </c>
      <c r="AI39" s="36">
        <f>ROUND($C39*'件数(合算）'!AJ41,0)</f>
        <v>0</v>
      </c>
      <c r="AJ39" s="36">
        <f>ROUND($C39*'件数(合算）'!AK41,0)</f>
        <v>0</v>
      </c>
      <c r="AK39" s="36">
        <f>ROUND($C39*'件数(合算）'!AL41,0)</f>
        <v>0</v>
      </c>
      <c r="AL39" s="36">
        <f>ROUND($C39*'件数(合算）'!AM41,0)</f>
        <v>0</v>
      </c>
      <c r="AM39" s="36">
        <f>ROUND($C39*'件数(合算）'!AN41,0)</f>
        <v>0</v>
      </c>
      <c r="AN39" s="36">
        <f>ROUND($C39*'件数(合算）'!AO41,0)</f>
        <v>0</v>
      </c>
      <c r="AO39" s="36">
        <f>ROUND($C39*'件数(合算）'!AP41,0)</f>
        <v>0</v>
      </c>
      <c r="AP39" s="36">
        <f>ROUND($C39*'件数(合算）'!AQ41,0)</f>
        <v>0</v>
      </c>
      <c r="AQ39" s="36">
        <f>ROUND($C39*'件数(合算）'!AR41,0)</f>
        <v>0</v>
      </c>
      <c r="AR39" s="36">
        <f>ROUND($C39*'件数(合算）'!AS41,0)</f>
        <v>0</v>
      </c>
      <c r="AS39" s="36">
        <f>ROUND($C39*'件数(合算）'!AT41,0)</f>
        <v>0</v>
      </c>
      <c r="AT39" s="36">
        <f>ROUND($C39*'件数(合算）'!AU41,0)</f>
        <v>0</v>
      </c>
      <c r="AU39" s="36">
        <f>ROUND($C39*'件数(合算）'!AV41,0)</f>
        <v>0</v>
      </c>
      <c r="AV39" s="10">
        <f t="shared" si="4"/>
        <v>0</v>
      </c>
    </row>
    <row r="40" spans="1:48" ht="22" customHeight="1">
      <c r="A40" s="26">
        <v>79082</v>
      </c>
      <c r="B40" s="27" t="s">
        <v>107</v>
      </c>
      <c r="C40" s="4">
        <f>'件数(合算）'!K42</f>
        <v>8.3333333333333329E-2</v>
      </c>
      <c r="D40" s="4">
        <f>'件数(合算）'!M42</f>
        <v>8.3333333333333329E-2</v>
      </c>
      <c r="E40" s="5">
        <f>'件数(合算）'!E42</f>
        <v>5000</v>
      </c>
      <c r="F40" s="5">
        <f>'件数(合算）'!F42</f>
        <v>5000</v>
      </c>
      <c r="G40" s="53"/>
      <c r="K40" s="4">
        <f>'件数(合算）'!K42</f>
        <v>8.3333333333333329E-2</v>
      </c>
      <c r="L40" s="4">
        <f>'件数(合算）'!K42</f>
        <v>8.3333333333333329E-2</v>
      </c>
      <c r="M40" s="4">
        <f>'件数(合算）'!K42</f>
        <v>8.3333333333333329E-2</v>
      </c>
      <c r="N40" s="4">
        <f>'件数(合算）'!K42</f>
        <v>8.3333333333333329E-2</v>
      </c>
      <c r="O40" s="3">
        <f>ROUND($D40*'件数(合算）'!P42,0)</f>
        <v>0</v>
      </c>
      <c r="P40" s="3">
        <f>ROUND($D40*'件数(合算）'!Q42,0)</f>
        <v>0</v>
      </c>
      <c r="Q40" s="3">
        <f>ROUND($D40*'件数(合算）'!R42,0)</f>
        <v>0</v>
      </c>
      <c r="R40" s="3">
        <f>ROUND($D40*'件数(合算）'!S42,0)</f>
        <v>0</v>
      </c>
      <c r="S40" s="3">
        <f>ROUND($D40*'件数(合算）'!T42,0)</f>
        <v>0</v>
      </c>
      <c r="T40" s="3">
        <f>ROUND($D40*'件数(合算）'!U42,0)</f>
        <v>0</v>
      </c>
      <c r="U40" s="3">
        <f>ROUND($D40*'件数(合算）'!V42,0)</f>
        <v>0</v>
      </c>
      <c r="V40" s="3">
        <f>ROUND($D40*'件数(合算）'!W42,0)</f>
        <v>0</v>
      </c>
      <c r="W40" s="3">
        <f>ROUND($D40*'件数(合算）'!X42,0)</f>
        <v>0</v>
      </c>
      <c r="X40" s="3">
        <f>ROUND($D40*'件数(合算）'!Y42,0)</f>
        <v>0</v>
      </c>
      <c r="Y40" s="3">
        <f>ROUND($D40*'件数(合算）'!Z42,0)</f>
        <v>0</v>
      </c>
      <c r="Z40" s="3">
        <f>ROUND($C40*'件数(合算）'!AA42,0)</f>
        <v>0</v>
      </c>
      <c r="AA40" s="3">
        <f>ROUND($C40*'件数(合算）'!AB42,0)</f>
        <v>0</v>
      </c>
      <c r="AB40" s="3">
        <f>ROUND($C40*'件数(合算）'!AC42,0)</f>
        <v>0</v>
      </c>
      <c r="AC40" s="3">
        <f>ROUND($C40*'件数(合算）'!AD42,0)</f>
        <v>0</v>
      </c>
      <c r="AD40" s="3">
        <f>ROUND($C40*'件数(合算）'!AE42,0)</f>
        <v>0</v>
      </c>
      <c r="AE40" s="3">
        <f>ROUND($C40*'件数(合算）'!AF42,0)</f>
        <v>0</v>
      </c>
      <c r="AF40" s="3">
        <f>ROUND($C40*'件数(合算）'!AG42,0)</f>
        <v>0</v>
      </c>
      <c r="AG40" s="3">
        <f>ROUND($C40*'件数(合算）'!AH42,0)</f>
        <v>0</v>
      </c>
      <c r="AH40" s="3">
        <f>ROUND($C40*'件数(合算）'!AI42,0)</f>
        <v>0</v>
      </c>
      <c r="AI40" s="3">
        <f>ROUND($C40*'件数(合算）'!AJ42,0)</f>
        <v>0</v>
      </c>
      <c r="AJ40" s="3">
        <f>ROUND($C40*'件数(合算）'!AK42,0)</f>
        <v>0</v>
      </c>
      <c r="AK40" s="3">
        <f>ROUND($C40*'件数(合算）'!AL42,0)</f>
        <v>0</v>
      </c>
      <c r="AL40" s="3">
        <f>ROUND($C40*'件数(合算）'!AM42,0)</f>
        <v>0</v>
      </c>
      <c r="AM40" s="3">
        <f>ROUND($C40*'件数(合算）'!AN42,0)</f>
        <v>0</v>
      </c>
      <c r="AN40" s="3">
        <f>ROUND($C40*'件数(合算）'!AO42,0)</f>
        <v>0</v>
      </c>
      <c r="AO40" s="3">
        <f>ROUND($C40*'件数(合算）'!AP42,0)</f>
        <v>0</v>
      </c>
      <c r="AP40" s="3">
        <f>ROUND($C40*'件数(合算）'!AQ42,0)</f>
        <v>0</v>
      </c>
      <c r="AQ40" s="3">
        <f>ROUND($C40*'件数(合算）'!AR42,0)</f>
        <v>0</v>
      </c>
      <c r="AR40" s="3">
        <f>ROUND($C40*'件数(合算）'!AS42,0)</f>
        <v>0</v>
      </c>
      <c r="AS40" s="3">
        <f>ROUND($C40*'件数(合算）'!AT42,0)</f>
        <v>0</v>
      </c>
      <c r="AT40" s="3">
        <f>ROUND($C40*'件数(合算）'!AU42,0)</f>
        <v>0</v>
      </c>
      <c r="AU40" s="3">
        <f>ROUND($C40*'件数(合算）'!AV42,0)</f>
        <v>0</v>
      </c>
      <c r="AV40" s="10">
        <f t="shared" si="4"/>
        <v>0</v>
      </c>
    </row>
    <row r="41" spans="1:48" ht="22" customHeight="1">
      <c r="A41" s="34">
        <v>349963</v>
      </c>
      <c r="B41" s="35" t="s">
        <v>109</v>
      </c>
      <c r="C41" s="37">
        <f>'件数(合算）'!K43</f>
        <v>0.2857142857142857</v>
      </c>
      <c r="D41" s="4">
        <f>'件数(合算）'!M43</f>
        <v>0.2857142857142857</v>
      </c>
      <c r="E41" s="49">
        <f>'件数(合算）'!E43</f>
        <v>4000</v>
      </c>
      <c r="F41" s="49">
        <f>'件数(合算）'!F43</f>
        <v>4000</v>
      </c>
      <c r="G41" s="53"/>
      <c r="K41" s="37">
        <f>'件数(合算）'!K43</f>
        <v>0.2857142857142857</v>
      </c>
      <c r="L41" s="37">
        <f>'件数(合算）'!K43</f>
        <v>0.2857142857142857</v>
      </c>
      <c r="M41" s="37">
        <f>'件数(合算）'!K43</f>
        <v>0.2857142857142857</v>
      </c>
      <c r="N41" s="37">
        <f>'件数(合算）'!K43</f>
        <v>0.2857142857142857</v>
      </c>
      <c r="O41" s="36">
        <f>ROUND($D41*'件数(合算）'!P43,0)</f>
        <v>0</v>
      </c>
      <c r="P41" s="36">
        <f>ROUND($D41*'件数(合算）'!Q43,0)</f>
        <v>0</v>
      </c>
      <c r="Q41" s="36">
        <f>ROUND($D41*'件数(合算）'!R43,0)</f>
        <v>0</v>
      </c>
      <c r="R41" s="36">
        <f>ROUND($D41*'件数(合算）'!S43,0)</f>
        <v>0</v>
      </c>
      <c r="S41" s="36">
        <f>ROUND($D41*'件数(合算）'!T43,0)</f>
        <v>0</v>
      </c>
      <c r="T41" s="36">
        <f>ROUND($D41*'件数(合算）'!U43,0)</f>
        <v>0</v>
      </c>
      <c r="U41" s="36">
        <f>ROUND($D41*'件数(合算）'!V43,0)</f>
        <v>0</v>
      </c>
      <c r="V41" s="36">
        <f>ROUND($D41*'件数(合算）'!W43,0)</f>
        <v>0</v>
      </c>
      <c r="W41" s="36">
        <f>ROUND($D41*'件数(合算）'!X43,0)</f>
        <v>0</v>
      </c>
      <c r="X41" s="36">
        <f>ROUND($D41*'件数(合算）'!Y43,0)</f>
        <v>0</v>
      </c>
      <c r="Y41" s="36">
        <f>ROUND($D41*'件数(合算）'!Z43,0)</f>
        <v>0</v>
      </c>
      <c r="Z41" s="36">
        <f>ROUND($C41*'件数(合算）'!AA43,0)</f>
        <v>0</v>
      </c>
      <c r="AA41" s="36">
        <f>ROUND($C41*'件数(合算）'!AB43,0)</f>
        <v>0</v>
      </c>
      <c r="AB41" s="36">
        <f>ROUND($C41*'件数(合算）'!AC43,0)</f>
        <v>0</v>
      </c>
      <c r="AC41" s="36">
        <f>ROUND($C41*'件数(合算）'!AD43,0)</f>
        <v>0</v>
      </c>
      <c r="AD41" s="36">
        <f>ROUND($C41*'件数(合算）'!AE43,0)</f>
        <v>0</v>
      </c>
      <c r="AE41" s="36">
        <f>ROUND($C41*'件数(合算）'!AF43,0)</f>
        <v>0</v>
      </c>
      <c r="AF41" s="36">
        <f>ROUND($C41*'件数(合算）'!AG43,0)</f>
        <v>0</v>
      </c>
      <c r="AG41" s="36">
        <f>ROUND($C41*'件数(合算）'!AH43,0)</f>
        <v>0</v>
      </c>
      <c r="AH41" s="36">
        <f>ROUND($C41*'件数(合算）'!AI43,0)</f>
        <v>0</v>
      </c>
      <c r="AI41" s="36">
        <f>ROUND($C41*'件数(合算）'!AJ43,0)</f>
        <v>0</v>
      </c>
      <c r="AJ41" s="36">
        <f>ROUND($C41*'件数(合算）'!AK43,0)</f>
        <v>0</v>
      </c>
      <c r="AK41" s="36">
        <f>ROUND($C41*'件数(合算）'!AL43,0)</f>
        <v>0</v>
      </c>
      <c r="AL41" s="36">
        <f>ROUND($C41*'件数(合算）'!AM43,0)</f>
        <v>0</v>
      </c>
      <c r="AM41" s="36">
        <f>ROUND($C41*'件数(合算）'!AN43,0)</f>
        <v>0</v>
      </c>
      <c r="AN41" s="36">
        <f>ROUND($C41*'件数(合算）'!AO43,0)</f>
        <v>0</v>
      </c>
      <c r="AO41" s="36">
        <f>ROUND($C41*'件数(合算）'!AP43,0)</f>
        <v>0</v>
      </c>
      <c r="AP41" s="36">
        <f>ROUND($C41*'件数(合算）'!AQ43,0)</f>
        <v>0</v>
      </c>
      <c r="AQ41" s="36">
        <f>ROUND($C41*'件数(合算）'!AR43,0)</f>
        <v>0</v>
      </c>
      <c r="AR41" s="36">
        <f>ROUND($C41*'件数(合算）'!AS43,0)</f>
        <v>0</v>
      </c>
      <c r="AS41" s="36">
        <f>ROUND($C41*'件数(合算）'!AT43,0)</f>
        <v>0</v>
      </c>
      <c r="AT41" s="36">
        <f>ROUND($C41*'件数(合算）'!AU43,0)</f>
        <v>0</v>
      </c>
      <c r="AU41" s="36">
        <f>ROUND($C41*'件数(合算）'!AV43,0)</f>
        <v>0</v>
      </c>
      <c r="AV41" s="10">
        <f t="shared" si="4"/>
        <v>0</v>
      </c>
    </row>
    <row r="42" spans="1:48" ht="22" customHeight="1">
      <c r="A42" s="26">
        <v>355488</v>
      </c>
      <c r="B42" s="27" t="s">
        <v>111</v>
      </c>
      <c r="C42" s="4">
        <f>'件数(合算）'!K44</f>
        <v>0.1020408163265306</v>
      </c>
      <c r="D42" s="4">
        <f>'件数(合算）'!M44</f>
        <v>0.151</v>
      </c>
      <c r="E42" s="5">
        <f>'件数(合算）'!E44</f>
        <v>3500</v>
      </c>
      <c r="F42" s="5">
        <f>'件数(合算）'!F44</f>
        <v>3500</v>
      </c>
      <c r="G42" s="53"/>
      <c r="K42" s="4">
        <f>'件数(合算）'!K44</f>
        <v>0.1020408163265306</v>
      </c>
      <c r="L42" s="4">
        <f>'件数(合算）'!K44</f>
        <v>0.1020408163265306</v>
      </c>
      <c r="M42" s="4">
        <f>'件数(合算）'!K44</f>
        <v>0.1020408163265306</v>
      </c>
      <c r="N42" s="4">
        <f>'件数(合算）'!K44</f>
        <v>0.1020408163265306</v>
      </c>
      <c r="O42" s="3">
        <f>ROUND($D42*'件数(合算）'!P44,0)</f>
        <v>1</v>
      </c>
      <c r="P42" s="3">
        <f>ROUND($D42*'件数(合算）'!Q44,0)</f>
        <v>1</v>
      </c>
      <c r="Q42" s="3">
        <f>ROUND($D42*'件数(合算）'!R44,0)</f>
        <v>1</v>
      </c>
      <c r="R42" s="3">
        <f>ROUND($D42*'件数(合算）'!S44,0)</f>
        <v>1</v>
      </c>
      <c r="S42" s="3">
        <f>ROUND($D42*'件数(合算）'!T44,0)</f>
        <v>1</v>
      </c>
      <c r="T42" s="3">
        <f>ROUND($D42*'件数(合算）'!U44,0)</f>
        <v>1</v>
      </c>
      <c r="U42" s="3">
        <f>ROUND($D42*'件数(合算）'!V44,0)</f>
        <v>1</v>
      </c>
      <c r="V42" s="3">
        <f>ROUND($D42*'件数(合算）'!W44,0)</f>
        <v>1</v>
      </c>
      <c r="W42" s="3">
        <f>ROUND($D42*'件数(合算）'!X44,0)</f>
        <v>1</v>
      </c>
      <c r="X42" s="3">
        <f>ROUND($D42*'件数(合算）'!Y44,0)</f>
        <v>1</v>
      </c>
      <c r="Y42" s="3">
        <f>ROUND($D42*'件数(合算）'!Z44,0)</f>
        <v>1</v>
      </c>
      <c r="Z42" s="3">
        <f>ROUND($C42*'件数(合算）'!AA44,0)</f>
        <v>0</v>
      </c>
      <c r="AA42" s="3">
        <f>ROUND($C42*'件数(合算）'!AB44,0)</f>
        <v>0</v>
      </c>
      <c r="AB42" s="3">
        <f>ROUND($C42*'件数(合算）'!AC44,0)</f>
        <v>0</v>
      </c>
      <c r="AC42" s="3">
        <f>ROUND($C42*'件数(合算）'!AD44,0)</f>
        <v>0</v>
      </c>
      <c r="AD42" s="3">
        <f>ROUND($C42*'件数(合算）'!AE44,0)</f>
        <v>0</v>
      </c>
      <c r="AE42" s="3">
        <f>ROUND($C42*'件数(合算）'!AF44,0)</f>
        <v>0</v>
      </c>
      <c r="AF42" s="3">
        <f>ROUND($C42*'件数(合算）'!AG44,0)</f>
        <v>0</v>
      </c>
      <c r="AG42" s="3">
        <f>ROUND($C42*'件数(合算）'!AH44,0)</f>
        <v>0</v>
      </c>
      <c r="AH42" s="3">
        <f>ROUND($C42*'件数(合算）'!AI44,0)</f>
        <v>0</v>
      </c>
      <c r="AI42" s="3">
        <f>ROUND($C42*'件数(合算）'!AJ44,0)</f>
        <v>0</v>
      </c>
      <c r="AJ42" s="3">
        <f>ROUND($C42*'件数(合算）'!AK44,0)</f>
        <v>0</v>
      </c>
      <c r="AK42" s="3">
        <f>ROUND($C42*'件数(合算）'!AL44,0)</f>
        <v>0</v>
      </c>
      <c r="AL42" s="3">
        <f>ROUND($C42*'件数(合算）'!AM44,0)</f>
        <v>0</v>
      </c>
      <c r="AM42" s="3">
        <f>ROUND($C42*'件数(合算）'!AN44,0)</f>
        <v>0</v>
      </c>
      <c r="AN42" s="3">
        <f>ROUND($C42*'件数(合算）'!AO44,0)</f>
        <v>0</v>
      </c>
      <c r="AO42" s="3">
        <f>ROUND($C42*'件数(合算）'!AP44,0)</f>
        <v>0</v>
      </c>
      <c r="AP42" s="3">
        <f>ROUND($C42*'件数(合算）'!AQ44,0)</f>
        <v>0</v>
      </c>
      <c r="AQ42" s="3">
        <f>ROUND($C42*'件数(合算）'!AR44,0)</f>
        <v>0</v>
      </c>
      <c r="AR42" s="3">
        <f>ROUND($C42*'件数(合算）'!AS44,0)</f>
        <v>0</v>
      </c>
      <c r="AS42" s="3">
        <f>ROUND($C42*'件数(合算）'!AT44,0)</f>
        <v>0</v>
      </c>
      <c r="AT42" s="3">
        <f>ROUND($C42*'件数(合算）'!AU44,0)</f>
        <v>0</v>
      </c>
      <c r="AU42" s="3">
        <f>ROUND($C42*'件数(合算）'!AV44,0)</f>
        <v>0</v>
      </c>
      <c r="AV42" s="10">
        <f t="shared" si="4"/>
        <v>11</v>
      </c>
    </row>
    <row r="43" spans="1:48" ht="22" customHeight="1">
      <c r="A43" s="34">
        <v>356767</v>
      </c>
      <c r="B43" s="35" t="s">
        <v>113</v>
      </c>
      <c r="C43" s="37">
        <f>'件数(合算）'!K45</f>
        <v>0.29032258064516131</v>
      </c>
      <c r="D43" s="4">
        <f>'件数(合算）'!M45</f>
        <v>0.29399999999999998</v>
      </c>
      <c r="E43" s="49">
        <f>'件数(合算）'!E45</f>
        <v>8000</v>
      </c>
      <c r="F43" s="49">
        <f>'件数(合算）'!F45</f>
        <v>8000</v>
      </c>
      <c r="G43" s="53"/>
      <c r="K43" s="37">
        <f>'件数(合算）'!K45</f>
        <v>0.29032258064516131</v>
      </c>
      <c r="L43" s="37">
        <f>'件数(合算）'!K45</f>
        <v>0.29032258064516131</v>
      </c>
      <c r="M43" s="37">
        <f>'件数(合算）'!K45</f>
        <v>0.29032258064516131</v>
      </c>
      <c r="N43" s="37">
        <f>'件数(合算）'!K45</f>
        <v>0.29032258064516131</v>
      </c>
      <c r="O43" s="36">
        <f>ROUND($D43*'件数(合算）'!P45,0)</f>
        <v>1</v>
      </c>
      <c r="P43" s="36">
        <f>ROUND($D43*'件数(合算）'!Q45,0)</f>
        <v>0</v>
      </c>
      <c r="Q43" s="36">
        <f>ROUND($D43*'件数(合算）'!R45,0)</f>
        <v>1</v>
      </c>
      <c r="R43" s="36">
        <f>ROUND($D43*'件数(合算）'!S45,0)</f>
        <v>1</v>
      </c>
      <c r="S43" s="36">
        <f>ROUND($D43*'件数(合算）'!T45,0)</f>
        <v>1</v>
      </c>
      <c r="T43" s="36">
        <f>ROUND($D43*'件数(合算）'!U45,0)</f>
        <v>1</v>
      </c>
      <c r="U43" s="36">
        <f>ROUND($D43*'件数(合算）'!V45,0)</f>
        <v>1</v>
      </c>
      <c r="V43" s="36">
        <f>ROUND($D43*'件数(合算）'!W45,0)</f>
        <v>1</v>
      </c>
      <c r="W43" s="36">
        <f>ROUND($D43*'件数(合算）'!X45,0)</f>
        <v>0</v>
      </c>
      <c r="X43" s="36">
        <f>ROUND($D43*'件数(合算）'!Y45,0)</f>
        <v>1</v>
      </c>
      <c r="Y43" s="36">
        <f>ROUND($D43*'件数(合算）'!Z45,0)</f>
        <v>0</v>
      </c>
      <c r="Z43" s="36">
        <f>ROUND($C43*'件数(合算）'!AA45,0)</f>
        <v>1</v>
      </c>
      <c r="AA43" s="36">
        <f>ROUND($C43*'件数(合算）'!AB45,0)</f>
        <v>1</v>
      </c>
      <c r="AB43" s="36">
        <f>ROUND($C43*'件数(合算）'!AC45,0)</f>
        <v>1</v>
      </c>
      <c r="AC43" s="36">
        <f>ROUND($C43*'件数(合算）'!AD45,0)</f>
        <v>1</v>
      </c>
      <c r="AD43" s="36">
        <f>ROUND($C43*'件数(合算）'!AE45,0)</f>
        <v>0</v>
      </c>
      <c r="AE43" s="36">
        <f>ROUND($C43*'件数(合算）'!AF45,0)</f>
        <v>1</v>
      </c>
      <c r="AF43" s="36">
        <f>ROUND($C43*'件数(合算）'!AG45,0)</f>
        <v>0</v>
      </c>
      <c r="AG43" s="36">
        <f>ROUND($C43*'件数(合算）'!AH45,0)</f>
        <v>0</v>
      </c>
      <c r="AH43" s="36">
        <f>ROUND($C43*'件数(合算）'!AI45,0)</f>
        <v>0</v>
      </c>
      <c r="AI43" s="36">
        <f>ROUND($C43*'件数(合算）'!AJ45,0)</f>
        <v>0</v>
      </c>
      <c r="AJ43" s="36">
        <f>ROUND($C43*'件数(合算）'!AK45,0)</f>
        <v>0</v>
      </c>
      <c r="AK43" s="36">
        <f>ROUND($C43*'件数(合算）'!AL45,0)</f>
        <v>0</v>
      </c>
      <c r="AL43" s="36">
        <f>ROUND($C43*'件数(合算）'!AM45,0)</f>
        <v>0</v>
      </c>
      <c r="AM43" s="36">
        <f>ROUND($C43*'件数(合算）'!AN45,0)</f>
        <v>0</v>
      </c>
      <c r="AN43" s="36">
        <f>ROUND($C43*'件数(合算）'!AO45,0)</f>
        <v>0</v>
      </c>
      <c r="AO43" s="36">
        <f>ROUND($C43*'件数(合算）'!AP45,0)</f>
        <v>0</v>
      </c>
      <c r="AP43" s="36">
        <f>ROUND($C43*'件数(合算）'!AQ45,0)</f>
        <v>0</v>
      </c>
      <c r="AQ43" s="36">
        <f>ROUND($C43*'件数(合算）'!AR45,0)</f>
        <v>0</v>
      </c>
      <c r="AR43" s="36">
        <f>ROUND($C43*'件数(合算）'!AS45,0)</f>
        <v>0</v>
      </c>
      <c r="AS43" s="36">
        <f>ROUND($C43*'件数(合算）'!AT45,0)</f>
        <v>0</v>
      </c>
      <c r="AT43" s="36">
        <f>ROUND($C43*'件数(合算）'!AU45,0)</f>
        <v>0</v>
      </c>
      <c r="AU43" s="36">
        <f>ROUND($C43*'件数(合算）'!AV45,0)</f>
        <v>0</v>
      </c>
      <c r="AV43" s="10">
        <f t="shared" si="4"/>
        <v>13</v>
      </c>
    </row>
    <row r="44" spans="1:48" ht="22" customHeight="1">
      <c r="A44" s="26">
        <v>154908</v>
      </c>
      <c r="B44" s="27" t="s">
        <v>115</v>
      </c>
      <c r="C44" s="4">
        <f>'件数(合算）'!K46</f>
        <v>0.33333333333333331</v>
      </c>
      <c r="D44" s="4">
        <f>'件数(合算）'!M46</f>
        <v>0.33333333333333331</v>
      </c>
      <c r="E44" s="5">
        <f>'件数(合算）'!E46</f>
        <v>5000</v>
      </c>
      <c r="F44" s="5">
        <f>'件数(合算）'!F46</f>
        <v>5000</v>
      </c>
      <c r="G44" s="53"/>
      <c r="K44" s="4">
        <f>'件数(合算）'!K46</f>
        <v>0.33333333333333331</v>
      </c>
      <c r="L44" s="4">
        <f>'件数(合算）'!K46</f>
        <v>0.33333333333333331</v>
      </c>
      <c r="M44" s="4">
        <f>'件数(合算）'!K46</f>
        <v>0.33333333333333331</v>
      </c>
      <c r="N44" s="4">
        <f>'件数(合算）'!K46</f>
        <v>0.33333333333333331</v>
      </c>
      <c r="O44" s="3">
        <f>ROUND($D44*'件数(合算）'!P46,0)</f>
        <v>0</v>
      </c>
      <c r="P44" s="3">
        <f>ROUND($D44*'件数(合算）'!Q46,0)</f>
        <v>0</v>
      </c>
      <c r="Q44" s="3">
        <f>ROUND($D44*'件数(合算）'!R46,0)</f>
        <v>0</v>
      </c>
      <c r="R44" s="3">
        <f>ROUND($D44*'件数(合算）'!S46,0)</f>
        <v>0</v>
      </c>
      <c r="S44" s="3">
        <f>ROUND($D44*'件数(合算）'!T46,0)</f>
        <v>0</v>
      </c>
      <c r="T44" s="3">
        <f>ROUND($D44*'件数(合算）'!U46,0)</f>
        <v>0</v>
      </c>
      <c r="U44" s="3">
        <f>ROUND($D44*'件数(合算）'!V46,0)</f>
        <v>0</v>
      </c>
      <c r="V44" s="3">
        <f>ROUND($D44*'件数(合算）'!W46,0)</f>
        <v>0</v>
      </c>
      <c r="W44" s="3">
        <f>ROUND($D44*'件数(合算）'!X46,0)</f>
        <v>0</v>
      </c>
      <c r="X44" s="3">
        <f>ROUND($D44*'件数(合算）'!Y46,0)</f>
        <v>0</v>
      </c>
      <c r="Y44" s="3">
        <f>ROUND($D44*'件数(合算）'!Z46,0)</f>
        <v>0</v>
      </c>
      <c r="Z44" s="3">
        <f>ROUND($C44*'件数(合算）'!AA46,0)</f>
        <v>0</v>
      </c>
      <c r="AA44" s="3">
        <f>ROUND($C44*'件数(合算）'!AB46,0)</f>
        <v>0</v>
      </c>
      <c r="AB44" s="3">
        <f>ROUND($C44*'件数(合算）'!AC46,0)</f>
        <v>0</v>
      </c>
      <c r="AC44" s="3">
        <f>ROUND($C44*'件数(合算）'!AD46,0)</f>
        <v>0</v>
      </c>
      <c r="AD44" s="3">
        <f>ROUND($C44*'件数(合算）'!AE46,0)</f>
        <v>0</v>
      </c>
      <c r="AE44" s="3">
        <f>ROUND($C44*'件数(合算）'!AF46,0)</f>
        <v>0</v>
      </c>
      <c r="AF44" s="3">
        <f>ROUND($C44*'件数(合算）'!AG46,0)</f>
        <v>0</v>
      </c>
      <c r="AG44" s="3">
        <f>ROUND($C44*'件数(合算）'!AH46,0)</f>
        <v>0</v>
      </c>
      <c r="AH44" s="3">
        <f>ROUND($C44*'件数(合算）'!AI46,0)</f>
        <v>0</v>
      </c>
      <c r="AI44" s="3">
        <f>ROUND($C44*'件数(合算）'!AJ46,0)</f>
        <v>0</v>
      </c>
      <c r="AJ44" s="3">
        <f>ROUND($C44*'件数(合算）'!AK46,0)</f>
        <v>0</v>
      </c>
      <c r="AK44" s="3">
        <f>ROUND($C44*'件数(合算）'!AL46,0)</f>
        <v>0</v>
      </c>
      <c r="AL44" s="3">
        <f>ROUND($C44*'件数(合算）'!AM46,0)</f>
        <v>0</v>
      </c>
      <c r="AM44" s="3">
        <f>ROUND($C44*'件数(合算）'!AN46,0)</f>
        <v>0</v>
      </c>
      <c r="AN44" s="3">
        <f>ROUND($C44*'件数(合算）'!AO46,0)</f>
        <v>0</v>
      </c>
      <c r="AO44" s="3">
        <f>ROUND($C44*'件数(合算）'!AP46,0)</f>
        <v>0</v>
      </c>
      <c r="AP44" s="3">
        <f>ROUND($C44*'件数(合算）'!AQ46,0)</f>
        <v>0</v>
      </c>
      <c r="AQ44" s="3">
        <f>ROUND($C44*'件数(合算）'!AR46,0)</f>
        <v>0</v>
      </c>
      <c r="AR44" s="3">
        <f>ROUND($C44*'件数(合算）'!AS46,0)</f>
        <v>0</v>
      </c>
      <c r="AS44" s="3">
        <f>ROUND($C44*'件数(合算）'!AT46,0)</f>
        <v>0</v>
      </c>
      <c r="AT44" s="3">
        <f>ROUND($C44*'件数(合算）'!AU46,0)</f>
        <v>0</v>
      </c>
      <c r="AU44" s="3">
        <f>ROUND($C44*'件数(合算）'!AV46,0)</f>
        <v>0</v>
      </c>
      <c r="AV44" s="10">
        <f t="shared" si="4"/>
        <v>0</v>
      </c>
    </row>
    <row r="45" spans="1:48" ht="22" customHeight="1">
      <c r="A45" s="34">
        <v>389113</v>
      </c>
      <c r="B45" s="35" t="s">
        <v>117</v>
      </c>
      <c r="C45" s="37">
        <f>'件数(合算）'!K47</f>
        <v>9.375E-2</v>
      </c>
      <c r="D45" s="4">
        <f>'件数(合算）'!M47</f>
        <v>9.375E-2</v>
      </c>
      <c r="E45" s="49">
        <f>'件数(合算）'!E47</f>
        <v>12000</v>
      </c>
      <c r="F45" s="49">
        <f>'件数(合算）'!F47</f>
        <v>12000</v>
      </c>
      <c r="G45" s="53"/>
      <c r="K45" s="37">
        <f>'件数(合算）'!K47</f>
        <v>9.375E-2</v>
      </c>
      <c r="L45" s="37">
        <f>'件数(合算）'!K47</f>
        <v>9.375E-2</v>
      </c>
      <c r="M45" s="37">
        <f>'件数(合算）'!K47</f>
        <v>9.375E-2</v>
      </c>
      <c r="N45" s="37">
        <f>'件数(合算）'!K47</f>
        <v>9.375E-2</v>
      </c>
      <c r="O45" s="36">
        <f>ROUND($D45*'件数(合算）'!P47,0)</f>
        <v>0</v>
      </c>
      <c r="P45" s="36">
        <f>ROUND($D45*'件数(合算）'!Q47,0)</f>
        <v>0</v>
      </c>
      <c r="Q45" s="36">
        <f>ROUND($D45*'件数(合算）'!R47,0)</f>
        <v>0</v>
      </c>
      <c r="R45" s="36">
        <f>ROUND($D45*'件数(合算）'!S47,0)</f>
        <v>0</v>
      </c>
      <c r="S45" s="36">
        <f>ROUND($D45*'件数(合算）'!T47,0)</f>
        <v>0</v>
      </c>
      <c r="T45" s="36">
        <f>ROUND($D45*'件数(合算）'!U47,0)</f>
        <v>0</v>
      </c>
      <c r="U45" s="36">
        <f>ROUND($D45*'件数(合算）'!V47,0)</f>
        <v>0</v>
      </c>
      <c r="V45" s="36">
        <f>ROUND($D45*'件数(合算）'!W47,0)</f>
        <v>0</v>
      </c>
      <c r="W45" s="36">
        <f>ROUND($D45*'件数(合算）'!X47,0)</f>
        <v>0</v>
      </c>
      <c r="X45" s="36">
        <f>ROUND($D45*'件数(合算）'!Y47,0)</f>
        <v>0</v>
      </c>
      <c r="Y45" s="36">
        <f>ROUND($D45*'件数(合算）'!Z47,0)</f>
        <v>0</v>
      </c>
      <c r="Z45" s="36">
        <f>ROUND($C45*'件数(合算）'!AA47,0)</f>
        <v>0</v>
      </c>
      <c r="AA45" s="36">
        <f>ROUND($C45*'件数(合算）'!AB47,0)</f>
        <v>0</v>
      </c>
      <c r="AB45" s="36">
        <f>ROUND($C45*'件数(合算）'!AC47,0)</f>
        <v>0</v>
      </c>
      <c r="AC45" s="36">
        <f>ROUND($C45*'件数(合算）'!AD47,0)</f>
        <v>0</v>
      </c>
      <c r="AD45" s="36">
        <f>ROUND($C45*'件数(合算）'!AE47,0)</f>
        <v>0</v>
      </c>
      <c r="AE45" s="36">
        <f>ROUND($C45*'件数(合算）'!AF47,0)</f>
        <v>0</v>
      </c>
      <c r="AF45" s="36">
        <f>ROUND($C45*'件数(合算）'!AG47,0)</f>
        <v>0</v>
      </c>
      <c r="AG45" s="36">
        <f>ROUND($C45*'件数(合算）'!AH47,0)</f>
        <v>0</v>
      </c>
      <c r="AH45" s="36">
        <f>ROUND($C45*'件数(合算）'!AI47,0)</f>
        <v>0</v>
      </c>
      <c r="AI45" s="36">
        <f>ROUND($C45*'件数(合算）'!AJ47,0)</f>
        <v>0</v>
      </c>
      <c r="AJ45" s="36">
        <f>ROUND($C45*'件数(合算）'!AK47,0)</f>
        <v>0</v>
      </c>
      <c r="AK45" s="36">
        <f>ROUND($C45*'件数(合算）'!AL47,0)</f>
        <v>0</v>
      </c>
      <c r="AL45" s="36">
        <f>ROUND($C45*'件数(合算）'!AM47,0)</f>
        <v>0</v>
      </c>
      <c r="AM45" s="36">
        <f>ROUND($C45*'件数(合算）'!AN47,0)</f>
        <v>0</v>
      </c>
      <c r="AN45" s="36">
        <f>ROUND($C45*'件数(合算）'!AO47,0)</f>
        <v>0</v>
      </c>
      <c r="AO45" s="36">
        <f>ROUND($C45*'件数(合算）'!AP47,0)</f>
        <v>0</v>
      </c>
      <c r="AP45" s="36">
        <f>ROUND($C45*'件数(合算）'!AQ47,0)</f>
        <v>0</v>
      </c>
      <c r="AQ45" s="36">
        <f>ROUND($C45*'件数(合算）'!AR47,0)</f>
        <v>0</v>
      </c>
      <c r="AR45" s="36">
        <f>ROUND($C45*'件数(合算）'!AS47,0)</f>
        <v>0</v>
      </c>
      <c r="AS45" s="36">
        <f>ROUND($C45*'件数(合算）'!AT47,0)</f>
        <v>0</v>
      </c>
      <c r="AT45" s="36">
        <f>ROUND($C45*'件数(合算）'!AU47,0)</f>
        <v>0</v>
      </c>
      <c r="AU45" s="36">
        <f>ROUND($C45*'件数(合算）'!AV47,0)</f>
        <v>0</v>
      </c>
      <c r="AV45" s="10">
        <f t="shared" si="4"/>
        <v>0</v>
      </c>
    </row>
    <row r="46" spans="1:48" ht="22" customHeight="1">
      <c r="A46" s="26">
        <v>392086</v>
      </c>
      <c r="B46" s="27" t="s">
        <v>119</v>
      </c>
      <c r="C46" s="4">
        <f>'件数(合算）'!K48</f>
        <v>0.125</v>
      </c>
      <c r="D46" s="4">
        <f>'件数(合算）'!M48</f>
        <v>0.13300000000000001</v>
      </c>
      <c r="E46" s="5">
        <f>'件数(合算）'!E48</f>
        <v>1300</v>
      </c>
      <c r="F46" s="5">
        <f>'件数(合算）'!F48</f>
        <v>1300</v>
      </c>
      <c r="G46" s="53"/>
      <c r="K46" s="4">
        <f>'件数(合算）'!K48</f>
        <v>0.125</v>
      </c>
      <c r="L46" s="4">
        <f>'件数(合算）'!K48</f>
        <v>0.125</v>
      </c>
      <c r="M46" s="4">
        <f>'件数(合算）'!K48</f>
        <v>0.125</v>
      </c>
      <c r="N46" s="4">
        <f>'件数(合算）'!K48</f>
        <v>0.125</v>
      </c>
      <c r="O46" s="3">
        <f>ROUND($D46*'件数(合算）'!P48,0)</f>
        <v>0</v>
      </c>
      <c r="P46" s="3">
        <f>ROUND($D46*'件数(合算）'!Q48,0)</f>
        <v>0</v>
      </c>
      <c r="Q46" s="3">
        <f>ROUND($D46*'件数(合算）'!R48,0)</f>
        <v>0</v>
      </c>
      <c r="R46" s="3">
        <f>ROUND($D46*'件数(合算）'!S48,0)</f>
        <v>0</v>
      </c>
      <c r="S46" s="3">
        <f>ROUND($D46*'件数(合算）'!T48,0)</f>
        <v>0</v>
      </c>
      <c r="T46" s="3">
        <f>ROUND($D46*'件数(合算）'!U48,0)</f>
        <v>0</v>
      </c>
      <c r="U46" s="3">
        <f>ROUND($D46*'件数(合算）'!V48,0)</f>
        <v>0</v>
      </c>
      <c r="V46" s="3">
        <f>ROUND($D46*'件数(合算）'!W48,0)</f>
        <v>0</v>
      </c>
      <c r="W46" s="3">
        <f>ROUND($D46*'件数(合算）'!X48,0)</f>
        <v>0</v>
      </c>
      <c r="X46" s="3">
        <f>ROUND($D46*'件数(合算）'!Y48,0)</f>
        <v>0</v>
      </c>
      <c r="Y46" s="3">
        <f>ROUND($D46*'件数(合算）'!Z48,0)</f>
        <v>0</v>
      </c>
      <c r="Z46" s="3">
        <f>ROUND($C46*'件数(合算）'!AA48,0)</f>
        <v>0</v>
      </c>
      <c r="AA46" s="3">
        <f>ROUND($C46*'件数(合算）'!AB48,0)</f>
        <v>0</v>
      </c>
      <c r="AB46" s="3">
        <f>ROUND($C46*'件数(合算）'!AC48,0)</f>
        <v>0</v>
      </c>
      <c r="AC46" s="3">
        <f>ROUND($C46*'件数(合算）'!AD48,0)</f>
        <v>0</v>
      </c>
      <c r="AD46" s="3">
        <f>ROUND($C46*'件数(合算）'!AE48,0)</f>
        <v>0</v>
      </c>
      <c r="AE46" s="3">
        <f>ROUND($C46*'件数(合算）'!AF48,0)</f>
        <v>0</v>
      </c>
      <c r="AF46" s="3">
        <f>ROUND($C46*'件数(合算）'!AG48,0)</f>
        <v>0</v>
      </c>
      <c r="AG46" s="3">
        <f>ROUND($C46*'件数(合算）'!AH48,0)</f>
        <v>0</v>
      </c>
      <c r="AH46" s="3">
        <f>ROUND($C46*'件数(合算）'!AI48,0)</f>
        <v>0</v>
      </c>
      <c r="AI46" s="3">
        <f>ROUND($C46*'件数(合算）'!AJ48,0)</f>
        <v>0</v>
      </c>
      <c r="AJ46" s="3">
        <f>ROUND($C46*'件数(合算）'!AK48,0)</f>
        <v>0</v>
      </c>
      <c r="AK46" s="3">
        <f>ROUND($C46*'件数(合算）'!AL48,0)</f>
        <v>0</v>
      </c>
      <c r="AL46" s="3">
        <f>ROUND($C46*'件数(合算）'!AM48,0)</f>
        <v>0</v>
      </c>
      <c r="AM46" s="3">
        <f>ROUND($C46*'件数(合算）'!AN48,0)</f>
        <v>0</v>
      </c>
      <c r="AN46" s="3">
        <f>ROUND($C46*'件数(合算）'!AO48,0)</f>
        <v>0</v>
      </c>
      <c r="AO46" s="3">
        <f>ROUND($C46*'件数(合算）'!AP48,0)</f>
        <v>0</v>
      </c>
      <c r="AP46" s="3">
        <f>ROUND($C46*'件数(合算）'!AQ48,0)</f>
        <v>0</v>
      </c>
      <c r="AQ46" s="3">
        <f>ROUND($C46*'件数(合算）'!AR48,0)</f>
        <v>0</v>
      </c>
      <c r="AR46" s="3">
        <f>ROUND($C46*'件数(合算）'!AS48,0)</f>
        <v>0</v>
      </c>
      <c r="AS46" s="3">
        <f>ROUND($C46*'件数(合算）'!AT48,0)</f>
        <v>0</v>
      </c>
      <c r="AT46" s="3">
        <f>ROUND($C46*'件数(合算）'!AU48,0)</f>
        <v>0</v>
      </c>
      <c r="AU46" s="3">
        <f>ROUND($C46*'件数(合算）'!AV48,0)</f>
        <v>0</v>
      </c>
      <c r="AV46" s="10">
        <f t="shared" si="4"/>
        <v>0</v>
      </c>
    </row>
    <row r="47" spans="1:48" ht="22" customHeight="1">
      <c r="A47" s="34">
        <v>347872</v>
      </c>
      <c r="B47" s="35" t="s">
        <v>121</v>
      </c>
      <c r="C47" s="37">
        <f>'件数(合算）'!K49</f>
        <v>0.66666666666666663</v>
      </c>
      <c r="D47" s="4">
        <f>'件数(合算）'!M49</f>
        <v>0.5</v>
      </c>
      <c r="E47" s="49">
        <f>'件数(合算）'!E49</f>
        <v>1300</v>
      </c>
      <c r="F47" s="49">
        <f>'件数(合算）'!F49</f>
        <v>1300</v>
      </c>
      <c r="G47" s="53"/>
      <c r="K47" s="37">
        <f>'件数(合算）'!K49</f>
        <v>0.66666666666666663</v>
      </c>
      <c r="L47" s="37">
        <f>'件数(合算）'!K49</f>
        <v>0.66666666666666663</v>
      </c>
      <c r="M47" s="37">
        <f>'件数(合算）'!K49</f>
        <v>0.66666666666666663</v>
      </c>
      <c r="N47" s="37">
        <f>'件数(合算）'!K49</f>
        <v>0.66666666666666663</v>
      </c>
      <c r="O47" s="36">
        <f>ROUND($D47*'件数(合算）'!P49,0)</f>
        <v>1</v>
      </c>
      <c r="P47" s="36">
        <f>ROUND($D47*'件数(合算）'!Q49,0)</f>
        <v>1</v>
      </c>
      <c r="Q47" s="36">
        <f>ROUND($D47*'件数(合算）'!R49,0)</f>
        <v>1</v>
      </c>
      <c r="R47" s="36">
        <f>ROUND($D47*'件数(合算）'!S49,0)</f>
        <v>1</v>
      </c>
      <c r="S47" s="36">
        <f>ROUND($D47*'件数(合算）'!T49,0)</f>
        <v>1</v>
      </c>
      <c r="T47" s="36">
        <f>ROUND($D47*'件数(合算）'!U49,0)</f>
        <v>1</v>
      </c>
      <c r="U47" s="36">
        <f>ROUND($D47*'件数(合算）'!V49,0)</f>
        <v>1</v>
      </c>
      <c r="V47" s="36">
        <f>ROUND($D47*'件数(合算）'!W49,0)</f>
        <v>1</v>
      </c>
      <c r="W47" s="36">
        <f>ROUND($D47*'件数(合算）'!X49,0)</f>
        <v>1</v>
      </c>
      <c r="X47" s="36">
        <f>ROUND($D47*'件数(合算）'!Y49,0)</f>
        <v>1</v>
      </c>
      <c r="Y47" s="36">
        <f>ROUND($D47*'件数(合算）'!Z49,0)</f>
        <v>0</v>
      </c>
      <c r="Z47" s="36">
        <f>ROUND($C47*'件数(合算）'!AA49,0)</f>
        <v>0</v>
      </c>
      <c r="AA47" s="36">
        <f>ROUND($C47*'件数(合算）'!AB49,0)</f>
        <v>0</v>
      </c>
      <c r="AB47" s="36">
        <f>ROUND($C47*'件数(合算）'!AC49,0)</f>
        <v>0</v>
      </c>
      <c r="AC47" s="36">
        <f>ROUND($C47*'件数(合算）'!AD49,0)</f>
        <v>0</v>
      </c>
      <c r="AD47" s="36">
        <f>ROUND($C47*'件数(合算）'!AE49,0)</f>
        <v>0</v>
      </c>
      <c r="AE47" s="36">
        <f>ROUND($C47*'件数(合算）'!AF49,0)</f>
        <v>0</v>
      </c>
      <c r="AF47" s="36">
        <f>ROUND($C47*'件数(合算）'!AG49,0)</f>
        <v>0</v>
      </c>
      <c r="AG47" s="36">
        <f>ROUND($C47*'件数(合算）'!AH49,0)</f>
        <v>0</v>
      </c>
      <c r="AH47" s="36">
        <f>ROUND($C47*'件数(合算）'!AI49,0)</f>
        <v>0</v>
      </c>
      <c r="AI47" s="36">
        <f>ROUND($C47*'件数(合算）'!AJ49,0)</f>
        <v>0</v>
      </c>
      <c r="AJ47" s="36">
        <f>ROUND($C47*'件数(合算）'!AK49,0)</f>
        <v>0</v>
      </c>
      <c r="AK47" s="36">
        <f>ROUND($C47*'件数(合算）'!AL49,0)</f>
        <v>0</v>
      </c>
      <c r="AL47" s="36">
        <f>ROUND($C47*'件数(合算）'!AM49,0)</f>
        <v>0</v>
      </c>
      <c r="AM47" s="36">
        <f>ROUND($C47*'件数(合算）'!AN49,0)</f>
        <v>0</v>
      </c>
      <c r="AN47" s="36">
        <f>ROUND($C47*'件数(合算）'!AO49,0)</f>
        <v>0</v>
      </c>
      <c r="AO47" s="36">
        <f>ROUND($C47*'件数(合算）'!AP49,0)</f>
        <v>0</v>
      </c>
      <c r="AP47" s="36">
        <f>ROUND($C47*'件数(合算）'!AQ49,0)</f>
        <v>0</v>
      </c>
      <c r="AQ47" s="36">
        <f>ROUND($C47*'件数(合算）'!AR49,0)</f>
        <v>0</v>
      </c>
      <c r="AR47" s="36">
        <f>ROUND($C47*'件数(合算）'!AS49,0)</f>
        <v>0</v>
      </c>
      <c r="AS47" s="36">
        <f>ROUND($C47*'件数(合算）'!AT49,0)</f>
        <v>0</v>
      </c>
      <c r="AT47" s="36">
        <f>ROUND($C47*'件数(合算）'!AU49,0)</f>
        <v>0</v>
      </c>
      <c r="AU47" s="36">
        <f>ROUND($C47*'件数(合算）'!AV49,0)</f>
        <v>0</v>
      </c>
      <c r="AV47" s="10">
        <f t="shared" si="4"/>
        <v>10</v>
      </c>
    </row>
    <row r="48" spans="1:48" ht="22" customHeight="1">
      <c r="A48" s="26">
        <v>392414</v>
      </c>
      <c r="B48" s="27" t="s">
        <v>123</v>
      </c>
      <c r="C48" s="4">
        <f>'件数(合算）'!K50</f>
        <v>0</v>
      </c>
      <c r="D48" s="4">
        <f>'件数(合算）'!M50</f>
        <v>0</v>
      </c>
      <c r="E48" s="5">
        <f>'件数(合算）'!E50</f>
        <v>1300</v>
      </c>
      <c r="F48" s="5">
        <f>'件数(合算）'!F50</f>
        <v>1300</v>
      </c>
      <c r="G48" s="53"/>
      <c r="K48" s="4">
        <f>'件数(合算）'!K50</f>
        <v>0</v>
      </c>
      <c r="L48" s="4">
        <f>'件数(合算）'!K50</f>
        <v>0</v>
      </c>
      <c r="M48" s="4">
        <f>'件数(合算）'!K50</f>
        <v>0</v>
      </c>
      <c r="N48" s="4">
        <f>'件数(合算）'!K50</f>
        <v>0</v>
      </c>
      <c r="O48" s="3">
        <f>ROUND($D48*'件数(合算）'!P50,0)</f>
        <v>0</v>
      </c>
      <c r="P48" s="3">
        <f>ROUND($D48*'件数(合算）'!Q50,0)</f>
        <v>0</v>
      </c>
      <c r="Q48" s="3">
        <f>ROUND($D48*'件数(合算）'!R50,0)</f>
        <v>0</v>
      </c>
      <c r="R48" s="3">
        <f>ROUND($D48*'件数(合算）'!S50,0)</f>
        <v>0</v>
      </c>
      <c r="S48" s="3">
        <f>ROUND($D48*'件数(合算）'!T50,0)</f>
        <v>0</v>
      </c>
      <c r="T48" s="3">
        <f>ROUND($D48*'件数(合算）'!U50,0)</f>
        <v>0</v>
      </c>
      <c r="U48" s="3">
        <f>ROUND($D48*'件数(合算）'!V50,0)</f>
        <v>0</v>
      </c>
      <c r="V48" s="3">
        <f>ROUND($D48*'件数(合算）'!W50,0)</f>
        <v>0</v>
      </c>
      <c r="W48" s="3">
        <f>ROUND($D48*'件数(合算）'!X50,0)</f>
        <v>0</v>
      </c>
      <c r="X48" s="3">
        <f>ROUND($D48*'件数(合算）'!Y50,0)</f>
        <v>0</v>
      </c>
      <c r="Y48" s="3">
        <f>ROUND($D48*'件数(合算）'!Z50,0)</f>
        <v>0</v>
      </c>
      <c r="Z48" s="3">
        <f>ROUND($C48*'件数(合算）'!AA50,0)</f>
        <v>0</v>
      </c>
      <c r="AA48" s="3">
        <f>ROUND($C48*'件数(合算）'!AB50,0)</f>
        <v>0</v>
      </c>
      <c r="AB48" s="3">
        <f>ROUND($C48*'件数(合算）'!AC50,0)</f>
        <v>0</v>
      </c>
      <c r="AC48" s="3">
        <f>ROUND($C48*'件数(合算）'!AD50,0)</f>
        <v>0</v>
      </c>
      <c r="AD48" s="3">
        <f>ROUND($C48*'件数(合算）'!AE50,0)</f>
        <v>0</v>
      </c>
      <c r="AE48" s="3">
        <f>ROUND($C48*'件数(合算）'!AF50,0)</f>
        <v>0</v>
      </c>
      <c r="AF48" s="3">
        <f>ROUND($C48*'件数(合算）'!AG50,0)</f>
        <v>0</v>
      </c>
      <c r="AG48" s="3">
        <f>ROUND($C48*'件数(合算）'!AH50,0)</f>
        <v>0</v>
      </c>
      <c r="AH48" s="3">
        <f>ROUND($C48*'件数(合算）'!AI50,0)</f>
        <v>0</v>
      </c>
      <c r="AI48" s="3">
        <f>ROUND($C48*'件数(合算）'!AJ50,0)</f>
        <v>0</v>
      </c>
      <c r="AJ48" s="3">
        <f>ROUND($C48*'件数(合算）'!AK50,0)</f>
        <v>0</v>
      </c>
      <c r="AK48" s="3">
        <f>ROUND($C48*'件数(合算）'!AL50,0)</f>
        <v>0</v>
      </c>
      <c r="AL48" s="3">
        <f>ROUND($C48*'件数(合算）'!AM50,0)</f>
        <v>0</v>
      </c>
      <c r="AM48" s="3">
        <f>ROUND($C48*'件数(合算）'!AN50,0)</f>
        <v>0</v>
      </c>
      <c r="AN48" s="3">
        <f>ROUND($C48*'件数(合算）'!AO50,0)</f>
        <v>0</v>
      </c>
      <c r="AO48" s="3">
        <f>ROUND($C48*'件数(合算）'!AP50,0)</f>
        <v>0</v>
      </c>
      <c r="AP48" s="3">
        <f>ROUND($C48*'件数(合算）'!AQ50,0)</f>
        <v>0</v>
      </c>
      <c r="AQ48" s="3">
        <f>ROUND($C48*'件数(合算）'!AR50,0)</f>
        <v>0</v>
      </c>
      <c r="AR48" s="3">
        <f>ROUND($C48*'件数(合算）'!AS50,0)</f>
        <v>0</v>
      </c>
      <c r="AS48" s="3">
        <f>ROUND($C48*'件数(合算）'!AT50,0)</f>
        <v>0</v>
      </c>
      <c r="AT48" s="3">
        <f>ROUND($C48*'件数(合算）'!AU50,0)</f>
        <v>0</v>
      </c>
      <c r="AU48" s="3">
        <f>ROUND($C48*'件数(合算）'!AV50,0)</f>
        <v>0</v>
      </c>
      <c r="AV48" s="10">
        <f t="shared" si="4"/>
        <v>0</v>
      </c>
    </row>
    <row r="49" spans="1:48" ht="22" customHeight="1">
      <c r="A49" s="34">
        <v>380929</v>
      </c>
      <c r="B49" s="35" t="s">
        <v>125</v>
      </c>
      <c r="C49" s="37">
        <f>'件数(合算）'!K51</f>
        <v>0</v>
      </c>
      <c r="D49" s="4">
        <f>'件数(合算）'!M51</f>
        <v>0</v>
      </c>
      <c r="E49" s="49">
        <f>'件数(合算）'!E51</f>
        <v>1500</v>
      </c>
      <c r="F49" s="49">
        <f>'件数(合算）'!F51</f>
        <v>1500</v>
      </c>
      <c r="G49" s="53"/>
      <c r="K49" s="37">
        <f>'件数(合算）'!K51</f>
        <v>0</v>
      </c>
      <c r="L49" s="37">
        <f>'件数(合算）'!K51</f>
        <v>0</v>
      </c>
      <c r="M49" s="37">
        <f>'件数(合算）'!K51</f>
        <v>0</v>
      </c>
      <c r="N49" s="37">
        <f>'件数(合算）'!K51</f>
        <v>0</v>
      </c>
      <c r="O49" s="36">
        <f>ROUND($D49*'件数(合算）'!P51,0)</f>
        <v>0</v>
      </c>
      <c r="P49" s="36">
        <f>ROUND($D49*'件数(合算）'!Q51,0)</f>
        <v>0</v>
      </c>
      <c r="Q49" s="36">
        <f>ROUND($D49*'件数(合算）'!R51,0)</f>
        <v>0</v>
      </c>
      <c r="R49" s="36">
        <f>ROUND($D49*'件数(合算）'!S51,0)</f>
        <v>0</v>
      </c>
      <c r="S49" s="36">
        <f>ROUND($D49*'件数(合算）'!T51,0)</f>
        <v>0</v>
      </c>
      <c r="T49" s="36">
        <f>ROUND($D49*'件数(合算）'!U51,0)</f>
        <v>0</v>
      </c>
      <c r="U49" s="36">
        <f>ROUND($D49*'件数(合算）'!V51,0)</f>
        <v>0</v>
      </c>
      <c r="V49" s="36">
        <f>ROUND($D49*'件数(合算）'!W51,0)</f>
        <v>0</v>
      </c>
      <c r="W49" s="36">
        <f>ROUND($D49*'件数(合算）'!X51,0)</f>
        <v>0</v>
      </c>
      <c r="X49" s="36">
        <f>ROUND($D49*'件数(合算）'!Y51,0)</f>
        <v>0</v>
      </c>
      <c r="Y49" s="36">
        <f>ROUND($D49*'件数(合算）'!Z51,0)</f>
        <v>0</v>
      </c>
      <c r="Z49" s="36">
        <f>ROUND($C49*'件数(合算）'!AA51,0)</f>
        <v>0</v>
      </c>
      <c r="AA49" s="36">
        <f>ROUND($C49*'件数(合算）'!AB51,0)</f>
        <v>0</v>
      </c>
      <c r="AB49" s="36">
        <f>ROUND($C49*'件数(合算）'!AC51,0)</f>
        <v>0</v>
      </c>
      <c r="AC49" s="36">
        <f>ROUND($C49*'件数(合算）'!AD51,0)</f>
        <v>0</v>
      </c>
      <c r="AD49" s="36">
        <f>ROUND($C49*'件数(合算）'!AE51,0)</f>
        <v>0</v>
      </c>
      <c r="AE49" s="36">
        <f>ROUND($C49*'件数(合算）'!AF51,0)</f>
        <v>0</v>
      </c>
      <c r="AF49" s="36">
        <f>ROUND($C49*'件数(合算）'!AG51,0)</f>
        <v>0</v>
      </c>
      <c r="AG49" s="36">
        <f>ROUND($C49*'件数(合算）'!AH51,0)</f>
        <v>0</v>
      </c>
      <c r="AH49" s="36">
        <f>ROUND($C49*'件数(合算）'!AI51,0)</f>
        <v>0</v>
      </c>
      <c r="AI49" s="36">
        <f>ROUND($C49*'件数(合算）'!AJ51,0)</f>
        <v>0</v>
      </c>
      <c r="AJ49" s="36">
        <f>ROUND($C49*'件数(合算）'!AK51,0)</f>
        <v>0</v>
      </c>
      <c r="AK49" s="36">
        <f>ROUND($C49*'件数(合算）'!AL51,0)</f>
        <v>0</v>
      </c>
      <c r="AL49" s="36">
        <f>ROUND($C49*'件数(合算）'!AM51,0)</f>
        <v>0</v>
      </c>
      <c r="AM49" s="36">
        <f>ROUND($C49*'件数(合算）'!AN51,0)</f>
        <v>0</v>
      </c>
      <c r="AN49" s="36">
        <f>ROUND($C49*'件数(合算）'!AO51,0)</f>
        <v>0</v>
      </c>
      <c r="AO49" s="36">
        <f>ROUND($C49*'件数(合算）'!AP51,0)</f>
        <v>0</v>
      </c>
      <c r="AP49" s="36">
        <f>ROUND($C49*'件数(合算）'!AQ51,0)</f>
        <v>0</v>
      </c>
      <c r="AQ49" s="36">
        <f>ROUND($C49*'件数(合算）'!AR51,0)</f>
        <v>0</v>
      </c>
      <c r="AR49" s="36">
        <f>ROUND($C49*'件数(合算）'!AS51,0)</f>
        <v>0</v>
      </c>
      <c r="AS49" s="36">
        <f>ROUND($C49*'件数(合算）'!AT51,0)</f>
        <v>0</v>
      </c>
      <c r="AT49" s="36">
        <f>ROUND($C49*'件数(合算）'!AU51,0)</f>
        <v>0</v>
      </c>
      <c r="AU49" s="36">
        <f>ROUND($C49*'件数(合算）'!AV51,0)</f>
        <v>0</v>
      </c>
      <c r="AV49" s="10">
        <f t="shared" si="4"/>
        <v>0</v>
      </c>
    </row>
    <row r="50" spans="1:48" ht="22" customHeight="1">
      <c r="A50" s="26">
        <v>380562</v>
      </c>
      <c r="B50" s="27" t="s">
        <v>127</v>
      </c>
      <c r="C50" s="4">
        <f>'件数(合算）'!K52</f>
        <v>0.41666666666666669</v>
      </c>
      <c r="D50" s="4">
        <f>'件数(合算）'!M52</f>
        <v>0.25</v>
      </c>
      <c r="E50" s="5">
        <f>'件数(合算）'!E52</f>
        <v>4000</v>
      </c>
      <c r="F50" s="5">
        <f>'件数(合算）'!F52</f>
        <v>4000</v>
      </c>
      <c r="G50" s="53"/>
      <c r="K50" s="4">
        <f>'件数(合算）'!K52</f>
        <v>0.41666666666666669</v>
      </c>
      <c r="L50" s="4">
        <f>'件数(合算）'!K52</f>
        <v>0.41666666666666669</v>
      </c>
      <c r="M50" s="4">
        <f>'件数(合算）'!K52</f>
        <v>0.41666666666666669</v>
      </c>
      <c r="N50" s="4">
        <f>'件数(合算）'!K52</f>
        <v>0.41666666666666669</v>
      </c>
      <c r="O50" s="3">
        <f>ROUND($D50*'件数(合算）'!P52,0)</f>
        <v>0</v>
      </c>
      <c r="P50" s="3">
        <f>ROUND($D50*'件数(合算）'!Q52,0)</f>
        <v>0</v>
      </c>
      <c r="Q50" s="3">
        <f>ROUND($D50*'件数(合算）'!R52,0)</f>
        <v>0</v>
      </c>
      <c r="R50" s="3">
        <f>ROUND($D50*'件数(合算）'!S52,0)</f>
        <v>0</v>
      </c>
      <c r="S50" s="3">
        <f>ROUND($D50*'件数(合算）'!T52,0)</f>
        <v>0</v>
      </c>
      <c r="T50" s="3">
        <f>ROUND($D50*'件数(合算）'!U52,0)</f>
        <v>0</v>
      </c>
      <c r="U50" s="3">
        <f>ROUND($D50*'件数(合算）'!V52,0)</f>
        <v>0</v>
      </c>
      <c r="V50" s="3">
        <f>ROUND($D50*'件数(合算）'!W52,0)</f>
        <v>0</v>
      </c>
      <c r="W50" s="3">
        <f>ROUND($D50*'件数(合算）'!X52,0)</f>
        <v>0</v>
      </c>
      <c r="X50" s="3">
        <f>ROUND($D50*'件数(合算）'!Y52,0)</f>
        <v>0</v>
      </c>
      <c r="Y50" s="3">
        <f>ROUND($D50*'件数(合算）'!Z52,0)</f>
        <v>0</v>
      </c>
      <c r="Z50" s="3">
        <f>ROUND($C50*'件数(合算）'!AA52,0)</f>
        <v>0</v>
      </c>
      <c r="AA50" s="3">
        <f>ROUND($C50*'件数(合算）'!AB52,0)</f>
        <v>0</v>
      </c>
      <c r="AB50" s="3">
        <f>ROUND($C50*'件数(合算）'!AC52,0)</f>
        <v>0</v>
      </c>
      <c r="AC50" s="3">
        <f>ROUND($C50*'件数(合算）'!AD52,0)</f>
        <v>0</v>
      </c>
      <c r="AD50" s="3">
        <f>ROUND($C50*'件数(合算）'!AE52,0)</f>
        <v>0</v>
      </c>
      <c r="AE50" s="3">
        <f>ROUND($C50*'件数(合算）'!AF52,0)</f>
        <v>0</v>
      </c>
      <c r="AF50" s="3">
        <f>ROUND($C50*'件数(合算）'!AG52,0)</f>
        <v>0</v>
      </c>
      <c r="AG50" s="3">
        <f>ROUND($C50*'件数(合算）'!AH52,0)</f>
        <v>0</v>
      </c>
      <c r="AH50" s="3">
        <f>ROUND($C50*'件数(合算）'!AI52,0)</f>
        <v>0</v>
      </c>
      <c r="AI50" s="3">
        <f>ROUND($C50*'件数(合算）'!AJ52,0)</f>
        <v>0</v>
      </c>
      <c r="AJ50" s="3">
        <f>ROUND($C50*'件数(合算）'!AK52,0)</f>
        <v>0</v>
      </c>
      <c r="AK50" s="3">
        <f>ROUND($C50*'件数(合算）'!AL52,0)</f>
        <v>0</v>
      </c>
      <c r="AL50" s="3">
        <f>ROUND($C50*'件数(合算）'!AM52,0)</f>
        <v>0</v>
      </c>
      <c r="AM50" s="3">
        <f>ROUND($C50*'件数(合算）'!AN52,0)</f>
        <v>0</v>
      </c>
      <c r="AN50" s="3">
        <f>ROUND($C50*'件数(合算）'!AO52,0)</f>
        <v>0</v>
      </c>
      <c r="AO50" s="3">
        <f>ROUND($C50*'件数(合算）'!AP52,0)</f>
        <v>0</v>
      </c>
      <c r="AP50" s="3">
        <f>ROUND($C50*'件数(合算）'!AQ52,0)</f>
        <v>0</v>
      </c>
      <c r="AQ50" s="3">
        <f>ROUND($C50*'件数(合算）'!AR52,0)</f>
        <v>0</v>
      </c>
      <c r="AR50" s="3">
        <f>ROUND($C50*'件数(合算）'!AS52,0)</f>
        <v>0</v>
      </c>
      <c r="AS50" s="3">
        <f>ROUND($C50*'件数(合算）'!AT52,0)</f>
        <v>0</v>
      </c>
      <c r="AT50" s="3">
        <f>ROUND($C50*'件数(合算）'!AU52,0)</f>
        <v>0</v>
      </c>
      <c r="AU50" s="3">
        <f>ROUND($C50*'件数(合算）'!AV52,0)</f>
        <v>0</v>
      </c>
      <c r="AV50" s="10">
        <f t="shared" si="4"/>
        <v>0</v>
      </c>
    </row>
    <row r="51" spans="1:48" ht="22" customHeight="1">
      <c r="A51" s="34">
        <v>390113</v>
      </c>
      <c r="B51" s="35" t="s">
        <v>129</v>
      </c>
      <c r="C51" s="37">
        <f>'件数(合算）'!K53</f>
        <v>1</v>
      </c>
      <c r="D51" s="4">
        <f>'件数(合算）'!M53</f>
        <v>1</v>
      </c>
      <c r="E51" s="49">
        <f>'件数(合算）'!E53</f>
        <v>1300</v>
      </c>
      <c r="F51" s="49">
        <f>'件数(合算）'!F53</f>
        <v>1300</v>
      </c>
      <c r="G51" s="53"/>
      <c r="K51" s="37">
        <f>'件数(合算）'!K53</f>
        <v>1</v>
      </c>
      <c r="L51" s="37">
        <f>'件数(合算）'!K53</f>
        <v>1</v>
      </c>
      <c r="M51" s="37">
        <f>'件数(合算）'!K53</f>
        <v>1</v>
      </c>
      <c r="N51" s="37">
        <f>'件数(合算）'!K53</f>
        <v>1</v>
      </c>
      <c r="O51" s="36">
        <f>ROUND($D51*'件数(合算）'!P53,0)</f>
        <v>0</v>
      </c>
      <c r="P51" s="36">
        <f>ROUND($D51*'件数(合算）'!Q53,0)</f>
        <v>0</v>
      </c>
      <c r="Q51" s="36">
        <f>ROUND($D51*'件数(合算）'!R53,0)</f>
        <v>0</v>
      </c>
      <c r="R51" s="36">
        <f>ROUND($D51*'件数(合算）'!S53,0)</f>
        <v>0</v>
      </c>
      <c r="S51" s="36">
        <f>ROUND($D51*'件数(合算）'!T53,0)</f>
        <v>0</v>
      </c>
      <c r="T51" s="36">
        <f>ROUND($D51*'件数(合算）'!U53,0)</f>
        <v>0</v>
      </c>
      <c r="U51" s="36">
        <f>ROUND($D51*'件数(合算）'!V53,0)</f>
        <v>0</v>
      </c>
      <c r="V51" s="36">
        <f>ROUND($D51*'件数(合算）'!W53,0)</f>
        <v>0</v>
      </c>
      <c r="W51" s="36">
        <f>ROUND($D51*'件数(合算）'!X53,0)</f>
        <v>0</v>
      </c>
      <c r="X51" s="36">
        <f>ROUND($D51*'件数(合算）'!Y53,0)</f>
        <v>0</v>
      </c>
      <c r="Y51" s="36">
        <f>ROUND($D51*'件数(合算）'!Z53,0)</f>
        <v>0</v>
      </c>
      <c r="Z51" s="36">
        <f>ROUND($C51*'件数(合算）'!AA53,0)</f>
        <v>0</v>
      </c>
      <c r="AA51" s="36">
        <f>ROUND($C51*'件数(合算）'!AB53,0)</f>
        <v>0</v>
      </c>
      <c r="AB51" s="36">
        <f>ROUND($C51*'件数(合算）'!AC53,0)</f>
        <v>0</v>
      </c>
      <c r="AC51" s="36">
        <f>ROUND($C51*'件数(合算）'!AD53,0)</f>
        <v>0</v>
      </c>
      <c r="AD51" s="36">
        <f>ROUND($C51*'件数(合算）'!AE53,0)</f>
        <v>0</v>
      </c>
      <c r="AE51" s="36">
        <f>ROUND($C51*'件数(合算）'!AF53,0)</f>
        <v>0</v>
      </c>
      <c r="AF51" s="36">
        <f>ROUND($C51*'件数(合算）'!AG53,0)</f>
        <v>0</v>
      </c>
      <c r="AG51" s="36">
        <f>ROUND($C51*'件数(合算）'!AH53,0)</f>
        <v>0</v>
      </c>
      <c r="AH51" s="36">
        <f>ROUND($C51*'件数(合算）'!AI53,0)</f>
        <v>0</v>
      </c>
      <c r="AI51" s="36">
        <f>ROUND($C51*'件数(合算）'!AJ53,0)</f>
        <v>0</v>
      </c>
      <c r="AJ51" s="36">
        <f>ROUND($C51*'件数(合算）'!AK53,0)</f>
        <v>0</v>
      </c>
      <c r="AK51" s="36">
        <f>ROUND($C51*'件数(合算）'!AL53,0)</f>
        <v>0</v>
      </c>
      <c r="AL51" s="36">
        <f>ROUND($C51*'件数(合算）'!AM53,0)</f>
        <v>0</v>
      </c>
      <c r="AM51" s="36">
        <f>ROUND($C51*'件数(合算）'!AN53,0)</f>
        <v>0</v>
      </c>
      <c r="AN51" s="36">
        <f>ROUND($C51*'件数(合算）'!AO53,0)</f>
        <v>0</v>
      </c>
      <c r="AO51" s="36">
        <f>ROUND($C51*'件数(合算）'!AP53,0)</f>
        <v>0</v>
      </c>
      <c r="AP51" s="36">
        <f>ROUND($C51*'件数(合算）'!AQ53,0)</f>
        <v>0</v>
      </c>
      <c r="AQ51" s="36">
        <f>ROUND($C51*'件数(合算）'!AR53,0)</f>
        <v>0</v>
      </c>
      <c r="AR51" s="36">
        <f>ROUND($C51*'件数(合算）'!AS53,0)</f>
        <v>0</v>
      </c>
      <c r="AS51" s="36">
        <f>ROUND($C51*'件数(合算）'!AT53,0)</f>
        <v>0</v>
      </c>
      <c r="AT51" s="36">
        <f>ROUND($C51*'件数(合算）'!AU53,0)</f>
        <v>0</v>
      </c>
      <c r="AU51" s="36">
        <f>ROUND($C51*'件数(合算）'!AV53,0)</f>
        <v>0</v>
      </c>
      <c r="AV51" s="10">
        <f t="shared" si="4"/>
        <v>0</v>
      </c>
    </row>
    <row r="52" spans="1:48" ht="22" customHeight="1">
      <c r="A52" s="26">
        <v>285236</v>
      </c>
      <c r="B52" s="27" t="s">
        <v>131</v>
      </c>
      <c r="C52" s="4">
        <f>'件数(合算）'!K54</f>
        <v>0.16666666666666671</v>
      </c>
      <c r="D52" s="4">
        <f>'件数(合算）'!M54</f>
        <v>0.57099999999999995</v>
      </c>
      <c r="E52" s="5">
        <f>'件数(合算）'!E54</f>
        <v>2400</v>
      </c>
      <c r="F52" s="5">
        <f>'件数(合算）'!F54</f>
        <v>2400</v>
      </c>
      <c r="G52" s="53"/>
      <c r="K52" s="4">
        <f>'件数(合算）'!K54</f>
        <v>0.16666666666666671</v>
      </c>
      <c r="L52" s="4">
        <f>'件数(合算）'!K54</f>
        <v>0.16666666666666671</v>
      </c>
      <c r="M52" s="4">
        <f>'件数(合算）'!K54</f>
        <v>0.16666666666666671</v>
      </c>
      <c r="N52" s="4">
        <f>'件数(合算）'!K54</f>
        <v>0.16666666666666671</v>
      </c>
      <c r="O52" s="3">
        <f>ROUND($D52*'件数(合算）'!P54,0)</f>
        <v>1</v>
      </c>
      <c r="P52" s="3">
        <f>ROUND($D52*'件数(合算）'!Q54,0)</f>
        <v>1</v>
      </c>
      <c r="Q52" s="3">
        <f>ROUND($D52*'件数(合算）'!R54,0)</f>
        <v>1</v>
      </c>
      <c r="R52" s="3">
        <f>ROUND($D52*'件数(合算）'!S54,0)</f>
        <v>1</v>
      </c>
      <c r="S52" s="3">
        <f>ROUND($D52*'件数(合算）'!T54,0)</f>
        <v>1</v>
      </c>
      <c r="T52" s="3">
        <f>ROUND($D52*'件数(合算）'!U54,0)</f>
        <v>1</v>
      </c>
      <c r="U52" s="3">
        <f>ROUND($D52*'件数(合算）'!V54,0)</f>
        <v>1</v>
      </c>
      <c r="V52" s="3">
        <f>ROUND($D52*'件数(合算）'!W54,0)</f>
        <v>1</v>
      </c>
      <c r="W52" s="3">
        <f>ROUND($D52*'件数(合算）'!X54,0)</f>
        <v>1</v>
      </c>
      <c r="X52" s="3">
        <f>ROUND($D52*'件数(合算）'!Y54,0)</f>
        <v>1</v>
      </c>
      <c r="Y52" s="3">
        <f>ROUND($D52*'件数(合算）'!Z54,0)</f>
        <v>1</v>
      </c>
      <c r="Z52" s="3">
        <f>ROUND($C52*'件数(合算）'!AA54,0)</f>
        <v>0</v>
      </c>
      <c r="AA52" s="3">
        <f>ROUND($C52*'件数(合算）'!AB54,0)</f>
        <v>0</v>
      </c>
      <c r="AB52" s="3">
        <f>ROUND($C52*'件数(合算）'!AC54,0)</f>
        <v>0</v>
      </c>
      <c r="AC52" s="3">
        <f>ROUND($C52*'件数(合算）'!AD54,0)</f>
        <v>0</v>
      </c>
      <c r="AD52" s="3">
        <f>ROUND($C52*'件数(合算）'!AE54,0)</f>
        <v>0</v>
      </c>
      <c r="AE52" s="3">
        <f>ROUND($C52*'件数(合算）'!AF54,0)</f>
        <v>0</v>
      </c>
      <c r="AF52" s="3">
        <f>ROUND($C52*'件数(合算）'!AG54,0)</f>
        <v>0</v>
      </c>
      <c r="AG52" s="3">
        <f>ROUND($C52*'件数(合算）'!AH54,0)</f>
        <v>0</v>
      </c>
      <c r="AH52" s="3">
        <f>ROUND($C52*'件数(合算）'!AI54,0)</f>
        <v>0</v>
      </c>
      <c r="AI52" s="3">
        <f>ROUND($C52*'件数(合算）'!AJ54,0)</f>
        <v>0</v>
      </c>
      <c r="AJ52" s="3">
        <f>ROUND($C52*'件数(合算）'!AK54,0)</f>
        <v>0</v>
      </c>
      <c r="AK52" s="3">
        <f>ROUND($C52*'件数(合算）'!AL54,0)</f>
        <v>0</v>
      </c>
      <c r="AL52" s="3">
        <f>ROUND($C52*'件数(合算）'!AM54,0)</f>
        <v>0</v>
      </c>
      <c r="AM52" s="3">
        <f>ROUND($C52*'件数(合算）'!AN54,0)</f>
        <v>0</v>
      </c>
      <c r="AN52" s="3">
        <f>ROUND($C52*'件数(合算）'!AO54,0)</f>
        <v>0</v>
      </c>
      <c r="AO52" s="3">
        <f>ROUND($C52*'件数(合算）'!AP54,0)</f>
        <v>0</v>
      </c>
      <c r="AP52" s="3">
        <f>ROUND($C52*'件数(合算）'!AQ54,0)</f>
        <v>0</v>
      </c>
      <c r="AQ52" s="3">
        <f>ROUND($C52*'件数(合算）'!AR54,0)</f>
        <v>0</v>
      </c>
      <c r="AR52" s="3">
        <f>ROUND($C52*'件数(合算）'!AS54,0)</f>
        <v>0</v>
      </c>
      <c r="AS52" s="3">
        <f>ROUND($C52*'件数(合算）'!AT54,0)</f>
        <v>0</v>
      </c>
      <c r="AT52" s="3">
        <f>ROUND($C52*'件数(合算）'!AU54,0)</f>
        <v>0</v>
      </c>
      <c r="AU52" s="3">
        <f>ROUND($C52*'件数(合算）'!AV54,0)</f>
        <v>0</v>
      </c>
      <c r="AV52" s="10">
        <f t="shared" si="4"/>
        <v>11</v>
      </c>
    </row>
    <row r="53" spans="1:48" ht="22" customHeight="1">
      <c r="A53" s="34">
        <v>379074</v>
      </c>
      <c r="B53" s="35" t="s">
        <v>133</v>
      </c>
      <c r="C53" s="37">
        <f>'件数(合算）'!K55</f>
        <v>0.7142857142857143</v>
      </c>
      <c r="D53" s="4">
        <f>'件数(合算）'!M55</f>
        <v>0.875</v>
      </c>
      <c r="E53" s="49">
        <f>'件数(合算）'!E55</f>
        <v>6000</v>
      </c>
      <c r="F53" s="49">
        <f>'件数(合算）'!F55</f>
        <v>6000</v>
      </c>
      <c r="G53" s="53"/>
      <c r="K53" s="37">
        <f>'件数(合算）'!K55</f>
        <v>0.7142857142857143</v>
      </c>
      <c r="L53" s="37">
        <f>'件数(合算）'!K55</f>
        <v>0.7142857142857143</v>
      </c>
      <c r="M53" s="37">
        <f>'件数(合算）'!K55</f>
        <v>0.7142857142857143</v>
      </c>
      <c r="N53" s="37">
        <f>'件数(合算）'!K55</f>
        <v>0.7142857142857143</v>
      </c>
      <c r="O53" s="36">
        <f>ROUND($D53*'件数(合算）'!P55,0)</f>
        <v>1</v>
      </c>
      <c r="P53" s="36">
        <f>ROUND($D53*'件数(合算）'!Q55,0)</f>
        <v>1</v>
      </c>
      <c r="Q53" s="36">
        <f>ROUND($D53*'件数(合算）'!R55,0)</f>
        <v>1</v>
      </c>
      <c r="R53" s="36">
        <f>ROUND($D53*'件数(合算）'!S55,0)</f>
        <v>1</v>
      </c>
      <c r="S53" s="36">
        <f>ROUND($D53*'件数(合算）'!T55,0)</f>
        <v>1</v>
      </c>
      <c r="T53" s="36">
        <f>ROUND($D53*'件数(合算）'!U55,0)</f>
        <v>1</v>
      </c>
      <c r="U53" s="36">
        <f>ROUND($D53*'件数(合算）'!V55,0)</f>
        <v>1</v>
      </c>
      <c r="V53" s="36">
        <f>ROUND($D53*'件数(合算）'!W55,0)</f>
        <v>1</v>
      </c>
      <c r="W53" s="36">
        <f>ROUND($D53*'件数(合算）'!X55,0)</f>
        <v>1</v>
      </c>
      <c r="X53" s="36">
        <f>ROUND($D53*'件数(合算）'!Y55,0)</f>
        <v>0</v>
      </c>
      <c r="Y53" s="36">
        <f>ROUND($D53*'件数(合算）'!Z55,0)</f>
        <v>0</v>
      </c>
      <c r="Z53" s="36">
        <f>ROUND($C53*'件数(合算）'!AA55,0)</f>
        <v>0</v>
      </c>
      <c r="AA53" s="36">
        <f>ROUND($C53*'件数(合算）'!AB55,0)</f>
        <v>0</v>
      </c>
      <c r="AB53" s="36">
        <f>ROUND($C53*'件数(合算）'!AC55,0)</f>
        <v>0</v>
      </c>
      <c r="AC53" s="36">
        <f>ROUND($C53*'件数(合算）'!AD55,0)</f>
        <v>0</v>
      </c>
      <c r="AD53" s="36">
        <f>ROUND($C53*'件数(合算）'!AE55,0)</f>
        <v>0</v>
      </c>
      <c r="AE53" s="36">
        <f>ROUND($C53*'件数(合算）'!AF55,0)</f>
        <v>0</v>
      </c>
      <c r="AF53" s="36">
        <f>ROUND($C53*'件数(合算）'!AG55,0)</f>
        <v>0</v>
      </c>
      <c r="AG53" s="36">
        <f>ROUND($C53*'件数(合算）'!AH55,0)</f>
        <v>0</v>
      </c>
      <c r="AH53" s="36">
        <f>ROUND($C53*'件数(合算）'!AI55,0)</f>
        <v>0</v>
      </c>
      <c r="AI53" s="36">
        <f>ROUND($C53*'件数(合算）'!AJ55,0)</f>
        <v>0</v>
      </c>
      <c r="AJ53" s="36">
        <f>ROUND($C53*'件数(合算）'!AK55,0)</f>
        <v>0</v>
      </c>
      <c r="AK53" s="36">
        <f>ROUND($C53*'件数(合算）'!AL55,0)</f>
        <v>0</v>
      </c>
      <c r="AL53" s="36">
        <f>ROUND($C53*'件数(合算）'!AM55,0)</f>
        <v>0</v>
      </c>
      <c r="AM53" s="36">
        <f>ROUND($C53*'件数(合算）'!AN55,0)</f>
        <v>0</v>
      </c>
      <c r="AN53" s="36">
        <f>ROUND($C53*'件数(合算）'!AO55,0)</f>
        <v>0</v>
      </c>
      <c r="AO53" s="36">
        <f>ROUND($C53*'件数(合算）'!AP55,0)</f>
        <v>0</v>
      </c>
      <c r="AP53" s="36">
        <f>ROUND($C53*'件数(合算）'!AQ55,0)</f>
        <v>0</v>
      </c>
      <c r="AQ53" s="36">
        <f>ROUND($C53*'件数(合算）'!AR55,0)</f>
        <v>0</v>
      </c>
      <c r="AR53" s="36">
        <f>ROUND($C53*'件数(合算）'!AS55,0)</f>
        <v>0</v>
      </c>
      <c r="AS53" s="36">
        <f>ROUND($C53*'件数(合算）'!AT55,0)</f>
        <v>1</v>
      </c>
      <c r="AT53" s="36">
        <f>ROUND($C53*'件数(合算）'!AU55,0)</f>
        <v>0</v>
      </c>
      <c r="AU53" s="36">
        <f>ROUND($C53*'件数(合算）'!AV55,0)</f>
        <v>0</v>
      </c>
      <c r="AV53" s="10">
        <f t="shared" si="4"/>
        <v>9</v>
      </c>
    </row>
    <row r="54" spans="1:48" ht="22" customHeight="1">
      <c r="A54" s="26">
        <v>384575</v>
      </c>
      <c r="B54" s="27" t="s">
        <v>135</v>
      </c>
      <c r="C54" s="4">
        <f>'件数(合算）'!K56</f>
        <v>0.22222222222222221</v>
      </c>
      <c r="D54" s="4">
        <f>'件数(合算）'!M56</f>
        <v>0.22222222222222221</v>
      </c>
      <c r="E54" s="5">
        <f>'件数(合算）'!E56</f>
        <v>1300</v>
      </c>
      <c r="F54" s="5">
        <f>'件数(合算）'!F56</f>
        <v>1300</v>
      </c>
      <c r="G54" s="53"/>
      <c r="K54" s="4">
        <f>'件数(合算）'!K56</f>
        <v>0.22222222222222221</v>
      </c>
      <c r="L54" s="4">
        <f>'件数(合算）'!K56</f>
        <v>0.22222222222222221</v>
      </c>
      <c r="M54" s="4">
        <f>'件数(合算）'!K56</f>
        <v>0.22222222222222221</v>
      </c>
      <c r="N54" s="4">
        <f>'件数(合算）'!K56</f>
        <v>0.22222222222222221</v>
      </c>
      <c r="O54" s="3">
        <f>ROUND($D54*'件数(合算）'!P56,0)</f>
        <v>0</v>
      </c>
      <c r="P54" s="3">
        <f>ROUND($D54*'件数(合算）'!Q56,0)</f>
        <v>1</v>
      </c>
      <c r="Q54" s="3">
        <f>ROUND($D54*'件数(合算）'!R56,0)</f>
        <v>0</v>
      </c>
      <c r="R54" s="3">
        <f>ROUND($D54*'件数(合算）'!S56,0)</f>
        <v>0</v>
      </c>
      <c r="S54" s="3">
        <f>ROUND($D54*'件数(合算）'!T56,0)</f>
        <v>0</v>
      </c>
      <c r="T54" s="3">
        <f>ROUND($D54*'件数(合算）'!U56,0)</f>
        <v>0</v>
      </c>
      <c r="U54" s="3">
        <f>ROUND($D54*'件数(合算）'!V56,0)</f>
        <v>0</v>
      </c>
      <c r="V54" s="3">
        <f>ROUND($D54*'件数(合算）'!W56,0)</f>
        <v>0</v>
      </c>
      <c r="W54" s="3">
        <f>ROUND($D54*'件数(合算）'!X56,0)</f>
        <v>0</v>
      </c>
      <c r="X54" s="3">
        <f>ROUND($D54*'件数(合算）'!Y56,0)</f>
        <v>0</v>
      </c>
      <c r="Y54" s="3">
        <f>ROUND($D54*'件数(合算）'!Z56,0)</f>
        <v>0</v>
      </c>
      <c r="Z54" s="3">
        <f>ROUND($C54*'件数(合算）'!AA56,0)</f>
        <v>0</v>
      </c>
      <c r="AA54" s="3">
        <f>ROUND($C54*'件数(合算）'!AB56,0)</f>
        <v>0</v>
      </c>
      <c r="AB54" s="3">
        <f>ROUND($C54*'件数(合算）'!AC56,0)</f>
        <v>0</v>
      </c>
      <c r="AC54" s="3">
        <f>ROUND($C54*'件数(合算）'!AD56,0)</f>
        <v>0</v>
      </c>
      <c r="AD54" s="3">
        <f>ROUND($C54*'件数(合算）'!AE56,0)</f>
        <v>0</v>
      </c>
      <c r="AE54" s="3">
        <f>ROUND($C54*'件数(合算）'!AF56,0)</f>
        <v>0</v>
      </c>
      <c r="AF54" s="3">
        <f>ROUND($C54*'件数(合算）'!AG56,0)</f>
        <v>0</v>
      </c>
      <c r="AG54" s="3">
        <f>ROUND($C54*'件数(合算）'!AH56,0)</f>
        <v>0</v>
      </c>
      <c r="AH54" s="3">
        <f>ROUND($C54*'件数(合算）'!AI56,0)</f>
        <v>0</v>
      </c>
      <c r="AI54" s="3">
        <f>ROUND($C54*'件数(合算）'!AJ56,0)</f>
        <v>0</v>
      </c>
      <c r="AJ54" s="3">
        <f>ROUND($C54*'件数(合算）'!AK56,0)</f>
        <v>0</v>
      </c>
      <c r="AK54" s="3">
        <f>ROUND($C54*'件数(合算）'!AL56,0)</f>
        <v>0</v>
      </c>
      <c r="AL54" s="3">
        <f>ROUND($C54*'件数(合算）'!AM56,0)</f>
        <v>0</v>
      </c>
      <c r="AM54" s="3">
        <f>ROUND($C54*'件数(合算）'!AN56,0)</f>
        <v>0</v>
      </c>
      <c r="AN54" s="3">
        <f>ROUND($C54*'件数(合算）'!AO56,0)</f>
        <v>0</v>
      </c>
      <c r="AO54" s="3">
        <f>ROUND($C54*'件数(合算）'!AP56,0)</f>
        <v>0</v>
      </c>
      <c r="AP54" s="3">
        <f>ROUND($C54*'件数(合算）'!AQ56,0)</f>
        <v>0</v>
      </c>
      <c r="AQ54" s="3">
        <f>ROUND($C54*'件数(合算）'!AR56,0)</f>
        <v>0</v>
      </c>
      <c r="AR54" s="3">
        <f>ROUND($C54*'件数(合算）'!AS56,0)</f>
        <v>0</v>
      </c>
      <c r="AS54" s="3">
        <f>ROUND($C54*'件数(合算）'!AT56,0)</f>
        <v>0</v>
      </c>
      <c r="AT54" s="3">
        <f>ROUND($C54*'件数(合算）'!AU56,0)</f>
        <v>0</v>
      </c>
      <c r="AU54" s="3">
        <f>ROUND($C54*'件数(合算）'!AV56,0)</f>
        <v>0</v>
      </c>
      <c r="AV54" s="10">
        <f t="shared" si="4"/>
        <v>1</v>
      </c>
    </row>
    <row r="55" spans="1:48" ht="22" customHeight="1">
      <c r="A55" s="34">
        <v>82067</v>
      </c>
      <c r="B55" s="35" t="s">
        <v>137</v>
      </c>
      <c r="C55" s="37">
        <f>'件数(合算）'!K57</f>
        <v>0.5</v>
      </c>
      <c r="D55" s="4">
        <f>'件数(合算）'!M57</f>
        <v>0.5</v>
      </c>
      <c r="E55" s="49">
        <f>'件数(合算）'!E57</f>
        <v>8000</v>
      </c>
      <c r="F55" s="49">
        <f>'件数(合算）'!F57</f>
        <v>8000</v>
      </c>
      <c r="G55" s="53"/>
      <c r="K55" s="37">
        <f>'件数(合算）'!K57</f>
        <v>0.5</v>
      </c>
      <c r="L55" s="37">
        <f>'件数(合算）'!K57</f>
        <v>0.5</v>
      </c>
      <c r="M55" s="37">
        <f>'件数(合算）'!K57</f>
        <v>0.5</v>
      </c>
      <c r="N55" s="37">
        <f>'件数(合算）'!K57</f>
        <v>0.5</v>
      </c>
      <c r="O55" s="36">
        <f>ROUND($D55*'件数(合算）'!P57,0)</f>
        <v>1</v>
      </c>
      <c r="P55" s="36">
        <f>ROUND($D55*'件数(合算）'!Q57,0)</f>
        <v>1</v>
      </c>
      <c r="Q55" s="36">
        <f>ROUND($D55*'件数(合算）'!R57,0)</f>
        <v>1</v>
      </c>
      <c r="R55" s="36">
        <f>ROUND($D55*'件数(合算）'!S57,0)</f>
        <v>1</v>
      </c>
      <c r="S55" s="36">
        <f>ROUND($D55*'件数(合算）'!T57,0)</f>
        <v>1</v>
      </c>
      <c r="T55" s="36">
        <f>ROUND($D55*'件数(合算）'!U57,0)</f>
        <v>1</v>
      </c>
      <c r="U55" s="36">
        <f>ROUND($D55*'件数(合算）'!V57,0)</f>
        <v>1</v>
      </c>
      <c r="V55" s="36">
        <f>ROUND($D55*'件数(合算）'!W57,0)</f>
        <v>1</v>
      </c>
      <c r="W55" s="36">
        <f>ROUND($D55*'件数(合算）'!X57,0)</f>
        <v>1</v>
      </c>
      <c r="X55" s="36">
        <f>ROUND($D55*'件数(合算）'!Y57,0)</f>
        <v>1</v>
      </c>
      <c r="Y55" s="36">
        <f>ROUND($D55*'件数(合算）'!Z57,0)</f>
        <v>1</v>
      </c>
      <c r="Z55" s="36">
        <f>ROUND($C55*'件数(合算）'!AA57,0)</f>
        <v>0</v>
      </c>
      <c r="AA55" s="36">
        <f>ROUND($C55*'件数(合算）'!AB57,0)</f>
        <v>0</v>
      </c>
      <c r="AB55" s="36">
        <f>ROUND($C55*'件数(合算）'!AC57,0)</f>
        <v>0</v>
      </c>
      <c r="AC55" s="36">
        <f>ROUND($C55*'件数(合算）'!AD57,0)</f>
        <v>0</v>
      </c>
      <c r="AD55" s="36">
        <f>ROUND($C55*'件数(合算）'!AE57,0)</f>
        <v>0</v>
      </c>
      <c r="AE55" s="36">
        <f>ROUND($C55*'件数(合算）'!AF57,0)</f>
        <v>0</v>
      </c>
      <c r="AF55" s="36">
        <f>ROUND($C55*'件数(合算）'!AG57,0)</f>
        <v>0</v>
      </c>
      <c r="AG55" s="36">
        <f>ROUND($C55*'件数(合算）'!AH57,0)</f>
        <v>0</v>
      </c>
      <c r="AH55" s="36">
        <f>ROUND($C55*'件数(合算）'!AI57,0)</f>
        <v>0</v>
      </c>
      <c r="AI55" s="36">
        <f>ROUND($C55*'件数(合算）'!AJ57,0)</f>
        <v>0</v>
      </c>
      <c r="AJ55" s="36">
        <f>ROUND($C55*'件数(合算）'!AK57,0)</f>
        <v>0</v>
      </c>
      <c r="AK55" s="36">
        <f>ROUND($C55*'件数(合算）'!AL57,0)</f>
        <v>0</v>
      </c>
      <c r="AL55" s="36">
        <f>ROUND($C55*'件数(合算）'!AM57,0)</f>
        <v>0</v>
      </c>
      <c r="AM55" s="36">
        <f>ROUND($C55*'件数(合算）'!AN57,0)</f>
        <v>0</v>
      </c>
      <c r="AN55" s="36">
        <f>ROUND($C55*'件数(合算）'!AO57,0)</f>
        <v>0</v>
      </c>
      <c r="AO55" s="36">
        <f>ROUND($C55*'件数(合算）'!AP57,0)</f>
        <v>0</v>
      </c>
      <c r="AP55" s="36">
        <f>ROUND($C55*'件数(合算）'!AQ57,0)</f>
        <v>0</v>
      </c>
      <c r="AQ55" s="36">
        <f>ROUND($C55*'件数(合算）'!AR57,0)</f>
        <v>0</v>
      </c>
      <c r="AR55" s="36">
        <f>ROUND($C55*'件数(合算）'!AS57,0)</f>
        <v>0</v>
      </c>
      <c r="AS55" s="36">
        <f>ROUND($C55*'件数(合算）'!AT57,0)</f>
        <v>0</v>
      </c>
      <c r="AT55" s="36">
        <f>ROUND($C55*'件数(合算）'!AU57,0)</f>
        <v>0</v>
      </c>
      <c r="AU55" s="36">
        <f>ROUND($C55*'件数(合算）'!AV57,0)</f>
        <v>0</v>
      </c>
      <c r="AV55" s="10">
        <f t="shared" si="4"/>
        <v>11</v>
      </c>
    </row>
    <row r="56" spans="1:48" ht="22" customHeight="1">
      <c r="A56" s="26">
        <v>377067</v>
      </c>
      <c r="B56" s="27" t="s">
        <v>139</v>
      </c>
      <c r="C56" s="4">
        <f>'件数(合算）'!K58</f>
        <v>0.5</v>
      </c>
      <c r="D56" s="4">
        <f>'件数(合算）'!M58</f>
        <v>0.5</v>
      </c>
      <c r="E56" s="5">
        <f>'件数(合算）'!E58</f>
        <v>1300</v>
      </c>
      <c r="F56" s="5">
        <f>'件数(合算）'!F58</f>
        <v>1300</v>
      </c>
      <c r="G56" s="53"/>
      <c r="K56" s="4">
        <f>'件数(合算）'!K58</f>
        <v>0.5</v>
      </c>
      <c r="L56" s="4">
        <f>'件数(合算）'!K58</f>
        <v>0.5</v>
      </c>
      <c r="M56" s="4">
        <f>'件数(合算）'!K58</f>
        <v>0.5</v>
      </c>
      <c r="N56" s="4">
        <f>'件数(合算）'!K58</f>
        <v>0.5</v>
      </c>
      <c r="O56" s="3">
        <f>ROUND($D56*'件数(合算）'!P58,0)</f>
        <v>0</v>
      </c>
      <c r="P56" s="3">
        <f>ROUND($D56*'件数(合算）'!Q58,0)</f>
        <v>0</v>
      </c>
      <c r="Q56" s="3">
        <f>ROUND($D56*'件数(合算）'!R58,0)</f>
        <v>0</v>
      </c>
      <c r="R56" s="3">
        <f>ROUND($D56*'件数(合算）'!S58,0)</f>
        <v>0</v>
      </c>
      <c r="S56" s="3">
        <f>ROUND($D56*'件数(合算）'!T58,0)</f>
        <v>0</v>
      </c>
      <c r="T56" s="3">
        <f>ROUND($D56*'件数(合算）'!U58,0)</f>
        <v>0</v>
      </c>
      <c r="U56" s="3">
        <f>ROUND($D56*'件数(合算）'!V58,0)</f>
        <v>0</v>
      </c>
      <c r="V56" s="3">
        <f>ROUND($D56*'件数(合算）'!W58,0)</f>
        <v>0</v>
      </c>
      <c r="W56" s="3">
        <f>ROUND($D56*'件数(合算）'!X58,0)</f>
        <v>0</v>
      </c>
      <c r="X56" s="3">
        <f>ROUND($D56*'件数(合算）'!Y58,0)</f>
        <v>0</v>
      </c>
      <c r="Y56" s="3">
        <f>ROUND($D56*'件数(合算）'!Z58,0)</f>
        <v>0</v>
      </c>
      <c r="Z56" s="3">
        <f>ROUND($C56*'件数(合算）'!AA58,0)</f>
        <v>0</v>
      </c>
      <c r="AA56" s="3">
        <f>ROUND($C56*'件数(合算）'!AB58,0)</f>
        <v>0</v>
      </c>
      <c r="AB56" s="3">
        <f>ROUND($C56*'件数(合算）'!AC58,0)</f>
        <v>0</v>
      </c>
      <c r="AC56" s="3">
        <f>ROUND($C56*'件数(合算）'!AD58,0)</f>
        <v>0</v>
      </c>
      <c r="AD56" s="3">
        <f>ROUND($C56*'件数(合算）'!AE58,0)</f>
        <v>0</v>
      </c>
      <c r="AE56" s="3">
        <f>ROUND($C56*'件数(合算）'!AF58,0)</f>
        <v>0</v>
      </c>
      <c r="AF56" s="3">
        <f>ROUND($C56*'件数(合算）'!AG58,0)</f>
        <v>0</v>
      </c>
      <c r="AG56" s="3">
        <f>ROUND($C56*'件数(合算）'!AH58,0)</f>
        <v>0</v>
      </c>
      <c r="AH56" s="3">
        <f>ROUND($C56*'件数(合算）'!AI58,0)</f>
        <v>0</v>
      </c>
      <c r="AI56" s="3">
        <f>ROUND($C56*'件数(合算）'!AJ58,0)</f>
        <v>0</v>
      </c>
      <c r="AJ56" s="3">
        <f>ROUND($C56*'件数(合算）'!AK58,0)</f>
        <v>0</v>
      </c>
      <c r="AK56" s="3">
        <f>ROUND($C56*'件数(合算）'!AL58,0)</f>
        <v>0</v>
      </c>
      <c r="AL56" s="3">
        <f>ROUND($C56*'件数(合算）'!AM58,0)</f>
        <v>0</v>
      </c>
      <c r="AM56" s="3">
        <f>ROUND($C56*'件数(合算）'!AN58,0)</f>
        <v>0</v>
      </c>
      <c r="AN56" s="3">
        <f>ROUND($C56*'件数(合算）'!AO58,0)</f>
        <v>0</v>
      </c>
      <c r="AO56" s="3">
        <f>ROUND($C56*'件数(合算）'!AP58,0)</f>
        <v>0</v>
      </c>
      <c r="AP56" s="3">
        <f>ROUND($C56*'件数(合算）'!AQ58,0)</f>
        <v>0</v>
      </c>
      <c r="AQ56" s="3">
        <f>ROUND($C56*'件数(合算）'!AR58,0)</f>
        <v>0</v>
      </c>
      <c r="AR56" s="3">
        <f>ROUND($C56*'件数(合算）'!AS58,0)</f>
        <v>0</v>
      </c>
      <c r="AS56" s="3">
        <f>ROUND($C56*'件数(合算）'!AT58,0)</f>
        <v>0</v>
      </c>
      <c r="AT56" s="3">
        <f>ROUND($C56*'件数(合算）'!AU58,0)</f>
        <v>0</v>
      </c>
      <c r="AU56" s="3">
        <f>ROUND($C56*'件数(合算）'!AV58,0)</f>
        <v>0</v>
      </c>
      <c r="AV56" s="10">
        <f t="shared" si="4"/>
        <v>0</v>
      </c>
    </row>
    <row r="57" spans="1:48" ht="22" customHeight="1">
      <c r="A57" s="34">
        <v>277575</v>
      </c>
      <c r="B57" s="35" t="s">
        <v>141</v>
      </c>
      <c r="C57" s="37">
        <f>'件数(合算）'!K59</f>
        <v>0.5</v>
      </c>
      <c r="D57" s="4">
        <f>'件数(合算）'!M59</f>
        <v>0.5</v>
      </c>
      <c r="E57" s="49">
        <f>'件数(合算）'!E59</f>
        <v>7000</v>
      </c>
      <c r="F57" s="49">
        <f>'件数(合算）'!F59</f>
        <v>7000</v>
      </c>
      <c r="G57" s="53"/>
      <c r="K57" s="37">
        <f>'件数(合算）'!K59</f>
        <v>0.5</v>
      </c>
      <c r="L57" s="37">
        <f>'件数(合算）'!K59</f>
        <v>0.5</v>
      </c>
      <c r="M57" s="37">
        <f>'件数(合算）'!K59</f>
        <v>0.5</v>
      </c>
      <c r="N57" s="37">
        <f>'件数(合算）'!K59</f>
        <v>0.5</v>
      </c>
      <c r="O57" s="36">
        <f>ROUND($D57*'件数(合算）'!P59,0)</f>
        <v>0</v>
      </c>
      <c r="P57" s="36">
        <f>ROUND($D57*'件数(合算）'!Q59,0)</f>
        <v>0</v>
      </c>
      <c r="Q57" s="36">
        <f>ROUND($D57*'件数(合算）'!R59,0)</f>
        <v>0</v>
      </c>
      <c r="R57" s="36">
        <f>ROUND($D57*'件数(合算）'!S59,0)</f>
        <v>0</v>
      </c>
      <c r="S57" s="36">
        <f>ROUND($D57*'件数(合算）'!T59,0)</f>
        <v>0</v>
      </c>
      <c r="T57" s="36">
        <f>ROUND($D57*'件数(合算）'!U59,0)</f>
        <v>0</v>
      </c>
      <c r="U57" s="36">
        <f>ROUND($D57*'件数(合算）'!V59,0)</f>
        <v>0</v>
      </c>
      <c r="V57" s="36">
        <f>ROUND($D57*'件数(合算）'!W59,0)</f>
        <v>0</v>
      </c>
      <c r="W57" s="36">
        <f>ROUND($D57*'件数(合算）'!X59,0)</f>
        <v>0</v>
      </c>
      <c r="X57" s="36">
        <f>ROUND($D57*'件数(合算）'!Y59,0)</f>
        <v>0</v>
      </c>
      <c r="Y57" s="36">
        <f>ROUND($D57*'件数(合算）'!Z59,0)</f>
        <v>0</v>
      </c>
      <c r="Z57" s="36">
        <f>ROUND($C57*'件数(合算）'!AA59,0)</f>
        <v>0</v>
      </c>
      <c r="AA57" s="36">
        <f>ROUND($C57*'件数(合算）'!AB59,0)</f>
        <v>0</v>
      </c>
      <c r="AB57" s="36">
        <f>ROUND($C57*'件数(合算）'!AC59,0)</f>
        <v>0</v>
      </c>
      <c r="AC57" s="36">
        <f>ROUND($C57*'件数(合算）'!AD59,0)</f>
        <v>0</v>
      </c>
      <c r="AD57" s="36">
        <f>ROUND($C57*'件数(合算）'!AE59,0)</f>
        <v>0</v>
      </c>
      <c r="AE57" s="36">
        <f>ROUND($C57*'件数(合算）'!AF59,0)</f>
        <v>0</v>
      </c>
      <c r="AF57" s="36">
        <f>ROUND($C57*'件数(合算）'!AG59,0)</f>
        <v>0</v>
      </c>
      <c r="AG57" s="36">
        <f>ROUND($C57*'件数(合算）'!AH59,0)</f>
        <v>0</v>
      </c>
      <c r="AH57" s="36">
        <f>ROUND($C57*'件数(合算）'!AI59,0)</f>
        <v>0</v>
      </c>
      <c r="AI57" s="36">
        <f>ROUND($C57*'件数(合算）'!AJ59,0)</f>
        <v>0</v>
      </c>
      <c r="AJ57" s="36">
        <f>ROUND($C57*'件数(合算）'!AK59,0)</f>
        <v>0</v>
      </c>
      <c r="AK57" s="36">
        <f>ROUND($C57*'件数(合算）'!AL59,0)</f>
        <v>0</v>
      </c>
      <c r="AL57" s="36">
        <f>ROUND($C57*'件数(合算）'!AM59,0)</f>
        <v>0</v>
      </c>
      <c r="AM57" s="36">
        <f>ROUND($C57*'件数(合算）'!AN59,0)</f>
        <v>0</v>
      </c>
      <c r="AN57" s="36">
        <f>ROUND($C57*'件数(合算）'!AO59,0)</f>
        <v>0</v>
      </c>
      <c r="AO57" s="36">
        <f>ROUND($C57*'件数(合算）'!AP59,0)</f>
        <v>0</v>
      </c>
      <c r="AP57" s="36">
        <f>ROUND($C57*'件数(合算）'!AQ59,0)</f>
        <v>0</v>
      </c>
      <c r="AQ57" s="36">
        <f>ROUND($C57*'件数(合算）'!AR59,0)</f>
        <v>0</v>
      </c>
      <c r="AR57" s="36">
        <f>ROUND($C57*'件数(合算）'!AS59,0)</f>
        <v>0</v>
      </c>
      <c r="AS57" s="36">
        <f>ROUND($C57*'件数(合算）'!AT59,0)</f>
        <v>0</v>
      </c>
      <c r="AT57" s="36">
        <f>ROUND($C57*'件数(合算）'!AU59,0)</f>
        <v>0</v>
      </c>
      <c r="AU57" s="36">
        <f>ROUND($C57*'件数(合算）'!AV59,0)</f>
        <v>0</v>
      </c>
      <c r="AV57" s="10">
        <f t="shared" si="4"/>
        <v>0</v>
      </c>
    </row>
    <row r="58" spans="1:48" ht="22" customHeight="1">
      <c r="A58" s="26">
        <v>333191</v>
      </c>
      <c r="B58" s="27" t="s">
        <v>143</v>
      </c>
      <c r="C58" s="4">
        <f>'件数(合算）'!K60</f>
        <v>0</v>
      </c>
      <c r="D58" s="4">
        <f>'件数(合算）'!M60</f>
        <v>0</v>
      </c>
      <c r="E58" s="5">
        <f>'件数(合算）'!E60</f>
        <v>6000</v>
      </c>
      <c r="F58" s="5">
        <f>'件数(合算）'!F60</f>
        <v>6000</v>
      </c>
      <c r="G58" s="53"/>
      <c r="K58" s="4">
        <f>'件数(合算）'!K60</f>
        <v>0</v>
      </c>
      <c r="L58" s="4">
        <f>'件数(合算）'!K60</f>
        <v>0</v>
      </c>
      <c r="M58" s="4">
        <f>'件数(合算）'!K60</f>
        <v>0</v>
      </c>
      <c r="N58" s="4">
        <f>'件数(合算）'!K60</f>
        <v>0</v>
      </c>
      <c r="O58" s="3">
        <f>ROUND($D58*'件数(合算）'!P60,0)</f>
        <v>0</v>
      </c>
      <c r="P58" s="3">
        <f>ROUND($D58*'件数(合算）'!Q60,0)</f>
        <v>0</v>
      </c>
      <c r="Q58" s="3">
        <f>ROUND($D58*'件数(合算）'!R60,0)</f>
        <v>0</v>
      </c>
      <c r="R58" s="3">
        <f>ROUND($D58*'件数(合算）'!S60,0)</f>
        <v>0</v>
      </c>
      <c r="S58" s="3">
        <f>ROUND($D58*'件数(合算）'!T60,0)</f>
        <v>0</v>
      </c>
      <c r="T58" s="3">
        <f>ROUND($D58*'件数(合算）'!U60,0)</f>
        <v>0</v>
      </c>
      <c r="U58" s="3">
        <f>ROUND($D58*'件数(合算）'!V60,0)</f>
        <v>0</v>
      </c>
      <c r="V58" s="3">
        <f>ROUND($D58*'件数(合算）'!W60,0)</f>
        <v>0</v>
      </c>
      <c r="W58" s="3">
        <f>ROUND($D58*'件数(合算）'!X60,0)</f>
        <v>0</v>
      </c>
      <c r="X58" s="3">
        <f>ROUND($D58*'件数(合算）'!Y60,0)</f>
        <v>0</v>
      </c>
      <c r="Y58" s="3">
        <f>ROUND($D58*'件数(合算）'!Z60,0)</f>
        <v>0</v>
      </c>
      <c r="Z58" s="3">
        <f>ROUND($C58*'件数(合算）'!AA60,0)</f>
        <v>0</v>
      </c>
      <c r="AA58" s="3">
        <f>ROUND($C58*'件数(合算）'!AB60,0)</f>
        <v>0</v>
      </c>
      <c r="AB58" s="3">
        <f>ROUND($C58*'件数(合算）'!AC60,0)</f>
        <v>0</v>
      </c>
      <c r="AC58" s="3">
        <f>ROUND($C58*'件数(合算）'!AD60,0)</f>
        <v>0</v>
      </c>
      <c r="AD58" s="3">
        <f>ROUND($C58*'件数(合算）'!AE60,0)</f>
        <v>0</v>
      </c>
      <c r="AE58" s="3">
        <f>ROUND($C58*'件数(合算）'!AF60,0)</f>
        <v>0</v>
      </c>
      <c r="AF58" s="3">
        <f>ROUND($C58*'件数(合算）'!AG60,0)</f>
        <v>0</v>
      </c>
      <c r="AG58" s="3">
        <f>ROUND($C58*'件数(合算）'!AH60,0)</f>
        <v>0</v>
      </c>
      <c r="AH58" s="3">
        <f>ROUND($C58*'件数(合算）'!AI60,0)</f>
        <v>0</v>
      </c>
      <c r="AI58" s="3">
        <f>ROUND($C58*'件数(合算）'!AJ60,0)</f>
        <v>0</v>
      </c>
      <c r="AJ58" s="3">
        <f>ROUND($C58*'件数(合算）'!AK60,0)</f>
        <v>0</v>
      </c>
      <c r="AK58" s="3">
        <f>ROUND($C58*'件数(合算）'!AL60,0)</f>
        <v>0</v>
      </c>
      <c r="AL58" s="3">
        <f>ROUND($C58*'件数(合算）'!AM60,0)</f>
        <v>0</v>
      </c>
      <c r="AM58" s="3">
        <f>ROUND($C58*'件数(合算）'!AN60,0)</f>
        <v>0</v>
      </c>
      <c r="AN58" s="3">
        <f>ROUND($C58*'件数(合算）'!AO60,0)</f>
        <v>0</v>
      </c>
      <c r="AO58" s="3">
        <f>ROUND($C58*'件数(合算）'!AP60,0)</f>
        <v>0</v>
      </c>
      <c r="AP58" s="3">
        <f>ROUND($C58*'件数(合算）'!AQ60,0)</f>
        <v>0</v>
      </c>
      <c r="AQ58" s="3">
        <f>ROUND($C58*'件数(合算）'!AR60,0)</f>
        <v>0</v>
      </c>
      <c r="AR58" s="3">
        <f>ROUND($C58*'件数(合算）'!AS60,0)</f>
        <v>0</v>
      </c>
      <c r="AS58" s="3">
        <f>ROUND($C58*'件数(合算）'!AT60,0)</f>
        <v>0</v>
      </c>
      <c r="AT58" s="3">
        <f>ROUND($C58*'件数(合算）'!AU60,0)</f>
        <v>0</v>
      </c>
      <c r="AU58" s="3">
        <f>ROUND($C58*'件数(合算）'!AV60,0)</f>
        <v>0</v>
      </c>
      <c r="AV58" s="10">
        <f t="shared" si="4"/>
        <v>0</v>
      </c>
    </row>
    <row r="59" spans="1:48" ht="22" customHeight="1">
      <c r="A59" s="34">
        <v>343579</v>
      </c>
      <c r="B59" s="35" t="s">
        <v>145</v>
      </c>
      <c r="C59" s="37">
        <f>'件数(合算）'!K61</f>
        <v>0.21875</v>
      </c>
      <c r="D59" s="4">
        <f>'件数(合算）'!M61</f>
        <v>0.33</v>
      </c>
      <c r="E59" s="49">
        <f>'件数(合算）'!E61</f>
        <v>18000</v>
      </c>
      <c r="F59" s="49">
        <f>'件数(合算）'!F61</f>
        <v>18000</v>
      </c>
      <c r="G59" s="53"/>
      <c r="K59" s="37">
        <f>'件数(合算）'!K61</f>
        <v>0.21875</v>
      </c>
      <c r="L59" s="37">
        <f>'件数(合算）'!K61</f>
        <v>0.21875</v>
      </c>
      <c r="M59" s="37">
        <f>'件数(合算）'!K61</f>
        <v>0.21875</v>
      </c>
      <c r="N59" s="37">
        <f>'件数(合算）'!K61</f>
        <v>0.21875</v>
      </c>
      <c r="O59" s="36">
        <f>ROUND($D59*'件数(合算）'!P61,0)</f>
        <v>2</v>
      </c>
      <c r="P59" s="36">
        <f>ROUND($D59*'件数(合算）'!Q61,0)</f>
        <v>2</v>
      </c>
      <c r="Q59" s="36">
        <f>ROUND($D59*'件数(合算）'!R61,0)</f>
        <v>2</v>
      </c>
      <c r="R59" s="36">
        <f>ROUND($D59*'件数(合算）'!S61,0)</f>
        <v>1</v>
      </c>
      <c r="S59" s="36">
        <f>ROUND($D59*'件数(合算）'!T61,0)</f>
        <v>1</v>
      </c>
      <c r="T59" s="36">
        <f>ROUND($D59*'件数(合算）'!U61,0)</f>
        <v>1</v>
      </c>
      <c r="U59" s="36">
        <f>ROUND($D59*'件数(合算）'!V61,0)</f>
        <v>1</v>
      </c>
      <c r="V59" s="36">
        <f>ROUND($D59*'件数(合算）'!W61,0)</f>
        <v>1</v>
      </c>
      <c r="W59" s="36">
        <f>ROUND($D59*'件数(合算）'!X61,0)</f>
        <v>2</v>
      </c>
      <c r="X59" s="36">
        <f>ROUND($D59*'件数(合算）'!Y61,0)</f>
        <v>2</v>
      </c>
      <c r="Y59" s="36">
        <f>ROUND($D59*'件数(合算）'!Z61,0)</f>
        <v>2</v>
      </c>
      <c r="Z59" s="36">
        <f>ROUND($C59*'件数(合算）'!AA61,0)</f>
        <v>0</v>
      </c>
      <c r="AA59" s="36">
        <f>ROUND($C59*'件数(合算）'!AB61,0)</f>
        <v>0</v>
      </c>
      <c r="AB59" s="36">
        <f>ROUND($C59*'件数(合算）'!AC61,0)</f>
        <v>0</v>
      </c>
      <c r="AC59" s="36">
        <f>ROUND($C59*'件数(合算）'!AD61,0)</f>
        <v>0</v>
      </c>
      <c r="AD59" s="36">
        <f>ROUND($C59*'件数(合算）'!AE61,0)</f>
        <v>0</v>
      </c>
      <c r="AE59" s="36">
        <f>ROUND($C59*'件数(合算）'!AF61,0)</f>
        <v>0</v>
      </c>
      <c r="AF59" s="36">
        <f>ROUND($C59*'件数(合算）'!AG61,0)</f>
        <v>0</v>
      </c>
      <c r="AG59" s="36">
        <f>ROUND($C59*'件数(合算）'!AH61,0)</f>
        <v>0</v>
      </c>
      <c r="AH59" s="36">
        <f>ROUND($C59*'件数(合算）'!AI61,0)</f>
        <v>0</v>
      </c>
      <c r="AI59" s="36">
        <f>ROUND($C59*'件数(合算）'!AJ61,0)</f>
        <v>0</v>
      </c>
      <c r="AJ59" s="36">
        <f>ROUND($C59*'件数(合算）'!AK61,0)</f>
        <v>0</v>
      </c>
      <c r="AK59" s="36">
        <f>ROUND($C59*'件数(合算）'!AL61,0)</f>
        <v>0</v>
      </c>
      <c r="AL59" s="36">
        <f>ROUND($C59*'件数(合算）'!AM61,0)</f>
        <v>0</v>
      </c>
      <c r="AM59" s="36">
        <f>ROUND($C59*'件数(合算）'!AN61,0)</f>
        <v>0</v>
      </c>
      <c r="AN59" s="36">
        <f>ROUND($C59*'件数(合算）'!AO61,0)</f>
        <v>0</v>
      </c>
      <c r="AO59" s="36">
        <f>ROUND($C59*'件数(合算）'!AP61,0)</f>
        <v>0</v>
      </c>
      <c r="AP59" s="36">
        <f>ROUND($C59*'件数(合算）'!AQ61,0)</f>
        <v>0</v>
      </c>
      <c r="AQ59" s="36">
        <f>ROUND($C59*'件数(合算）'!AR61,0)</f>
        <v>0</v>
      </c>
      <c r="AR59" s="36">
        <f>ROUND($C59*'件数(合算）'!AS61,0)</f>
        <v>0</v>
      </c>
      <c r="AS59" s="36">
        <f>ROUND($C59*'件数(合算）'!AT61,0)</f>
        <v>0</v>
      </c>
      <c r="AT59" s="36">
        <f>ROUND($C59*'件数(合算）'!AU61,0)</f>
        <v>0</v>
      </c>
      <c r="AU59" s="36">
        <f>ROUND($C59*'件数(合算）'!AV61,0)</f>
        <v>0</v>
      </c>
      <c r="AV59" s="10">
        <f t="shared" si="4"/>
        <v>17</v>
      </c>
    </row>
    <row r="60" spans="1:48" ht="22" customHeight="1">
      <c r="A60" s="26">
        <v>248567</v>
      </c>
      <c r="B60" s="27" t="s">
        <v>147</v>
      </c>
      <c r="C60" s="4">
        <f>'件数(合算）'!K62</f>
        <v>0.36842105263157893</v>
      </c>
      <c r="D60" s="4">
        <f>'件数(合算）'!M62</f>
        <v>0.14299999999999999</v>
      </c>
      <c r="E60" s="5">
        <f>'件数(合算）'!E62</f>
        <v>8500</v>
      </c>
      <c r="F60" s="5">
        <f>'件数(合算）'!F62</f>
        <v>8500</v>
      </c>
      <c r="G60" s="53"/>
      <c r="K60" s="4">
        <f>'件数(合算）'!K62</f>
        <v>0.36842105263157893</v>
      </c>
      <c r="L60" s="4">
        <f>'件数(合算）'!K62</f>
        <v>0.36842105263157893</v>
      </c>
      <c r="M60" s="4">
        <f>'件数(合算）'!K62</f>
        <v>0.36842105263157893</v>
      </c>
      <c r="N60" s="4">
        <f>'件数(合算）'!K62</f>
        <v>0.36842105263157893</v>
      </c>
      <c r="O60" s="3">
        <f>ROUND($D60*'件数(合算）'!P62,0)</f>
        <v>0</v>
      </c>
      <c r="P60" s="3">
        <f>ROUND($D60*'件数(合算）'!Q62,0)</f>
        <v>0</v>
      </c>
      <c r="Q60" s="3">
        <f>ROUND($D60*'件数(合算）'!R62,0)</f>
        <v>0</v>
      </c>
      <c r="R60" s="3">
        <f>ROUND($D60*'件数(合算）'!S62,0)</f>
        <v>0</v>
      </c>
      <c r="S60" s="3">
        <f>ROUND($D60*'件数(合算）'!T62,0)</f>
        <v>0</v>
      </c>
      <c r="T60" s="3">
        <f>ROUND($D60*'件数(合算）'!U62,0)</f>
        <v>0</v>
      </c>
      <c r="U60" s="3">
        <f>ROUND($D60*'件数(合算）'!V62,0)</f>
        <v>0</v>
      </c>
      <c r="V60" s="3">
        <f>ROUND($D60*'件数(合算）'!W62,0)</f>
        <v>0</v>
      </c>
      <c r="W60" s="3">
        <f>ROUND($D60*'件数(合算）'!X62,0)</f>
        <v>0</v>
      </c>
      <c r="X60" s="3">
        <f>ROUND($D60*'件数(合算）'!Y62,0)</f>
        <v>0</v>
      </c>
      <c r="Y60" s="3">
        <f>ROUND($D60*'件数(合算）'!Z62,0)</f>
        <v>0</v>
      </c>
      <c r="Z60" s="3">
        <f>ROUND($C60*'件数(合算）'!AA62,0)</f>
        <v>0</v>
      </c>
      <c r="AA60" s="3">
        <f>ROUND($C60*'件数(合算）'!AB62,0)</f>
        <v>0</v>
      </c>
      <c r="AB60" s="3">
        <f>ROUND($C60*'件数(合算）'!AC62,0)</f>
        <v>0</v>
      </c>
      <c r="AC60" s="3">
        <f>ROUND($C60*'件数(合算）'!AD62,0)</f>
        <v>0</v>
      </c>
      <c r="AD60" s="3">
        <f>ROUND($C60*'件数(合算）'!AE62,0)</f>
        <v>0</v>
      </c>
      <c r="AE60" s="3">
        <f>ROUND($C60*'件数(合算）'!AF62,0)</f>
        <v>0</v>
      </c>
      <c r="AF60" s="3">
        <f>ROUND($C60*'件数(合算）'!AG62,0)</f>
        <v>0</v>
      </c>
      <c r="AG60" s="3">
        <f>ROUND($C60*'件数(合算）'!AH62,0)</f>
        <v>0</v>
      </c>
      <c r="AH60" s="3">
        <f>ROUND($C60*'件数(合算）'!AI62,0)</f>
        <v>0</v>
      </c>
      <c r="AI60" s="3">
        <f>ROUND($C60*'件数(合算）'!AJ62,0)</f>
        <v>0</v>
      </c>
      <c r="AJ60" s="3">
        <f>ROUND($C60*'件数(合算）'!AK62,0)</f>
        <v>0</v>
      </c>
      <c r="AK60" s="3">
        <f>ROUND($C60*'件数(合算）'!AL62,0)</f>
        <v>0</v>
      </c>
      <c r="AL60" s="3">
        <f>ROUND($C60*'件数(合算）'!AM62,0)</f>
        <v>0</v>
      </c>
      <c r="AM60" s="3">
        <f>ROUND($C60*'件数(合算）'!AN62,0)</f>
        <v>0</v>
      </c>
      <c r="AN60" s="3">
        <f>ROUND($C60*'件数(合算）'!AO62,0)</f>
        <v>0</v>
      </c>
      <c r="AO60" s="3">
        <f>ROUND($C60*'件数(合算）'!AP62,0)</f>
        <v>0</v>
      </c>
      <c r="AP60" s="3">
        <f>ROUND($C60*'件数(合算）'!AQ62,0)</f>
        <v>0</v>
      </c>
      <c r="AQ60" s="3">
        <f>ROUND($C60*'件数(合算）'!AR62,0)</f>
        <v>0</v>
      </c>
      <c r="AR60" s="3">
        <f>ROUND($C60*'件数(合算）'!AS62,0)</f>
        <v>0</v>
      </c>
      <c r="AS60" s="3">
        <f>ROUND($C60*'件数(合算）'!AT62,0)</f>
        <v>0</v>
      </c>
      <c r="AT60" s="3">
        <f>ROUND($C60*'件数(合算）'!AU62,0)</f>
        <v>0</v>
      </c>
      <c r="AU60" s="3">
        <f>ROUND($C60*'件数(合算）'!AV62,0)</f>
        <v>0</v>
      </c>
      <c r="AV60" s="10">
        <f t="shared" si="4"/>
        <v>0</v>
      </c>
    </row>
    <row r="61" spans="1:48" ht="22" customHeight="1">
      <c r="A61" s="34">
        <v>354876</v>
      </c>
      <c r="B61" s="35" t="s">
        <v>149</v>
      </c>
      <c r="C61" s="37">
        <f>'件数(合算）'!K63</f>
        <v>0.51111111111111107</v>
      </c>
      <c r="D61" s="4">
        <f>'件数(合算）'!M63</f>
        <v>0.55000000000000004</v>
      </c>
      <c r="E61" s="49">
        <f>'件数(合算）'!E63</f>
        <v>13000</v>
      </c>
      <c r="F61" s="49">
        <f>'件数(合算）'!F63</f>
        <v>13000</v>
      </c>
      <c r="G61" s="53"/>
      <c r="K61" s="37">
        <f>'件数(合算）'!K63</f>
        <v>0.51111111111111107</v>
      </c>
      <c r="L61" s="37">
        <f>'件数(合算）'!K63</f>
        <v>0.51111111111111107</v>
      </c>
      <c r="M61" s="37">
        <f>'件数(合算）'!K63</f>
        <v>0.51111111111111107</v>
      </c>
      <c r="N61" s="37">
        <f>'件数(合算）'!K63</f>
        <v>0.51111111111111107</v>
      </c>
      <c r="O61" s="36">
        <f>ROUND($D61*'件数(合算）'!P63,0)</f>
        <v>3</v>
      </c>
      <c r="P61" s="36">
        <f>ROUND($D61*'件数(合算）'!Q63,0)</f>
        <v>3</v>
      </c>
      <c r="Q61" s="36">
        <f>ROUND($D61*'件数(合算）'!R63,0)</f>
        <v>3</v>
      </c>
      <c r="R61" s="36">
        <f>ROUND($D61*'件数(合算）'!S63,0)</f>
        <v>3</v>
      </c>
      <c r="S61" s="36">
        <f>ROUND($D61*'件数(合算）'!T63,0)</f>
        <v>3</v>
      </c>
      <c r="T61" s="36">
        <f>ROUND($D61*'件数(合算）'!U63,0)</f>
        <v>3</v>
      </c>
      <c r="U61" s="36">
        <f>ROUND($D61*'件数(合算）'!V63,0)</f>
        <v>3</v>
      </c>
      <c r="V61" s="36">
        <f>ROUND($D61*'件数(合算）'!W63,0)</f>
        <v>3</v>
      </c>
      <c r="W61" s="36">
        <f>ROUND($D61*'件数(合算）'!X63,0)</f>
        <v>3</v>
      </c>
      <c r="X61" s="36">
        <f>ROUND($D61*'件数(合算）'!Y63,0)</f>
        <v>3</v>
      </c>
      <c r="Y61" s="36">
        <f>ROUND($D61*'件数(合算）'!Z63,0)</f>
        <v>3</v>
      </c>
      <c r="Z61" s="36">
        <f>ROUND($C61*'件数(合算）'!AA63,0)</f>
        <v>2</v>
      </c>
      <c r="AA61" s="36">
        <f>ROUND($C61*'件数(合算）'!AB63,0)</f>
        <v>2</v>
      </c>
      <c r="AB61" s="36">
        <f>ROUND($C61*'件数(合算）'!AC63,0)</f>
        <v>2</v>
      </c>
      <c r="AC61" s="36">
        <f>ROUND($C61*'件数(合算）'!AD63,0)</f>
        <v>2</v>
      </c>
      <c r="AD61" s="36">
        <f>ROUND($C61*'件数(合算）'!AE63,0)</f>
        <v>2</v>
      </c>
      <c r="AE61" s="36">
        <f>ROUND($C61*'件数(合算）'!AF63,0)</f>
        <v>2</v>
      </c>
      <c r="AF61" s="36">
        <f>ROUND($C61*'件数(合算）'!AG63,0)</f>
        <v>2</v>
      </c>
      <c r="AG61" s="36">
        <f>ROUND($C61*'件数(合算）'!AH63,0)</f>
        <v>2</v>
      </c>
      <c r="AH61" s="36">
        <f>ROUND($C61*'件数(合算）'!AI63,0)</f>
        <v>2</v>
      </c>
      <c r="AI61" s="36">
        <f>ROUND($C61*'件数(合算）'!AJ63,0)</f>
        <v>2</v>
      </c>
      <c r="AJ61" s="36">
        <f>ROUND($C61*'件数(合算）'!AK63,0)</f>
        <v>2</v>
      </c>
      <c r="AK61" s="36">
        <f>ROUND($C61*'件数(合算）'!AL63,0)</f>
        <v>2</v>
      </c>
      <c r="AL61" s="36">
        <f>ROUND($C61*'件数(合算）'!AM63,0)</f>
        <v>2</v>
      </c>
      <c r="AM61" s="36">
        <f>ROUND($C61*'件数(合算）'!AN63,0)</f>
        <v>2</v>
      </c>
      <c r="AN61" s="36">
        <f>ROUND($C61*'件数(合算）'!AO63,0)</f>
        <v>2</v>
      </c>
      <c r="AO61" s="36">
        <f>ROUND($C61*'件数(合算）'!AP63,0)</f>
        <v>2</v>
      </c>
      <c r="AP61" s="36">
        <f>ROUND($C61*'件数(合算）'!AQ63,0)</f>
        <v>2</v>
      </c>
      <c r="AQ61" s="36">
        <f>ROUND($C61*'件数(合算）'!AR63,0)</f>
        <v>2</v>
      </c>
      <c r="AR61" s="36">
        <f>ROUND($C61*'件数(合算）'!AS63,0)</f>
        <v>2</v>
      </c>
      <c r="AS61" s="36">
        <f>ROUND($C61*'件数(合算）'!AT63,0)</f>
        <v>2</v>
      </c>
      <c r="AT61" s="36">
        <f>ROUND($C61*'件数(合算）'!AU63,0)</f>
        <v>2</v>
      </c>
      <c r="AU61" s="36">
        <f>ROUND($C61*'件数(合算）'!AV63,0)</f>
        <v>2</v>
      </c>
      <c r="AV61" s="10">
        <f t="shared" si="4"/>
        <v>67</v>
      </c>
    </row>
    <row r="62" spans="1:48" ht="22" customHeight="1">
      <c r="A62" s="26">
        <v>354959</v>
      </c>
      <c r="B62" s="27" t="s">
        <v>151</v>
      </c>
      <c r="C62" s="4">
        <f>'件数(合算）'!K64</f>
        <v>0.52127659574468088</v>
      </c>
      <c r="D62" s="4">
        <f>'件数(合算）'!M64</f>
        <v>0.61299999999999999</v>
      </c>
      <c r="E62" s="5">
        <f>'件数(合算）'!E64</f>
        <v>13000</v>
      </c>
      <c r="F62" s="5">
        <f>'件数(合算）'!F64</f>
        <v>13000</v>
      </c>
      <c r="G62" s="53"/>
      <c r="K62" s="4">
        <f>'件数(合算）'!K64</f>
        <v>0.52127659574468088</v>
      </c>
      <c r="L62" s="4">
        <f>'件数(合算）'!K64</f>
        <v>0.52127659574468088</v>
      </c>
      <c r="M62" s="4">
        <f>'件数(合算）'!K64</f>
        <v>0.52127659574468088</v>
      </c>
      <c r="N62" s="4">
        <f>'件数(合算）'!K64</f>
        <v>0.52127659574468088</v>
      </c>
      <c r="O62" s="3">
        <f>ROUND($D62*'件数(合算）'!P64,0)</f>
        <v>2</v>
      </c>
      <c r="P62" s="3">
        <f>ROUND($D62*'件数(合算）'!Q64,0)</f>
        <v>2</v>
      </c>
      <c r="Q62" s="3">
        <f>ROUND($D62*'件数(合算）'!R64,0)</f>
        <v>2</v>
      </c>
      <c r="R62" s="3">
        <f>ROUND($D62*'件数(合算）'!S64,0)</f>
        <v>2</v>
      </c>
      <c r="S62" s="3">
        <f>ROUND($D62*'件数(合算）'!T64,0)</f>
        <v>2</v>
      </c>
      <c r="T62" s="3">
        <f>ROUND($D62*'件数(合算）'!U64,0)</f>
        <v>2</v>
      </c>
      <c r="U62" s="3">
        <f>ROUND($D62*'件数(合算）'!V64,0)</f>
        <v>2</v>
      </c>
      <c r="V62" s="3">
        <f>ROUND($D62*'件数(合算）'!W64,0)</f>
        <v>2</v>
      </c>
      <c r="W62" s="3">
        <f>ROUND($D62*'件数(合算）'!X64,0)</f>
        <v>2</v>
      </c>
      <c r="X62" s="3">
        <f>ROUND($D62*'件数(合算）'!Y64,0)</f>
        <v>2</v>
      </c>
      <c r="Y62" s="3">
        <f>ROUND($D62*'件数(合算）'!Z64,0)</f>
        <v>2</v>
      </c>
      <c r="Z62" s="3">
        <f>ROUND($C62*'件数(合算）'!AA64,0)</f>
        <v>2</v>
      </c>
      <c r="AA62" s="3">
        <f>ROUND($C62*'件数(合算）'!AB64,0)</f>
        <v>2</v>
      </c>
      <c r="AB62" s="3">
        <f>ROUND($C62*'件数(合算）'!AC64,0)</f>
        <v>2</v>
      </c>
      <c r="AC62" s="3">
        <f>ROUND($C62*'件数(合算）'!AD64,0)</f>
        <v>2</v>
      </c>
      <c r="AD62" s="3">
        <f>ROUND($C62*'件数(合算）'!AE64,0)</f>
        <v>2</v>
      </c>
      <c r="AE62" s="3">
        <f>ROUND($C62*'件数(合算）'!AF64,0)</f>
        <v>2</v>
      </c>
      <c r="AF62" s="3">
        <f>ROUND($C62*'件数(合算）'!AG64,0)</f>
        <v>2</v>
      </c>
      <c r="AG62" s="3">
        <f>ROUND($C62*'件数(合算）'!AH64,0)</f>
        <v>2</v>
      </c>
      <c r="AH62" s="3">
        <f>ROUND($C62*'件数(合算）'!AI64,0)</f>
        <v>2</v>
      </c>
      <c r="AI62" s="3">
        <f>ROUND($C62*'件数(合算）'!AJ64,0)</f>
        <v>2</v>
      </c>
      <c r="AJ62" s="3">
        <f>ROUND($C62*'件数(合算）'!AK64,0)</f>
        <v>2</v>
      </c>
      <c r="AK62" s="3">
        <f>ROUND($C62*'件数(合算）'!AL64,0)</f>
        <v>2</v>
      </c>
      <c r="AL62" s="3">
        <f>ROUND($C62*'件数(合算）'!AM64,0)</f>
        <v>2</v>
      </c>
      <c r="AM62" s="3">
        <f>ROUND($C62*'件数(合算）'!AN64,0)</f>
        <v>2</v>
      </c>
      <c r="AN62" s="3">
        <f>ROUND($C62*'件数(合算）'!AO64,0)</f>
        <v>2</v>
      </c>
      <c r="AO62" s="3">
        <f>ROUND($C62*'件数(合算）'!AP64,0)</f>
        <v>2</v>
      </c>
      <c r="AP62" s="3">
        <f>ROUND($C62*'件数(合算）'!AQ64,0)</f>
        <v>2</v>
      </c>
      <c r="AQ62" s="3">
        <f>ROUND($C62*'件数(合算）'!AR64,0)</f>
        <v>2</v>
      </c>
      <c r="AR62" s="3">
        <f>ROUND($C62*'件数(合算）'!AS64,0)</f>
        <v>2</v>
      </c>
      <c r="AS62" s="3">
        <f>ROUND($C62*'件数(合算）'!AT64,0)</f>
        <v>2</v>
      </c>
      <c r="AT62" s="3">
        <f>ROUND($C62*'件数(合算）'!AU64,0)</f>
        <v>1</v>
      </c>
      <c r="AU62" s="3">
        <f>ROUND($C62*'件数(合算）'!AV64,0)</f>
        <v>1</v>
      </c>
      <c r="AV62" s="10">
        <f t="shared" si="4"/>
        <v>56</v>
      </c>
    </row>
    <row r="63" spans="1:48" ht="22" customHeight="1">
      <c r="A63" s="34">
        <v>368617</v>
      </c>
      <c r="B63" s="35" t="s">
        <v>153</v>
      </c>
      <c r="C63" s="37">
        <f>'件数(合算）'!K65</f>
        <v>0.79487179487179482</v>
      </c>
      <c r="D63" s="4">
        <f>'件数(合算）'!M65</f>
        <v>0.63300000000000001</v>
      </c>
      <c r="E63" s="49">
        <f>'件数(合算）'!E65</f>
        <v>8000</v>
      </c>
      <c r="F63" s="49">
        <f>'件数(合算）'!F65</f>
        <v>8000</v>
      </c>
      <c r="G63" s="53"/>
      <c r="K63" s="37">
        <f>'件数(合算）'!K65</f>
        <v>0.79487179487179482</v>
      </c>
      <c r="L63" s="37">
        <f>'件数(合算）'!K65</f>
        <v>0.79487179487179482</v>
      </c>
      <c r="M63" s="37">
        <f>'件数(合算）'!K65</f>
        <v>0.79487179487179482</v>
      </c>
      <c r="N63" s="37">
        <f>'件数(合算）'!K65</f>
        <v>0.79487179487179482</v>
      </c>
      <c r="O63" s="36">
        <f>ROUND($D63*'件数(合算）'!P65,0)</f>
        <v>1</v>
      </c>
      <c r="P63" s="36">
        <f>ROUND($D63*'件数(合算）'!Q65,0)</f>
        <v>1</v>
      </c>
      <c r="Q63" s="36">
        <f>ROUND($D63*'件数(合算）'!R65,0)</f>
        <v>1</v>
      </c>
      <c r="R63" s="36">
        <f>ROUND($D63*'件数(合算）'!S65,0)</f>
        <v>1</v>
      </c>
      <c r="S63" s="36">
        <f>ROUND($D63*'件数(合算）'!T65,0)</f>
        <v>1</v>
      </c>
      <c r="T63" s="36">
        <f>ROUND($D63*'件数(合算）'!U65,0)</f>
        <v>1</v>
      </c>
      <c r="U63" s="36">
        <f>ROUND($D63*'件数(合算）'!V65,0)</f>
        <v>1</v>
      </c>
      <c r="V63" s="36">
        <f>ROUND($D63*'件数(合算）'!W65,0)</f>
        <v>1</v>
      </c>
      <c r="W63" s="36">
        <f>ROUND($D63*'件数(合算）'!X65,0)</f>
        <v>1</v>
      </c>
      <c r="X63" s="36">
        <f>ROUND($D63*'件数(合算）'!Y65,0)</f>
        <v>1</v>
      </c>
      <c r="Y63" s="36">
        <f>ROUND($D63*'件数(合算）'!Z65,0)</f>
        <v>1</v>
      </c>
      <c r="Z63" s="36">
        <f>ROUND($C63*'件数(合算）'!AA65,0)</f>
        <v>2</v>
      </c>
      <c r="AA63" s="36">
        <f>ROUND($C63*'件数(合算）'!AB65,0)</f>
        <v>2</v>
      </c>
      <c r="AB63" s="36">
        <f>ROUND($C63*'件数(合算）'!AC65,0)</f>
        <v>2</v>
      </c>
      <c r="AC63" s="36">
        <f>ROUND($C63*'件数(合算）'!AD65,0)</f>
        <v>2</v>
      </c>
      <c r="AD63" s="36">
        <f>ROUND($C63*'件数(合算）'!AE65,0)</f>
        <v>2</v>
      </c>
      <c r="AE63" s="36">
        <f>ROUND($C63*'件数(合算）'!AF65,0)</f>
        <v>2</v>
      </c>
      <c r="AF63" s="36">
        <f>ROUND($C63*'件数(合算）'!AG65,0)</f>
        <v>2</v>
      </c>
      <c r="AG63" s="36">
        <f>ROUND($C63*'件数(合算）'!AH65,0)</f>
        <v>2</v>
      </c>
      <c r="AH63" s="36">
        <f>ROUND($C63*'件数(合算）'!AI65,0)</f>
        <v>1</v>
      </c>
      <c r="AI63" s="36">
        <f>ROUND($C63*'件数(合算）'!AJ65,0)</f>
        <v>1</v>
      </c>
      <c r="AJ63" s="36">
        <f>ROUND($C63*'件数(合算）'!AK65,0)</f>
        <v>1</v>
      </c>
      <c r="AK63" s="36">
        <f>ROUND($C63*'件数(合算）'!AL65,0)</f>
        <v>1</v>
      </c>
      <c r="AL63" s="36">
        <f>ROUND($C63*'件数(合算）'!AM65,0)</f>
        <v>1</v>
      </c>
      <c r="AM63" s="36">
        <f>ROUND($C63*'件数(合算）'!AN65,0)</f>
        <v>1</v>
      </c>
      <c r="AN63" s="36">
        <f>ROUND($C63*'件数(合算）'!AO65,0)</f>
        <v>1</v>
      </c>
      <c r="AO63" s="36">
        <f>ROUND($C63*'件数(合算）'!AP65,0)</f>
        <v>1</v>
      </c>
      <c r="AP63" s="36">
        <f>ROUND($C63*'件数(合算）'!AQ65,0)</f>
        <v>1</v>
      </c>
      <c r="AQ63" s="36">
        <f>ROUND($C63*'件数(合算）'!AR65,0)</f>
        <v>1</v>
      </c>
      <c r="AR63" s="36">
        <f>ROUND($C63*'件数(合算）'!AS65,0)</f>
        <v>1</v>
      </c>
      <c r="AS63" s="36">
        <f>ROUND($C63*'件数(合算）'!AT65,0)</f>
        <v>1</v>
      </c>
      <c r="AT63" s="36">
        <f>ROUND($C63*'件数(合算）'!AU65,0)</f>
        <v>1</v>
      </c>
      <c r="AU63" s="36">
        <f>ROUND($C63*'件数(合算）'!AV65,0)</f>
        <v>1</v>
      </c>
      <c r="AV63" s="10">
        <f t="shared" si="4"/>
        <v>36</v>
      </c>
    </row>
    <row r="64" spans="1:48" ht="22" customHeight="1">
      <c r="A64" s="26">
        <v>372803</v>
      </c>
      <c r="B64" s="27" t="s">
        <v>155</v>
      </c>
      <c r="C64" s="4">
        <f>'件数(合算）'!K66</f>
        <v>0.18097876269621421</v>
      </c>
      <c r="D64" s="4">
        <f>'件数(合算）'!M66</f>
        <v>0.16300000000000001</v>
      </c>
      <c r="E64" s="5">
        <f>'件数(合算）'!E66</f>
        <v>18000</v>
      </c>
      <c r="F64" s="5">
        <f>'件数(合算）'!F66</f>
        <v>18000</v>
      </c>
      <c r="G64" s="53"/>
      <c r="K64" s="4">
        <f>'件数(合算）'!K66</f>
        <v>0.18097876269621421</v>
      </c>
      <c r="L64" s="4">
        <f>'件数(合算）'!K66</f>
        <v>0.18097876269621421</v>
      </c>
      <c r="M64" s="4">
        <f>'件数(合算）'!K66</f>
        <v>0.18097876269621421</v>
      </c>
      <c r="N64" s="4">
        <f>'件数(合算）'!K66</f>
        <v>0.18097876269621421</v>
      </c>
      <c r="O64" s="3">
        <f>ROUND($D64*'件数(合算）'!P66,0)</f>
        <v>11</v>
      </c>
      <c r="P64" s="3">
        <f>ROUND($D64*'件数(合算）'!Q66,0)</f>
        <v>13</v>
      </c>
      <c r="Q64" s="3">
        <f>ROUND($D64*'件数(合算）'!R66,0)</f>
        <v>15</v>
      </c>
      <c r="R64" s="3">
        <f>ROUND($D64*'件数(合算）'!S66,0)</f>
        <v>13</v>
      </c>
      <c r="S64" s="3">
        <f>ROUND($D64*'件数(合算）'!T66,0)</f>
        <v>16</v>
      </c>
      <c r="T64" s="3">
        <f>ROUND($D64*'件数(合算）'!U66,0)</f>
        <v>14</v>
      </c>
      <c r="U64" s="3">
        <f>ROUND($D64*'件数(合算）'!V66,0)</f>
        <v>14</v>
      </c>
      <c r="V64" s="3">
        <f>ROUND($D64*'件数(合算）'!W66,0)</f>
        <v>14</v>
      </c>
      <c r="W64" s="3">
        <f>ROUND($D64*'件数(合算）'!X66,0)</f>
        <v>13</v>
      </c>
      <c r="X64" s="3">
        <f>ROUND($D64*'件数(合算）'!Y66,0)</f>
        <v>12</v>
      </c>
      <c r="Y64" s="3">
        <f>ROUND($D64*'件数(合算）'!Z66,0)</f>
        <v>12</v>
      </c>
      <c r="Z64" s="3">
        <f>ROUND($C64*'件数(合算）'!AA66,0)</f>
        <v>7</v>
      </c>
      <c r="AA64" s="3">
        <f>ROUND($C64*'件数(合算）'!AB66,0)</f>
        <v>7</v>
      </c>
      <c r="AB64" s="3">
        <f>ROUND($C64*'件数(合算）'!AC66,0)</f>
        <v>7</v>
      </c>
      <c r="AC64" s="3">
        <f>ROUND($C64*'件数(合算）'!AD66,0)</f>
        <v>7</v>
      </c>
      <c r="AD64" s="3">
        <f>ROUND($C64*'件数(合算）'!AE66,0)</f>
        <v>7</v>
      </c>
      <c r="AE64" s="3">
        <f>ROUND($C64*'件数(合算）'!AF66,0)</f>
        <v>7</v>
      </c>
      <c r="AF64" s="3">
        <f>ROUND($C64*'件数(合算）'!AG66,0)</f>
        <v>7</v>
      </c>
      <c r="AG64" s="3">
        <f>ROUND($C64*'件数(合算）'!AH66,0)</f>
        <v>7</v>
      </c>
      <c r="AH64" s="3">
        <f>ROUND($C64*'件数(合算）'!AI66,0)</f>
        <v>7</v>
      </c>
      <c r="AI64" s="3">
        <f>ROUND($C64*'件数(合算）'!AJ66,0)</f>
        <v>7</v>
      </c>
      <c r="AJ64" s="3">
        <f>ROUND($C64*'件数(合算）'!AK66,0)</f>
        <v>7</v>
      </c>
      <c r="AK64" s="3">
        <f>ROUND($C64*'件数(合算）'!AL66,0)</f>
        <v>7</v>
      </c>
      <c r="AL64" s="3">
        <f>ROUND($C64*'件数(合算）'!AM66,0)</f>
        <v>7</v>
      </c>
      <c r="AM64" s="3">
        <f>ROUND($C64*'件数(合算）'!AN66,0)</f>
        <v>7</v>
      </c>
      <c r="AN64" s="3">
        <f>ROUND($C64*'件数(合算）'!AO66,0)</f>
        <v>7</v>
      </c>
      <c r="AO64" s="3">
        <f>ROUND($C64*'件数(合算）'!AP66,0)</f>
        <v>7</v>
      </c>
      <c r="AP64" s="3">
        <f>ROUND($C64*'件数(合算）'!AQ66,0)</f>
        <v>7</v>
      </c>
      <c r="AQ64" s="3">
        <f>ROUND($C64*'件数(合算）'!AR66,0)</f>
        <v>7</v>
      </c>
      <c r="AR64" s="3">
        <f>ROUND($C64*'件数(合算）'!AS66,0)</f>
        <v>7</v>
      </c>
      <c r="AS64" s="3">
        <f>ROUND($C64*'件数(合算）'!AT66,0)</f>
        <v>7</v>
      </c>
      <c r="AT64" s="3">
        <f>ROUND($C64*'件数(合算）'!AU66,0)</f>
        <v>7</v>
      </c>
      <c r="AU64" s="3">
        <f>ROUND($C64*'件数(合算）'!AV66,0)</f>
        <v>7</v>
      </c>
      <c r="AV64" s="10">
        <f t="shared" si="4"/>
        <v>266</v>
      </c>
    </row>
    <row r="65" spans="1:48" ht="22" customHeight="1">
      <c r="A65" s="34">
        <v>385111</v>
      </c>
      <c r="B65" s="35" t="s">
        <v>157</v>
      </c>
      <c r="C65" s="37">
        <f>'件数(合算）'!K67</f>
        <v>0.66666666666666663</v>
      </c>
      <c r="D65" s="4">
        <f>'件数(合算）'!M67</f>
        <v>0.85699999999999998</v>
      </c>
      <c r="E65" s="49">
        <f>'件数(合算）'!E67</f>
        <v>9000</v>
      </c>
      <c r="F65" s="49">
        <f>'件数(合算）'!F67</f>
        <v>9000</v>
      </c>
      <c r="G65" s="53"/>
      <c r="K65" s="37">
        <f>'件数(合算）'!K67</f>
        <v>0.66666666666666663</v>
      </c>
      <c r="L65" s="37">
        <f>'件数(合算）'!K67</f>
        <v>0.66666666666666663</v>
      </c>
      <c r="M65" s="37">
        <f>'件数(合算）'!K67</f>
        <v>0.66666666666666663</v>
      </c>
      <c r="N65" s="37">
        <f>'件数(合算）'!K67</f>
        <v>0.66666666666666663</v>
      </c>
      <c r="O65" s="36">
        <f>ROUND($D65*'件数(合算）'!P67,0)</f>
        <v>1</v>
      </c>
      <c r="P65" s="36">
        <f>ROUND($D65*'件数(合算）'!Q67,0)</f>
        <v>1</v>
      </c>
      <c r="Q65" s="36">
        <f>ROUND($D65*'件数(合算）'!R67,0)</f>
        <v>1</v>
      </c>
      <c r="R65" s="36">
        <f>ROUND($D65*'件数(合算）'!S67,0)</f>
        <v>1</v>
      </c>
      <c r="S65" s="36">
        <f>ROUND($D65*'件数(合算）'!T67,0)</f>
        <v>1</v>
      </c>
      <c r="T65" s="36">
        <f>ROUND($D65*'件数(合算）'!U67,0)</f>
        <v>1</v>
      </c>
      <c r="U65" s="36">
        <f>ROUND($D65*'件数(合算）'!V67,0)</f>
        <v>1</v>
      </c>
      <c r="V65" s="36">
        <f>ROUND($D65*'件数(合算）'!W67,0)</f>
        <v>1</v>
      </c>
      <c r="W65" s="36">
        <f>ROUND($D65*'件数(合算）'!X67,0)</f>
        <v>1</v>
      </c>
      <c r="X65" s="36">
        <f>ROUND($D65*'件数(合算）'!Y67,0)</f>
        <v>1</v>
      </c>
      <c r="Y65" s="36">
        <f>ROUND($D65*'件数(合算）'!Z67,0)</f>
        <v>0</v>
      </c>
      <c r="Z65" s="36">
        <f>ROUND($C65*'件数(合算）'!AA67,0)</f>
        <v>0</v>
      </c>
      <c r="AA65" s="36">
        <f>ROUND($C65*'件数(合算）'!AB67,0)</f>
        <v>0</v>
      </c>
      <c r="AB65" s="36">
        <f>ROUND($C65*'件数(合算）'!AC67,0)</f>
        <v>0</v>
      </c>
      <c r="AC65" s="36">
        <f>ROUND($C65*'件数(合算）'!AD67,0)</f>
        <v>0</v>
      </c>
      <c r="AD65" s="36">
        <f>ROUND($C65*'件数(合算）'!AE67,0)</f>
        <v>0</v>
      </c>
      <c r="AE65" s="36">
        <f>ROUND($C65*'件数(合算）'!AF67,0)</f>
        <v>0</v>
      </c>
      <c r="AF65" s="36">
        <f>ROUND($C65*'件数(合算）'!AG67,0)</f>
        <v>0</v>
      </c>
      <c r="AG65" s="36">
        <f>ROUND($C65*'件数(合算）'!AH67,0)</f>
        <v>0</v>
      </c>
      <c r="AH65" s="36">
        <f>ROUND($C65*'件数(合算）'!AI67,0)</f>
        <v>0</v>
      </c>
      <c r="AI65" s="36">
        <f>ROUND($C65*'件数(合算）'!AJ67,0)</f>
        <v>0</v>
      </c>
      <c r="AJ65" s="36">
        <f>ROUND($C65*'件数(合算）'!AK67,0)</f>
        <v>0</v>
      </c>
      <c r="AK65" s="36">
        <f>ROUND($C65*'件数(合算）'!AL67,0)</f>
        <v>0</v>
      </c>
      <c r="AL65" s="36">
        <f>ROUND($C65*'件数(合算）'!AM67,0)</f>
        <v>0</v>
      </c>
      <c r="AM65" s="36">
        <f>ROUND($C65*'件数(合算）'!AN67,0)</f>
        <v>0</v>
      </c>
      <c r="AN65" s="36">
        <f>ROUND($C65*'件数(合算）'!AO67,0)</f>
        <v>0</v>
      </c>
      <c r="AO65" s="36">
        <f>ROUND($C65*'件数(合算）'!AP67,0)</f>
        <v>0</v>
      </c>
      <c r="AP65" s="36">
        <f>ROUND($C65*'件数(合算）'!AQ67,0)</f>
        <v>0</v>
      </c>
      <c r="AQ65" s="36">
        <f>ROUND($C65*'件数(合算）'!AR67,0)</f>
        <v>0</v>
      </c>
      <c r="AR65" s="36">
        <f>ROUND($C65*'件数(合算）'!AS67,0)</f>
        <v>0</v>
      </c>
      <c r="AS65" s="36">
        <f>ROUND($C65*'件数(合算）'!AT67,0)</f>
        <v>0</v>
      </c>
      <c r="AT65" s="36">
        <f>ROUND($C65*'件数(合算）'!AU67,0)</f>
        <v>0</v>
      </c>
      <c r="AU65" s="36">
        <f>ROUND($C65*'件数(合算）'!AV67,0)</f>
        <v>0</v>
      </c>
      <c r="AV65" s="10">
        <f t="shared" si="4"/>
        <v>10</v>
      </c>
    </row>
    <row r="66" spans="1:48" ht="22" customHeight="1">
      <c r="A66" s="26">
        <v>391966</v>
      </c>
      <c r="B66" s="27" t="s">
        <v>159</v>
      </c>
      <c r="C66" s="4">
        <f>'件数(合算）'!K68</f>
        <v>0.42857142857142849</v>
      </c>
      <c r="D66" s="4">
        <f>'件数(合算）'!M68</f>
        <v>0.42857142857142849</v>
      </c>
      <c r="E66" s="5">
        <f>'件数(合算）'!E68</f>
        <v>8000</v>
      </c>
      <c r="F66" s="5">
        <f>'件数(合算）'!F68</f>
        <v>8000</v>
      </c>
      <c r="G66" s="53"/>
      <c r="K66" s="4">
        <f>'件数(合算）'!K68</f>
        <v>0.42857142857142849</v>
      </c>
      <c r="L66" s="4">
        <f>'件数(合算）'!K68</f>
        <v>0.42857142857142849</v>
      </c>
      <c r="M66" s="4">
        <f>'件数(合算）'!K68</f>
        <v>0.42857142857142849</v>
      </c>
      <c r="N66" s="4">
        <f>'件数(合算）'!K68</f>
        <v>0.42857142857142849</v>
      </c>
      <c r="O66" s="3">
        <f>ROUND($D66*'件数(合算）'!P68,0)</f>
        <v>0</v>
      </c>
      <c r="P66" s="3">
        <f>ROUND($D66*'件数(合算）'!Q68,0)</f>
        <v>0</v>
      </c>
      <c r="Q66" s="3">
        <f>ROUND($D66*'件数(合算）'!R68,0)</f>
        <v>0</v>
      </c>
      <c r="R66" s="3">
        <f>ROUND($D66*'件数(合算）'!S68,0)</f>
        <v>0</v>
      </c>
      <c r="S66" s="3">
        <f>ROUND($D66*'件数(合算）'!T68,0)</f>
        <v>0</v>
      </c>
      <c r="T66" s="3">
        <f>ROUND($D66*'件数(合算）'!U68,0)</f>
        <v>0</v>
      </c>
      <c r="U66" s="3">
        <f>ROUND($D66*'件数(合算）'!V68,0)</f>
        <v>0</v>
      </c>
      <c r="V66" s="3">
        <f>ROUND($D66*'件数(合算）'!W68,0)</f>
        <v>0</v>
      </c>
      <c r="W66" s="3">
        <f>ROUND($D66*'件数(合算）'!X68,0)</f>
        <v>0</v>
      </c>
      <c r="X66" s="3">
        <f>ROUND($D66*'件数(合算）'!Y68,0)</f>
        <v>0</v>
      </c>
      <c r="Y66" s="3">
        <f>ROUND($D66*'件数(合算）'!Z68,0)</f>
        <v>0</v>
      </c>
      <c r="Z66" s="3">
        <f>ROUND($C66*'件数(合算）'!AA68,0)</f>
        <v>0</v>
      </c>
      <c r="AA66" s="3">
        <f>ROUND($C66*'件数(合算）'!AB68,0)</f>
        <v>0</v>
      </c>
      <c r="AB66" s="3">
        <f>ROUND($C66*'件数(合算）'!AC68,0)</f>
        <v>0</v>
      </c>
      <c r="AC66" s="3">
        <f>ROUND($C66*'件数(合算）'!AD68,0)</f>
        <v>0</v>
      </c>
      <c r="AD66" s="3">
        <f>ROUND($C66*'件数(合算）'!AE68,0)</f>
        <v>0</v>
      </c>
      <c r="AE66" s="3">
        <f>ROUND($C66*'件数(合算）'!AF68,0)</f>
        <v>0</v>
      </c>
      <c r="AF66" s="3">
        <f>ROUND($C66*'件数(合算）'!AG68,0)</f>
        <v>0</v>
      </c>
      <c r="AG66" s="3">
        <f>ROUND($C66*'件数(合算）'!AH68,0)</f>
        <v>0</v>
      </c>
      <c r="AH66" s="3">
        <f>ROUND($C66*'件数(合算）'!AI68,0)</f>
        <v>0</v>
      </c>
      <c r="AI66" s="3">
        <f>ROUND($C66*'件数(合算）'!AJ68,0)</f>
        <v>0</v>
      </c>
      <c r="AJ66" s="3">
        <f>ROUND($C66*'件数(合算）'!AK68,0)</f>
        <v>0</v>
      </c>
      <c r="AK66" s="3">
        <f>ROUND($C66*'件数(合算）'!AL68,0)</f>
        <v>0</v>
      </c>
      <c r="AL66" s="3">
        <f>ROUND($C66*'件数(合算）'!AM68,0)</f>
        <v>0</v>
      </c>
      <c r="AM66" s="3">
        <f>ROUND($C66*'件数(合算）'!AN68,0)</f>
        <v>0</v>
      </c>
      <c r="AN66" s="3">
        <f>ROUND($C66*'件数(合算）'!AO68,0)</f>
        <v>0</v>
      </c>
      <c r="AO66" s="3">
        <f>ROUND($C66*'件数(合算）'!AP68,0)</f>
        <v>0</v>
      </c>
      <c r="AP66" s="3">
        <f>ROUND($C66*'件数(合算）'!AQ68,0)</f>
        <v>0</v>
      </c>
      <c r="AQ66" s="3">
        <f>ROUND($C66*'件数(合算）'!AR68,0)</f>
        <v>0</v>
      </c>
      <c r="AR66" s="3">
        <f>ROUND($C66*'件数(合算）'!AS68,0)</f>
        <v>0</v>
      </c>
      <c r="AS66" s="3">
        <f>ROUND($C66*'件数(合算）'!AT68,0)</f>
        <v>0</v>
      </c>
      <c r="AT66" s="3">
        <f>ROUND($C66*'件数(合算）'!AU68,0)</f>
        <v>0</v>
      </c>
      <c r="AU66" s="3">
        <f>ROUND($C66*'件数(合算）'!AV68,0)</f>
        <v>0</v>
      </c>
      <c r="AV66" s="10">
        <f t="shared" si="4"/>
        <v>0</v>
      </c>
    </row>
    <row r="67" spans="1:48" ht="22" customHeight="1">
      <c r="A67" s="34">
        <v>393660</v>
      </c>
      <c r="B67" s="35" t="s">
        <v>161</v>
      </c>
      <c r="C67" s="37">
        <f>'件数(合算）'!K69</f>
        <v>0.42857142857142849</v>
      </c>
      <c r="D67" s="4">
        <f>'件数(合算）'!M69</f>
        <v>0.42857142857142849</v>
      </c>
      <c r="E67" s="49">
        <f>'件数(合算）'!E69</f>
        <v>1300</v>
      </c>
      <c r="F67" s="49">
        <f>'件数(合算）'!F69</f>
        <v>1300</v>
      </c>
      <c r="G67" s="53"/>
      <c r="K67" s="37">
        <f>'件数(合算）'!K69</f>
        <v>0.42857142857142849</v>
      </c>
      <c r="L67" s="37">
        <f>'件数(合算）'!K69</f>
        <v>0.42857142857142849</v>
      </c>
      <c r="M67" s="37">
        <f>'件数(合算）'!K69</f>
        <v>0.42857142857142849</v>
      </c>
      <c r="N67" s="37">
        <f>'件数(合算）'!K69</f>
        <v>0.42857142857142849</v>
      </c>
      <c r="O67" s="36">
        <f>ROUND($D67*'件数(合算）'!P69,0)</f>
        <v>0</v>
      </c>
      <c r="P67" s="36">
        <f>ROUND($D67*'件数(合算）'!Q69,0)</f>
        <v>0</v>
      </c>
      <c r="Q67" s="36">
        <f>ROUND($D67*'件数(合算）'!R69,0)</f>
        <v>0</v>
      </c>
      <c r="R67" s="36">
        <f>ROUND($D67*'件数(合算）'!S69,0)</f>
        <v>0</v>
      </c>
      <c r="S67" s="36">
        <f>ROUND($D67*'件数(合算）'!T69,0)</f>
        <v>0</v>
      </c>
      <c r="T67" s="36">
        <f>ROUND($D67*'件数(合算）'!U69,0)</f>
        <v>0</v>
      </c>
      <c r="U67" s="36">
        <f>ROUND($D67*'件数(合算）'!V69,0)</f>
        <v>0</v>
      </c>
      <c r="V67" s="36">
        <f>ROUND($D67*'件数(合算）'!W69,0)</f>
        <v>0</v>
      </c>
      <c r="W67" s="36">
        <f>ROUND($D67*'件数(合算）'!X69,0)</f>
        <v>0</v>
      </c>
      <c r="X67" s="36">
        <f>ROUND($D67*'件数(合算）'!Y69,0)</f>
        <v>0</v>
      </c>
      <c r="Y67" s="36">
        <f>ROUND($D67*'件数(合算）'!Z69,0)</f>
        <v>0</v>
      </c>
      <c r="Z67" s="36">
        <f>ROUND($C67*'件数(合算）'!AA69,0)</f>
        <v>0</v>
      </c>
      <c r="AA67" s="36">
        <f>ROUND($C67*'件数(合算）'!AB69,0)</f>
        <v>0</v>
      </c>
      <c r="AB67" s="36">
        <f>ROUND($C67*'件数(合算）'!AC69,0)</f>
        <v>0</v>
      </c>
      <c r="AC67" s="36">
        <f>ROUND($C67*'件数(合算）'!AD69,0)</f>
        <v>0</v>
      </c>
      <c r="AD67" s="36">
        <f>ROUND($C67*'件数(合算）'!AE69,0)</f>
        <v>0</v>
      </c>
      <c r="AE67" s="36">
        <f>ROUND($C67*'件数(合算）'!AF69,0)</f>
        <v>0</v>
      </c>
      <c r="AF67" s="36">
        <f>ROUND($C67*'件数(合算）'!AG69,0)</f>
        <v>0</v>
      </c>
      <c r="AG67" s="36">
        <f>ROUND($C67*'件数(合算）'!AH69,0)</f>
        <v>0</v>
      </c>
      <c r="AH67" s="36">
        <f>ROUND($C67*'件数(合算）'!AI69,0)</f>
        <v>0</v>
      </c>
      <c r="AI67" s="36">
        <f>ROUND($C67*'件数(合算）'!AJ69,0)</f>
        <v>0</v>
      </c>
      <c r="AJ67" s="36">
        <f>ROUND($C67*'件数(合算）'!AK69,0)</f>
        <v>0</v>
      </c>
      <c r="AK67" s="36">
        <f>ROUND($C67*'件数(合算）'!AL69,0)</f>
        <v>0</v>
      </c>
      <c r="AL67" s="36">
        <f>ROUND($C67*'件数(合算）'!AM69,0)</f>
        <v>0</v>
      </c>
      <c r="AM67" s="36">
        <f>ROUND($C67*'件数(合算）'!AN69,0)</f>
        <v>0</v>
      </c>
      <c r="AN67" s="36">
        <f>ROUND($C67*'件数(合算）'!AO69,0)</f>
        <v>0</v>
      </c>
      <c r="AO67" s="36">
        <f>ROUND($C67*'件数(合算）'!AP69,0)</f>
        <v>0</v>
      </c>
      <c r="AP67" s="36">
        <f>ROUND($C67*'件数(合算）'!AQ69,0)</f>
        <v>0</v>
      </c>
      <c r="AQ67" s="36">
        <f>ROUND($C67*'件数(合算）'!AR69,0)</f>
        <v>0</v>
      </c>
      <c r="AR67" s="36">
        <f>ROUND($C67*'件数(合算）'!AS69,0)</f>
        <v>0</v>
      </c>
      <c r="AS67" s="36">
        <f>ROUND($C67*'件数(合算）'!AT69,0)</f>
        <v>0</v>
      </c>
      <c r="AT67" s="36">
        <f>ROUND($C67*'件数(合算）'!AU69,0)</f>
        <v>0</v>
      </c>
      <c r="AU67" s="36">
        <f>ROUND($C67*'件数(合算）'!AV69,0)</f>
        <v>0</v>
      </c>
      <c r="AV67" s="10">
        <f t="shared" si="4"/>
        <v>0</v>
      </c>
    </row>
    <row r="68" spans="1:48" ht="22" customHeight="1">
      <c r="A68" s="26">
        <v>395140</v>
      </c>
      <c r="B68" s="27" t="s">
        <v>163</v>
      </c>
      <c r="C68" s="4">
        <f>'件数(合算）'!K70</f>
        <v>0.3</v>
      </c>
      <c r="D68" s="4">
        <f>'件数(合算）'!M70</f>
        <v>0.35699999999999998</v>
      </c>
      <c r="E68" s="5">
        <f>'件数(合算）'!E70</f>
        <v>18000</v>
      </c>
      <c r="F68" s="5">
        <f>'件数(合算）'!F70</f>
        <v>18000</v>
      </c>
      <c r="G68" s="53"/>
      <c r="K68" s="4">
        <f>'件数(合算）'!K70</f>
        <v>0.3</v>
      </c>
      <c r="L68" s="4">
        <f>'件数(合算）'!K70</f>
        <v>0.3</v>
      </c>
      <c r="M68" s="4">
        <f>'件数(合算）'!K70</f>
        <v>0.3</v>
      </c>
      <c r="N68" s="4">
        <f>'件数(合算）'!K70</f>
        <v>0.3</v>
      </c>
      <c r="O68" s="3">
        <f>ROUND($D68*'件数(合算）'!P70,0)</f>
        <v>0</v>
      </c>
      <c r="P68" s="3">
        <f>ROUND($D68*'件数(合算）'!Q70,0)</f>
        <v>0</v>
      </c>
      <c r="Q68" s="3">
        <f>ROUND($D68*'件数(合算）'!R70,0)</f>
        <v>0</v>
      </c>
      <c r="R68" s="3">
        <f>ROUND($D68*'件数(合算）'!S70,0)</f>
        <v>0</v>
      </c>
      <c r="S68" s="3">
        <f>ROUND($D68*'件数(合算）'!T70,0)</f>
        <v>0</v>
      </c>
      <c r="T68" s="3">
        <f>ROUND($D68*'件数(合算）'!U70,0)</f>
        <v>0</v>
      </c>
      <c r="U68" s="3">
        <f>ROUND($D68*'件数(合算）'!V70,0)</f>
        <v>0</v>
      </c>
      <c r="V68" s="3">
        <f>ROUND($D68*'件数(合算）'!W70,0)</f>
        <v>0</v>
      </c>
      <c r="W68" s="3">
        <f>ROUND($D68*'件数(合算）'!X70,0)</f>
        <v>0</v>
      </c>
      <c r="X68" s="3">
        <f>ROUND($D68*'件数(合算）'!Y70,0)</f>
        <v>0</v>
      </c>
      <c r="Y68" s="3">
        <f>ROUND($D68*'件数(合算）'!Z70,0)</f>
        <v>0</v>
      </c>
      <c r="Z68" s="3">
        <f>ROUND($C68*'件数(合算）'!AA70,0)</f>
        <v>0</v>
      </c>
      <c r="AA68" s="3">
        <f>ROUND($C68*'件数(合算）'!AB70,0)</f>
        <v>0</v>
      </c>
      <c r="AB68" s="3">
        <f>ROUND($C68*'件数(合算）'!AC70,0)</f>
        <v>0</v>
      </c>
      <c r="AC68" s="3">
        <f>ROUND($C68*'件数(合算）'!AD70,0)</f>
        <v>0</v>
      </c>
      <c r="AD68" s="3">
        <f>ROUND($C68*'件数(合算）'!AE70,0)</f>
        <v>0</v>
      </c>
      <c r="AE68" s="3">
        <f>ROUND($C68*'件数(合算）'!AF70,0)</f>
        <v>0</v>
      </c>
      <c r="AF68" s="3">
        <f>ROUND($C68*'件数(合算）'!AG70,0)</f>
        <v>0</v>
      </c>
      <c r="AG68" s="3">
        <f>ROUND($C68*'件数(合算）'!AH70,0)</f>
        <v>0</v>
      </c>
      <c r="AH68" s="3">
        <f>ROUND($C68*'件数(合算）'!AI70,0)</f>
        <v>0</v>
      </c>
      <c r="AI68" s="3">
        <f>ROUND($C68*'件数(合算）'!AJ70,0)</f>
        <v>0</v>
      </c>
      <c r="AJ68" s="3">
        <f>ROUND($C68*'件数(合算）'!AK70,0)</f>
        <v>0</v>
      </c>
      <c r="AK68" s="3">
        <f>ROUND($C68*'件数(合算）'!AL70,0)</f>
        <v>0</v>
      </c>
      <c r="AL68" s="3">
        <f>ROUND($C68*'件数(合算）'!AM70,0)</f>
        <v>0</v>
      </c>
      <c r="AM68" s="3">
        <f>ROUND($C68*'件数(合算）'!AN70,0)</f>
        <v>0</v>
      </c>
      <c r="AN68" s="3">
        <f>ROUND($C68*'件数(合算）'!AO70,0)</f>
        <v>0</v>
      </c>
      <c r="AO68" s="3">
        <f>ROUND($C68*'件数(合算）'!AP70,0)</f>
        <v>0</v>
      </c>
      <c r="AP68" s="3">
        <f>ROUND($C68*'件数(合算）'!AQ70,0)</f>
        <v>0</v>
      </c>
      <c r="AQ68" s="3">
        <f>ROUND($C68*'件数(合算）'!AR70,0)</f>
        <v>0</v>
      </c>
      <c r="AR68" s="3">
        <f>ROUND($C68*'件数(合算）'!AS70,0)</f>
        <v>0</v>
      </c>
      <c r="AS68" s="3">
        <f>ROUND($C68*'件数(合算）'!AT70,0)</f>
        <v>0</v>
      </c>
      <c r="AT68" s="3">
        <f>ROUND($C68*'件数(合算）'!AU70,0)</f>
        <v>0</v>
      </c>
      <c r="AU68" s="3">
        <f>ROUND($C68*'件数(合算）'!AV70,0)</f>
        <v>0</v>
      </c>
      <c r="AV68" s="10">
        <f t="shared" si="4"/>
        <v>0</v>
      </c>
    </row>
    <row r="69" spans="1:48" ht="22" customHeight="1">
      <c r="A69" s="34">
        <v>395211</v>
      </c>
      <c r="B69" s="35" t="s">
        <v>165</v>
      </c>
      <c r="C69" s="37">
        <f>'件数(合算）'!K71</f>
        <v>0.22222222222222221</v>
      </c>
      <c r="D69" s="4">
        <f>'件数(合算）'!M71</f>
        <v>0.222</v>
      </c>
      <c r="E69" s="49">
        <f>'件数(合算）'!E71</f>
        <v>4500</v>
      </c>
      <c r="F69" s="49">
        <f>'件数(合算）'!F71</f>
        <v>4500</v>
      </c>
      <c r="G69" s="53"/>
      <c r="K69" s="37">
        <f>'件数(合算）'!K71</f>
        <v>0.22222222222222221</v>
      </c>
      <c r="L69" s="37">
        <f>'件数(合算）'!K71</f>
        <v>0.22222222222222221</v>
      </c>
      <c r="M69" s="37">
        <f>'件数(合算）'!K71</f>
        <v>0.22222222222222221</v>
      </c>
      <c r="N69" s="37">
        <f>'件数(合算）'!K71</f>
        <v>0.22222222222222221</v>
      </c>
      <c r="O69" s="36">
        <f>ROUND($D69*'件数(合算）'!P71,0)</f>
        <v>0</v>
      </c>
      <c r="P69" s="36">
        <f>ROUND($D69*'件数(合算）'!Q71,0)</f>
        <v>0</v>
      </c>
      <c r="Q69" s="36">
        <f>ROUND($D69*'件数(合算）'!R71,0)</f>
        <v>0</v>
      </c>
      <c r="R69" s="36">
        <f>ROUND($D69*'件数(合算）'!S71,0)</f>
        <v>0</v>
      </c>
      <c r="S69" s="36">
        <f>ROUND($D69*'件数(合算）'!T71,0)</f>
        <v>0</v>
      </c>
      <c r="T69" s="36">
        <f>ROUND($D69*'件数(合算）'!U71,0)</f>
        <v>0</v>
      </c>
      <c r="U69" s="36">
        <f>ROUND($D69*'件数(合算）'!V71,0)</f>
        <v>0</v>
      </c>
      <c r="V69" s="36">
        <f>ROUND($D69*'件数(合算）'!W71,0)</f>
        <v>0</v>
      </c>
      <c r="W69" s="36">
        <f>ROUND($D69*'件数(合算）'!X71,0)</f>
        <v>0</v>
      </c>
      <c r="X69" s="36">
        <f>ROUND($D69*'件数(合算）'!Y71,0)</f>
        <v>0</v>
      </c>
      <c r="Y69" s="36">
        <f>ROUND($D69*'件数(合算）'!Z71,0)</f>
        <v>0</v>
      </c>
      <c r="Z69" s="36">
        <f>ROUND($C69*'件数(合算）'!AA71,0)</f>
        <v>0</v>
      </c>
      <c r="AA69" s="36">
        <f>ROUND($C69*'件数(合算）'!AB71,0)</f>
        <v>0</v>
      </c>
      <c r="AB69" s="36">
        <f>ROUND($C69*'件数(合算）'!AC71,0)</f>
        <v>0</v>
      </c>
      <c r="AC69" s="36">
        <f>ROUND($C69*'件数(合算）'!AD71,0)</f>
        <v>0</v>
      </c>
      <c r="AD69" s="36">
        <f>ROUND($C69*'件数(合算）'!AE71,0)</f>
        <v>0</v>
      </c>
      <c r="AE69" s="36">
        <f>ROUND($C69*'件数(合算）'!AF71,0)</f>
        <v>0</v>
      </c>
      <c r="AF69" s="36">
        <f>ROUND($C69*'件数(合算）'!AG71,0)</f>
        <v>0</v>
      </c>
      <c r="AG69" s="36">
        <f>ROUND($C69*'件数(合算）'!AH71,0)</f>
        <v>0</v>
      </c>
      <c r="AH69" s="36">
        <f>ROUND($C69*'件数(合算）'!AI71,0)</f>
        <v>0</v>
      </c>
      <c r="AI69" s="36">
        <f>ROUND($C69*'件数(合算）'!AJ71,0)</f>
        <v>0</v>
      </c>
      <c r="AJ69" s="36">
        <f>ROUND($C69*'件数(合算）'!AK71,0)</f>
        <v>0</v>
      </c>
      <c r="AK69" s="36">
        <f>ROUND($C69*'件数(合算）'!AL71,0)</f>
        <v>0</v>
      </c>
      <c r="AL69" s="36">
        <f>ROUND($C69*'件数(合算）'!AM71,0)</f>
        <v>0</v>
      </c>
      <c r="AM69" s="36">
        <f>ROUND($C69*'件数(合算）'!AN71,0)</f>
        <v>0</v>
      </c>
      <c r="AN69" s="36">
        <f>ROUND($C69*'件数(合算）'!AO71,0)</f>
        <v>0</v>
      </c>
      <c r="AO69" s="36">
        <f>ROUND($C69*'件数(合算）'!AP71,0)</f>
        <v>0</v>
      </c>
      <c r="AP69" s="36">
        <f>ROUND($C69*'件数(合算）'!AQ71,0)</f>
        <v>0</v>
      </c>
      <c r="AQ69" s="36">
        <f>ROUND($C69*'件数(合算）'!AR71,0)</f>
        <v>0</v>
      </c>
      <c r="AR69" s="36">
        <f>ROUND($C69*'件数(合算）'!AS71,0)</f>
        <v>0</v>
      </c>
      <c r="AS69" s="36">
        <f>ROUND($C69*'件数(合算）'!AT71,0)</f>
        <v>0</v>
      </c>
      <c r="AT69" s="36">
        <f>ROUND($C69*'件数(合算）'!AU71,0)</f>
        <v>0</v>
      </c>
      <c r="AU69" s="36">
        <f>ROUND($C69*'件数(合算）'!AV71,0)</f>
        <v>0</v>
      </c>
      <c r="AV69" s="10">
        <f t="shared" si="4"/>
        <v>0</v>
      </c>
    </row>
    <row r="70" spans="1:48" ht="22" customHeight="1">
      <c r="A70" s="26">
        <v>395324</v>
      </c>
      <c r="B70" s="27" t="s">
        <v>167</v>
      </c>
      <c r="C70" s="4">
        <f>'件数(合算）'!K72</f>
        <v>0.1</v>
      </c>
      <c r="D70" s="4">
        <f>'件数(合算）'!M72</f>
        <v>0.1</v>
      </c>
      <c r="E70" s="5">
        <f>'件数(合算）'!E72</f>
        <v>1300</v>
      </c>
      <c r="F70" s="5">
        <f>'件数(合算）'!F72</f>
        <v>1300</v>
      </c>
      <c r="G70" s="53"/>
      <c r="K70" s="4">
        <f>'件数(合算）'!K72</f>
        <v>0.1</v>
      </c>
      <c r="L70" s="4">
        <f>'件数(合算）'!K72</f>
        <v>0.1</v>
      </c>
      <c r="M70" s="4">
        <f>'件数(合算）'!K72</f>
        <v>0.1</v>
      </c>
      <c r="N70" s="4">
        <f>'件数(合算）'!K72</f>
        <v>0.1</v>
      </c>
      <c r="O70" s="3">
        <f>ROUND($D70*'件数(合算）'!P72,0)</f>
        <v>0</v>
      </c>
      <c r="P70" s="3">
        <f>ROUND($D70*'件数(合算）'!Q72,0)</f>
        <v>0</v>
      </c>
      <c r="Q70" s="3">
        <f>ROUND($D70*'件数(合算）'!R72,0)</f>
        <v>0</v>
      </c>
      <c r="R70" s="3">
        <f>ROUND($D70*'件数(合算）'!S72,0)</f>
        <v>0</v>
      </c>
      <c r="S70" s="3">
        <f>ROUND($D70*'件数(合算）'!T72,0)</f>
        <v>0</v>
      </c>
      <c r="T70" s="3">
        <f>ROUND($D70*'件数(合算）'!U72,0)</f>
        <v>0</v>
      </c>
      <c r="U70" s="3">
        <f>ROUND($D70*'件数(合算）'!V72,0)</f>
        <v>0</v>
      </c>
      <c r="V70" s="3">
        <f>ROUND($D70*'件数(合算）'!W72,0)</f>
        <v>0</v>
      </c>
      <c r="W70" s="3">
        <f>ROUND($D70*'件数(合算）'!X72,0)</f>
        <v>0</v>
      </c>
      <c r="X70" s="3">
        <f>ROUND($D70*'件数(合算）'!Y72,0)</f>
        <v>0</v>
      </c>
      <c r="Y70" s="3">
        <f>ROUND($D70*'件数(合算）'!Z72,0)</f>
        <v>0</v>
      </c>
      <c r="Z70" s="3">
        <f>ROUND($C70*'件数(合算）'!AA72,0)</f>
        <v>0</v>
      </c>
      <c r="AA70" s="3">
        <f>ROUND($C70*'件数(合算）'!AB72,0)</f>
        <v>0</v>
      </c>
      <c r="AB70" s="3">
        <f>ROUND($C70*'件数(合算）'!AC72,0)</f>
        <v>0</v>
      </c>
      <c r="AC70" s="3">
        <f>ROUND($C70*'件数(合算）'!AD72,0)</f>
        <v>0</v>
      </c>
      <c r="AD70" s="3">
        <f>ROUND($C70*'件数(合算）'!AE72,0)</f>
        <v>0</v>
      </c>
      <c r="AE70" s="3">
        <f>ROUND($C70*'件数(合算）'!AF72,0)</f>
        <v>0</v>
      </c>
      <c r="AF70" s="3">
        <f>ROUND($C70*'件数(合算）'!AG72,0)</f>
        <v>0</v>
      </c>
      <c r="AG70" s="3">
        <f>ROUND($C70*'件数(合算）'!AH72,0)</f>
        <v>0</v>
      </c>
      <c r="AH70" s="3">
        <f>ROUND($C70*'件数(合算）'!AI72,0)</f>
        <v>0</v>
      </c>
      <c r="AI70" s="3">
        <f>ROUND($C70*'件数(合算）'!AJ72,0)</f>
        <v>0</v>
      </c>
      <c r="AJ70" s="3">
        <f>ROUND($C70*'件数(合算）'!AK72,0)</f>
        <v>0</v>
      </c>
      <c r="AK70" s="3">
        <f>ROUND($C70*'件数(合算）'!AL72,0)</f>
        <v>0</v>
      </c>
      <c r="AL70" s="3">
        <f>ROUND($C70*'件数(合算）'!AM72,0)</f>
        <v>0</v>
      </c>
      <c r="AM70" s="3">
        <f>ROUND($C70*'件数(合算）'!AN72,0)</f>
        <v>0</v>
      </c>
      <c r="AN70" s="3">
        <f>ROUND($C70*'件数(合算）'!AO72,0)</f>
        <v>0</v>
      </c>
      <c r="AO70" s="3">
        <f>ROUND($C70*'件数(合算）'!AP72,0)</f>
        <v>0</v>
      </c>
      <c r="AP70" s="3">
        <f>ROUND($C70*'件数(合算）'!AQ72,0)</f>
        <v>0</v>
      </c>
      <c r="AQ70" s="3">
        <f>ROUND($C70*'件数(合算）'!AR72,0)</f>
        <v>0</v>
      </c>
      <c r="AR70" s="3">
        <f>ROUND($C70*'件数(合算）'!AS72,0)</f>
        <v>0</v>
      </c>
      <c r="AS70" s="3">
        <f>ROUND($C70*'件数(合算）'!AT72,0)</f>
        <v>0</v>
      </c>
      <c r="AT70" s="3">
        <f>ROUND($C70*'件数(合算）'!AU72,0)</f>
        <v>0</v>
      </c>
      <c r="AU70" s="3">
        <f>ROUND($C70*'件数(合算）'!AV72,0)</f>
        <v>0</v>
      </c>
      <c r="AV70" s="10">
        <f t="shared" ref="AV70:AV101" si="5">SUM(O70:AP70)</f>
        <v>0</v>
      </c>
    </row>
    <row r="71" spans="1:48" ht="22" customHeight="1">
      <c r="A71" s="34">
        <v>395465</v>
      </c>
      <c r="B71" s="35" t="s">
        <v>169</v>
      </c>
      <c r="C71" s="37">
        <f>'件数(合算）'!K73</f>
        <v>0.25641025641025639</v>
      </c>
      <c r="D71" s="4">
        <f>'件数(合算）'!M73</f>
        <v>0.316</v>
      </c>
      <c r="E71" s="49">
        <f>'件数(合算）'!E73</f>
        <v>18000</v>
      </c>
      <c r="F71" s="49">
        <f>'件数(合算）'!F73</f>
        <v>18000</v>
      </c>
      <c r="G71" s="53"/>
      <c r="K71" s="37">
        <f>'件数(合算）'!K73</f>
        <v>0.25641025641025639</v>
      </c>
      <c r="L71" s="37">
        <f>'件数(合算）'!K73</f>
        <v>0.25641025641025639</v>
      </c>
      <c r="M71" s="37">
        <f>'件数(合算）'!K73</f>
        <v>0.25641025641025639</v>
      </c>
      <c r="N71" s="37">
        <f>'件数(合算）'!K73</f>
        <v>0.25641025641025639</v>
      </c>
      <c r="O71" s="36">
        <f>ROUND($D71*'件数(合算）'!P73,0)</f>
        <v>3</v>
      </c>
      <c r="P71" s="36">
        <f>ROUND($D71*'件数(合算）'!Q73,0)</f>
        <v>3</v>
      </c>
      <c r="Q71" s="36">
        <f>ROUND($D71*'件数(合算）'!R73,0)</f>
        <v>3</v>
      </c>
      <c r="R71" s="36">
        <f>ROUND($D71*'件数(合算）'!S73,0)</f>
        <v>3</v>
      </c>
      <c r="S71" s="36">
        <f>ROUND($D71*'件数(合算）'!T73,0)</f>
        <v>3</v>
      </c>
      <c r="T71" s="36">
        <f>ROUND($D71*'件数(合算）'!U73,0)</f>
        <v>3</v>
      </c>
      <c r="U71" s="36">
        <f>ROUND($D71*'件数(合算）'!V73,0)</f>
        <v>3</v>
      </c>
      <c r="V71" s="36">
        <f>ROUND($D71*'件数(合算）'!W73,0)</f>
        <v>3</v>
      </c>
      <c r="W71" s="36">
        <f>ROUND($D71*'件数(合算）'!X73,0)</f>
        <v>3</v>
      </c>
      <c r="X71" s="36">
        <f>ROUND($D71*'件数(合算）'!Y73,0)</f>
        <v>3</v>
      </c>
      <c r="Y71" s="36">
        <f>ROUND($D71*'件数(合算）'!Z73,0)</f>
        <v>3</v>
      </c>
      <c r="Z71" s="36">
        <f>ROUND($C71*'件数(合算）'!AA73,0)</f>
        <v>1</v>
      </c>
      <c r="AA71" s="36">
        <f>ROUND($C71*'件数(合算）'!AB73,0)</f>
        <v>1</v>
      </c>
      <c r="AB71" s="36">
        <f>ROUND($C71*'件数(合算）'!AC73,0)</f>
        <v>1</v>
      </c>
      <c r="AC71" s="36">
        <f>ROUND($C71*'件数(合算）'!AD73,0)</f>
        <v>1</v>
      </c>
      <c r="AD71" s="36">
        <f>ROUND($C71*'件数(合算）'!AE73,0)</f>
        <v>1</v>
      </c>
      <c r="AE71" s="36">
        <f>ROUND($C71*'件数(合算）'!AF73,0)</f>
        <v>1</v>
      </c>
      <c r="AF71" s="36">
        <f>ROUND($C71*'件数(合算）'!AG73,0)</f>
        <v>1</v>
      </c>
      <c r="AG71" s="36">
        <f>ROUND($C71*'件数(合算）'!AH73,0)</f>
        <v>1</v>
      </c>
      <c r="AH71" s="36">
        <f>ROUND($C71*'件数(合算）'!AI73,0)</f>
        <v>1</v>
      </c>
      <c r="AI71" s="36">
        <f>ROUND($C71*'件数(合算）'!AJ73,0)</f>
        <v>1</v>
      </c>
      <c r="AJ71" s="36">
        <f>ROUND($C71*'件数(合算）'!AK73,0)</f>
        <v>1</v>
      </c>
      <c r="AK71" s="36">
        <f>ROUND($C71*'件数(合算）'!AL73,0)</f>
        <v>1</v>
      </c>
      <c r="AL71" s="36">
        <f>ROUND($C71*'件数(合算）'!AM73,0)</f>
        <v>1</v>
      </c>
      <c r="AM71" s="36">
        <f>ROUND($C71*'件数(合算）'!AN73,0)</f>
        <v>1</v>
      </c>
      <c r="AN71" s="36">
        <f>ROUND($C71*'件数(合算）'!AO73,0)</f>
        <v>1</v>
      </c>
      <c r="AO71" s="36">
        <f>ROUND($C71*'件数(合算）'!AP73,0)</f>
        <v>1</v>
      </c>
      <c r="AP71" s="36">
        <f>ROUND($C71*'件数(合算）'!AQ73,0)</f>
        <v>1</v>
      </c>
      <c r="AQ71" s="36">
        <f>ROUND($C71*'件数(合算）'!AR73,0)</f>
        <v>1</v>
      </c>
      <c r="AR71" s="36">
        <f>ROUND($C71*'件数(合算）'!AS73,0)</f>
        <v>1</v>
      </c>
      <c r="AS71" s="36">
        <f>ROUND($C71*'件数(合算）'!AT73,0)</f>
        <v>1</v>
      </c>
      <c r="AT71" s="36">
        <f>ROUND($C71*'件数(合算）'!AU73,0)</f>
        <v>1</v>
      </c>
      <c r="AU71" s="36">
        <f>ROUND($C71*'件数(合算）'!AV73,0)</f>
        <v>1</v>
      </c>
      <c r="AV71" s="10">
        <f t="shared" si="5"/>
        <v>50</v>
      </c>
    </row>
    <row r="72" spans="1:48" ht="22" customHeight="1">
      <c r="A72" s="26">
        <v>1695</v>
      </c>
      <c r="B72" s="27" t="s">
        <v>170</v>
      </c>
      <c r="C72" s="4">
        <f>'件数(合算）'!K74</f>
        <v>0.1</v>
      </c>
      <c r="D72" s="4">
        <f>'件数(合算）'!M74</f>
        <v>0.5</v>
      </c>
      <c r="E72" s="5">
        <f>'件数(合算）'!E74</f>
        <v>9000</v>
      </c>
      <c r="F72" s="5">
        <f>'件数(合算）'!F74</f>
        <v>9000</v>
      </c>
      <c r="G72" s="53"/>
      <c r="K72" s="4">
        <f>'件数(合算）'!K74</f>
        <v>0.1</v>
      </c>
      <c r="L72" s="4">
        <f>'件数(合算）'!K74</f>
        <v>0.1</v>
      </c>
      <c r="M72" s="4">
        <f>'件数(合算）'!K74</f>
        <v>0.1</v>
      </c>
      <c r="N72" s="4">
        <f>'件数(合算）'!K74</f>
        <v>0.1</v>
      </c>
      <c r="O72" s="3">
        <f>ROUND($D72*'件数(合算）'!P74,0)</f>
        <v>0</v>
      </c>
      <c r="P72" s="3">
        <f>ROUND($D72*'件数(合算）'!Q74,0)</f>
        <v>1</v>
      </c>
      <c r="Q72" s="3">
        <f>ROUND($D72*'件数(合算）'!R74,0)</f>
        <v>1</v>
      </c>
      <c r="R72" s="3">
        <f>ROUND($D72*'件数(合算）'!S74,0)</f>
        <v>0</v>
      </c>
      <c r="S72" s="3">
        <f>ROUND($D72*'件数(合算）'!T74,0)</f>
        <v>0</v>
      </c>
      <c r="T72" s="3">
        <f>ROUND($D72*'件数(合算）'!U74,0)</f>
        <v>0</v>
      </c>
      <c r="U72" s="3">
        <f>ROUND($D72*'件数(合算）'!V74,0)</f>
        <v>0</v>
      </c>
      <c r="V72" s="3">
        <f>ROUND($D72*'件数(合算）'!W74,0)</f>
        <v>0</v>
      </c>
      <c r="W72" s="3">
        <f>ROUND($D72*'件数(合算）'!X74,0)</f>
        <v>1</v>
      </c>
      <c r="X72" s="3">
        <f>ROUND($D72*'件数(合算）'!Y74,0)</f>
        <v>0</v>
      </c>
      <c r="Y72" s="3">
        <f>ROUND($D72*'件数(合算）'!Z74,0)</f>
        <v>0</v>
      </c>
      <c r="Z72" s="3">
        <f>ROUND($C72*'件数(合算）'!AA74,0)</f>
        <v>0</v>
      </c>
      <c r="AA72" s="3">
        <f>ROUND($C72*'件数(合算）'!AB74,0)</f>
        <v>0</v>
      </c>
      <c r="AB72" s="3">
        <f>ROUND($C72*'件数(合算）'!AC74,0)</f>
        <v>0</v>
      </c>
      <c r="AC72" s="3">
        <f>ROUND($C72*'件数(合算）'!AD74,0)</f>
        <v>0</v>
      </c>
      <c r="AD72" s="3">
        <f>ROUND($C72*'件数(合算）'!AE74,0)</f>
        <v>0</v>
      </c>
      <c r="AE72" s="3">
        <f>ROUND($C72*'件数(合算）'!AF74,0)</f>
        <v>0</v>
      </c>
      <c r="AF72" s="3">
        <f>ROUND($C72*'件数(合算）'!AG74,0)</f>
        <v>0</v>
      </c>
      <c r="AG72" s="3">
        <f>ROUND($C72*'件数(合算）'!AH74,0)</f>
        <v>0</v>
      </c>
      <c r="AH72" s="3">
        <f>ROUND($C72*'件数(合算）'!AI74,0)</f>
        <v>0</v>
      </c>
      <c r="AI72" s="3">
        <f>ROUND($C72*'件数(合算）'!AJ74,0)</f>
        <v>0</v>
      </c>
      <c r="AJ72" s="3">
        <f>ROUND($C72*'件数(合算）'!AK74,0)</f>
        <v>0</v>
      </c>
      <c r="AK72" s="3">
        <f>ROUND($C72*'件数(合算）'!AL74,0)</f>
        <v>0</v>
      </c>
      <c r="AL72" s="3">
        <f>ROUND($C72*'件数(合算）'!AM74,0)</f>
        <v>0</v>
      </c>
      <c r="AM72" s="3">
        <f>ROUND($C72*'件数(合算）'!AN74,0)</f>
        <v>0</v>
      </c>
      <c r="AN72" s="3">
        <f>ROUND($C72*'件数(合算）'!AO74,0)</f>
        <v>0</v>
      </c>
      <c r="AO72" s="3">
        <f>ROUND($C72*'件数(合算）'!AP74,0)</f>
        <v>0</v>
      </c>
      <c r="AP72" s="3">
        <f>ROUND($C72*'件数(合算）'!AQ74,0)</f>
        <v>0</v>
      </c>
      <c r="AQ72" s="3">
        <f>ROUND($C72*'件数(合算）'!AR74,0)</f>
        <v>0</v>
      </c>
      <c r="AR72" s="3">
        <f>ROUND($C72*'件数(合算）'!AS74,0)</f>
        <v>0</v>
      </c>
      <c r="AS72" s="3">
        <f>ROUND($C72*'件数(合算）'!AT74,0)</f>
        <v>0</v>
      </c>
      <c r="AT72" s="3">
        <f>ROUND($C72*'件数(合算）'!AU74,0)</f>
        <v>0</v>
      </c>
      <c r="AU72" s="3">
        <f>ROUND($C72*'件数(合算）'!AV74,0)</f>
        <v>0</v>
      </c>
      <c r="AV72" s="10">
        <f t="shared" si="5"/>
        <v>3</v>
      </c>
    </row>
    <row r="73" spans="1:48" ht="22" customHeight="1">
      <c r="A73" s="34">
        <v>33077</v>
      </c>
      <c r="B73" s="35" t="s">
        <v>171</v>
      </c>
      <c r="C73" s="37">
        <f>'件数(合算）'!K75</f>
        <v>0.1785714285714286</v>
      </c>
      <c r="D73" s="4">
        <f>'件数(合算）'!M75</f>
        <v>0.71399999999999997</v>
      </c>
      <c r="E73" s="49">
        <f>'件数(合算）'!E75</f>
        <v>9000</v>
      </c>
      <c r="F73" s="49">
        <f>'件数(合算）'!F75</f>
        <v>9000</v>
      </c>
      <c r="G73" s="53"/>
      <c r="K73" s="37">
        <f>'件数(合算）'!K75</f>
        <v>0.1785714285714286</v>
      </c>
      <c r="L73" s="37">
        <f>'件数(合算）'!K75</f>
        <v>0.1785714285714286</v>
      </c>
      <c r="M73" s="37">
        <f>'件数(合算）'!K75</f>
        <v>0.1785714285714286</v>
      </c>
      <c r="N73" s="37">
        <f>'件数(合算）'!K75</f>
        <v>0.1785714285714286</v>
      </c>
      <c r="O73" s="36">
        <f>ROUND($D73*'件数(合算）'!P75,0)</f>
        <v>0</v>
      </c>
      <c r="P73" s="36">
        <f>ROUND($D73*'件数(合算）'!Q75,0)</f>
        <v>1</v>
      </c>
      <c r="Q73" s="36">
        <f>ROUND($D73*'件数(合算）'!R75,0)</f>
        <v>0</v>
      </c>
      <c r="R73" s="36">
        <f>ROUND($D73*'件数(合算）'!S75,0)</f>
        <v>0</v>
      </c>
      <c r="S73" s="36">
        <f>ROUND($D73*'件数(合算）'!T75,0)</f>
        <v>0</v>
      </c>
      <c r="T73" s="36">
        <f>ROUND($D73*'件数(合算）'!U75,0)</f>
        <v>0</v>
      </c>
      <c r="U73" s="36">
        <f>ROUND($D73*'件数(合算）'!V75,0)</f>
        <v>0</v>
      </c>
      <c r="V73" s="36">
        <f>ROUND($D73*'件数(合算）'!W75,0)</f>
        <v>0</v>
      </c>
      <c r="W73" s="36">
        <f>ROUND($D73*'件数(合算）'!X75,0)</f>
        <v>1</v>
      </c>
      <c r="X73" s="36">
        <f>ROUND($D73*'件数(合算）'!Y75,0)</f>
        <v>0</v>
      </c>
      <c r="Y73" s="36">
        <f>ROUND($D73*'件数(合算）'!Z75,0)</f>
        <v>0</v>
      </c>
      <c r="Z73" s="36">
        <f>ROUND($C73*'件数(合算）'!AA75,0)</f>
        <v>0</v>
      </c>
      <c r="AA73" s="36">
        <f>ROUND($C73*'件数(合算）'!AB75,0)</f>
        <v>0</v>
      </c>
      <c r="AB73" s="36">
        <f>ROUND($C73*'件数(合算）'!AC75,0)</f>
        <v>0</v>
      </c>
      <c r="AC73" s="36">
        <f>ROUND($C73*'件数(合算）'!AD75,0)</f>
        <v>0</v>
      </c>
      <c r="AD73" s="36">
        <f>ROUND($C73*'件数(合算）'!AE75,0)</f>
        <v>0</v>
      </c>
      <c r="AE73" s="36">
        <f>ROUND($C73*'件数(合算）'!AF75,0)</f>
        <v>0</v>
      </c>
      <c r="AF73" s="36">
        <f>ROUND($C73*'件数(合算）'!AG75,0)</f>
        <v>0</v>
      </c>
      <c r="AG73" s="36">
        <f>ROUND($C73*'件数(合算）'!AH75,0)</f>
        <v>0</v>
      </c>
      <c r="AH73" s="36">
        <f>ROUND($C73*'件数(合算）'!AI75,0)</f>
        <v>0</v>
      </c>
      <c r="AI73" s="36">
        <f>ROUND($C73*'件数(合算）'!AJ75,0)</f>
        <v>0</v>
      </c>
      <c r="AJ73" s="36">
        <f>ROUND($C73*'件数(合算）'!AK75,0)</f>
        <v>0</v>
      </c>
      <c r="AK73" s="36">
        <f>ROUND($C73*'件数(合算）'!AL75,0)</f>
        <v>0</v>
      </c>
      <c r="AL73" s="36">
        <f>ROUND($C73*'件数(合算）'!AM75,0)</f>
        <v>0</v>
      </c>
      <c r="AM73" s="36">
        <f>ROUND($C73*'件数(合算）'!AN75,0)</f>
        <v>0</v>
      </c>
      <c r="AN73" s="36">
        <f>ROUND($C73*'件数(合算）'!AO75,0)</f>
        <v>0</v>
      </c>
      <c r="AO73" s="36">
        <f>ROUND($C73*'件数(合算）'!AP75,0)</f>
        <v>0</v>
      </c>
      <c r="AP73" s="36">
        <f>ROUND($C73*'件数(合算）'!AQ75,0)</f>
        <v>0</v>
      </c>
      <c r="AQ73" s="36">
        <f>ROUND($C73*'件数(合算）'!AR75,0)</f>
        <v>0</v>
      </c>
      <c r="AR73" s="36">
        <f>ROUND($C73*'件数(合算）'!AS75,0)</f>
        <v>0</v>
      </c>
      <c r="AS73" s="36">
        <f>ROUND($C73*'件数(合算）'!AT75,0)</f>
        <v>0</v>
      </c>
      <c r="AT73" s="36">
        <f>ROUND($C73*'件数(合算）'!AU75,0)</f>
        <v>0</v>
      </c>
      <c r="AU73" s="36">
        <f>ROUND($C73*'件数(合算）'!AV75,0)</f>
        <v>0</v>
      </c>
      <c r="AV73" s="10">
        <f t="shared" si="5"/>
        <v>2</v>
      </c>
    </row>
    <row r="74" spans="1:48" ht="22" customHeight="1">
      <c r="A74" s="26">
        <v>74401</v>
      </c>
      <c r="B74" s="27" t="s">
        <v>172</v>
      </c>
      <c r="C74" s="4">
        <f>'件数(合算）'!K76</f>
        <v>3.3333333333333333E-2</v>
      </c>
      <c r="D74" s="4">
        <f>'件数(合算）'!M76</f>
        <v>0.59099999999999997</v>
      </c>
      <c r="E74" s="5">
        <f>'件数(合算）'!E76</f>
        <v>9000</v>
      </c>
      <c r="F74" s="5">
        <f>'件数(合算）'!F76</f>
        <v>9000</v>
      </c>
      <c r="G74" s="53"/>
      <c r="K74" s="4">
        <f>'件数(合算）'!K76</f>
        <v>3.3333333333333333E-2</v>
      </c>
      <c r="L74" s="4">
        <f>'件数(合算）'!K76</f>
        <v>3.3333333333333333E-2</v>
      </c>
      <c r="M74" s="4">
        <f>'件数(合算）'!K76</f>
        <v>3.3333333333333333E-2</v>
      </c>
      <c r="N74" s="4">
        <f>'件数(合算）'!K76</f>
        <v>3.3333333333333333E-2</v>
      </c>
      <c r="O74" s="3">
        <f>ROUND($D74*'件数(合算）'!P76,0)</f>
        <v>0</v>
      </c>
      <c r="P74" s="3">
        <f>ROUND($D74*'件数(合算）'!Q76,0)</f>
        <v>0</v>
      </c>
      <c r="Q74" s="3">
        <f>ROUND($D74*'件数(合算）'!R76,0)</f>
        <v>1</v>
      </c>
      <c r="R74" s="3">
        <f>ROUND($D74*'件数(合算）'!S76,0)</f>
        <v>0</v>
      </c>
      <c r="S74" s="3">
        <f>ROUND($D74*'件数(合算）'!T76,0)</f>
        <v>0</v>
      </c>
      <c r="T74" s="3">
        <f>ROUND($D74*'件数(合算）'!U76,0)</f>
        <v>0</v>
      </c>
      <c r="U74" s="3">
        <f>ROUND($D74*'件数(合算）'!V76,0)</f>
        <v>0</v>
      </c>
      <c r="V74" s="3">
        <f>ROUND($D74*'件数(合算）'!W76,0)</f>
        <v>0</v>
      </c>
      <c r="W74" s="3">
        <f>ROUND($D74*'件数(合算）'!X76,0)</f>
        <v>0</v>
      </c>
      <c r="X74" s="3">
        <f>ROUND($D74*'件数(合算）'!Y76,0)</f>
        <v>0</v>
      </c>
      <c r="Y74" s="3">
        <f>ROUND($D74*'件数(合算）'!Z76,0)</f>
        <v>0</v>
      </c>
      <c r="Z74" s="3">
        <f>ROUND($C74*'件数(合算）'!AA76,0)</f>
        <v>0</v>
      </c>
      <c r="AA74" s="3">
        <f>ROUND($C74*'件数(合算）'!AB76,0)</f>
        <v>0</v>
      </c>
      <c r="AB74" s="3">
        <f>ROUND($C74*'件数(合算）'!AC76,0)</f>
        <v>0</v>
      </c>
      <c r="AC74" s="3">
        <f>ROUND($C74*'件数(合算）'!AD76,0)</f>
        <v>0</v>
      </c>
      <c r="AD74" s="3">
        <f>ROUND($C74*'件数(合算）'!AE76,0)</f>
        <v>0</v>
      </c>
      <c r="AE74" s="3">
        <f>ROUND($C74*'件数(合算）'!AF76,0)</f>
        <v>0</v>
      </c>
      <c r="AF74" s="3">
        <f>ROUND($C74*'件数(合算）'!AG76,0)</f>
        <v>0</v>
      </c>
      <c r="AG74" s="3">
        <f>ROUND($C74*'件数(合算）'!AH76,0)</f>
        <v>0</v>
      </c>
      <c r="AH74" s="3">
        <f>ROUND($C74*'件数(合算）'!AI76,0)</f>
        <v>0</v>
      </c>
      <c r="AI74" s="3">
        <f>ROUND($C74*'件数(合算）'!AJ76,0)</f>
        <v>0</v>
      </c>
      <c r="AJ74" s="3">
        <f>ROUND($C74*'件数(合算）'!AK76,0)</f>
        <v>0</v>
      </c>
      <c r="AK74" s="3">
        <f>ROUND($C74*'件数(合算）'!AL76,0)</f>
        <v>0</v>
      </c>
      <c r="AL74" s="3">
        <f>ROUND($C74*'件数(合算）'!AM76,0)</f>
        <v>0</v>
      </c>
      <c r="AM74" s="3">
        <f>ROUND($C74*'件数(合算）'!AN76,0)</f>
        <v>0</v>
      </c>
      <c r="AN74" s="3">
        <f>ROUND($C74*'件数(合算）'!AO76,0)</f>
        <v>0</v>
      </c>
      <c r="AO74" s="3">
        <f>ROUND($C74*'件数(合算）'!AP76,0)</f>
        <v>0</v>
      </c>
      <c r="AP74" s="3">
        <f>ROUND($C74*'件数(合算）'!AQ76,0)</f>
        <v>0</v>
      </c>
      <c r="AQ74" s="3">
        <f>ROUND($C74*'件数(合算）'!AR76,0)</f>
        <v>0</v>
      </c>
      <c r="AR74" s="3">
        <f>ROUND($C74*'件数(合算）'!AS76,0)</f>
        <v>0</v>
      </c>
      <c r="AS74" s="3">
        <f>ROUND($C74*'件数(合算）'!AT76,0)</f>
        <v>0</v>
      </c>
      <c r="AT74" s="3">
        <f>ROUND($C74*'件数(合算）'!AU76,0)</f>
        <v>0</v>
      </c>
      <c r="AU74" s="3">
        <f>ROUND($C74*'件数(合算）'!AV76,0)</f>
        <v>0</v>
      </c>
      <c r="AV74" s="10">
        <f t="shared" si="5"/>
        <v>1</v>
      </c>
    </row>
    <row r="75" spans="1:48" ht="22" customHeight="1">
      <c r="A75" s="34">
        <v>129217</v>
      </c>
      <c r="B75" s="35" t="s">
        <v>173</v>
      </c>
      <c r="C75" s="37">
        <f>'件数(合算）'!K77</f>
        <v>6.8965517241379309E-2</v>
      </c>
      <c r="D75" s="4">
        <f>'件数(合算）'!M77</f>
        <v>0.60499999999999998</v>
      </c>
      <c r="E75" s="49">
        <f>'件数(合算）'!E77</f>
        <v>9000</v>
      </c>
      <c r="F75" s="49">
        <f>'件数(合算）'!F77</f>
        <v>9000</v>
      </c>
      <c r="G75" s="53"/>
      <c r="K75" s="37">
        <f>'件数(合算）'!K77</f>
        <v>6.8965517241379309E-2</v>
      </c>
      <c r="L75" s="37">
        <f>'件数(合算）'!K77</f>
        <v>6.8965517241379309E-2</v>
      </c>
      <c r="M75" s="37">
        <f>'件数(合算）'!K77</f>
        <v>6.8965517241379309E-2</v>
      </c>
      <c r="N75" s="37">
        <f>'件数(合算）'!K77</f>
        <v>6.8965517241379309E-2</v>
      </c>
      <c r="O75" s="36">
        <f>ROUND($D75*'件数(合算）'!P77,0)</f>
        <v>0</v>
      </c>
      <c r="P75" s="36">
        <f>ROUND($D75*'件数(合算）'!Q77,0)</f>
        <v>0</v>
      </c>
      <c r="Q75" s="36">
        <f>ROUND($D75*'件数(合算）'!R77,0)</f>
        <v>0</v>
      </c>
      <c r="R75" s="36">
        <f>ROUND($D75*'件数(合算）'!S77,0)</f>
        <v>0</v>
      </c>
      <c r="S75" s="36">
        <f>ROUND($D75*'件数(合算）'!T77,0)</f>
        <v>0</v>
      </c>
      <c r="T75" s="36">
        <f>ROUND($D75*'件数(合算）'!U77,0)</f>
        <v>0</v>
      </c>
      <c r="U75" s="36">
        <f>ROUND($D75*'件数(合算）'!V77,0)</f>
        <v>0</v>
      </c>
      <c r="V75" s="36">
        <f>ROUND($D75*'件数(合算）'!W77,0)</f>
        <v>0</v>
      </c>
      <c r="W75" s="36">
        <f>ROUND($D75*'件数(合算）'!X77,0)</f>
        <v>0</v>
      </c>
      <c r="X75" s="36">
        <f>ROUND($D75*'件数(合算）'!Y77,0)</f>
        <v>0</v>
      </c>
      <c r="Y75" s="36">
        <f>ROUND($D75*'件数(合算）'!Z77,0)</f>
        <v>0</v>
      </c>
      <c r="Z75" s="36">
        <f>ROUND($C75*'件数(合算）'!AA77,0)</f>
        <v>0</v>
      </c>
      <c r="AA75" s="36">
        <f>ROUND($C75*'件数(合算）'!AB77,0)</f>
        <v>0</v>
      </c>
      <c r="AB75" s="36">
        <f>ROUND($C75*'件数(合算）'!AC77,0)</f>
        <v>0</v>
      </c>
      <c r="AC75" s="36">
        <f>ROUND($C75*'件数(合算）'!AD77,0)</f>
        <v>0</v>
      </c>
      <c r="AD75" s="36">
        <f>ROUND($C75*'件数(合算）'!AE77,0)</f>
        <v>0</v>
      </c>
      <c r="AE75" s="36">
        <f>ROUND($C75*'件数(合算）'!AF77,0)</f>
        <v>0</v>
      </c>
      <c r="AF75" s="36">
        <f>ROUND($C75*'件数(合算）'!AG77,0)</f>
        <v>0</v>
      </c>
      <c r="AG75" s="36">
        <f>ROUND($C75*'件数(合算）'!AH77,0)</f>
        <v>0</v>
      </c>
      <c r="AH75" s="36">
        <f>ROUND($C75*'件数(合算）'!AI77,0)</f>
        <v>0</v>
      </c>
      <c r="AI75" s="36">
        <f>ROUND($C75*'件数(合算）'!AJ77,0)</f>
        <v>0</v>
      </c>
      <c r="AJ75" s="36">
        <f>ROUND($C75*'件数(合算）'!AK77,0)</f>
        <v>0</v>
      </c>
      <c r="AK75" s="36">
        <f>ROUND($C75*'件数(合算）'!AL77,0)</f>
        <v>0</v>
      </c>
      <c r="AL75" s="36">
        <f>ROUND($C75*'件数(合算）'!AM77,0)</f>
        <v>0</v>
      </c>
      <c r="AM75" s="36">
        <f>ROUND($C75*'件数(合算）'!AN77,0)</f>
        <v>0</v>
      </c>
      <c r="AN75" s="36">
        <f>ROUND($C75*'件数(合算）'!AO77,0)</f>
        <v>0</v>
      </c>
      <c r="AO75" s="36">
        <f>ROUND($C75*'件数(合算）'!AP77,0)</f>
        <v>0</v>
      </c>
      <c r="AP75" s="36">
        <f>ROUND($C75*'件数(合算）'!AQ77,0)</f>
        <v>0</v>
      </c>
      <c r="AQ75" s="36">
        <f>ROUND($C75*'件数(合算）'!AR77,0)</f>
        <v>0</v>
      </c>
      <c r="AR75" s="36">
        <f>ROUND($C75*'件数(合算）'!AS77,0)</f>
        <v>0</v>
      </c>
      <c r="AS75" s="36">
        <f>ROUND($C75*'件数(合算）'!AT77,0)</f>
        <v>0</v>
      </c>
      <c r="AT75" s="36">
        <f>ROUND($C75*'件数(合算）'!AU77,0)</f>
        <v>0</v>
      </c>
      <c r="AU75" s="36">
        <f>ROUND($C75*'件数(合算）'!AV77,0)</f>
        <v>0</v>
      </c>
      <c r="AV75" s="10">
        <f t="shared" si="5"/>
        <v>0</v>
      </c>
    </row>
    <row r="76" spans="1:48" ht="22" customHeight="1">
      <c r="A76" s="26">
        <v>135749</v>
      </c>
      <c r="B76" s="27" t="s">
        <v>174</v>
      </c>
      <c r="C76" s="4">
        <f>'件数(合算）'!K78</f>
        <v>0.1</v>
      </c>
      <c r="D76" s="4">
        <f>'件数(合算）'!M78</f>
        <v>0.50600000000000001</v>
      </c>
      <c r="E76" s="5">
        <f>'件数(合算）'!E78</f>
        <v>9000</v>
      </c>
      <c r="F76" s="5">
        <f>'件数(合算）'!F78</f>
        <v>9000</v>
      </c>
      <c r="G76" s="53"/>
      <c r="K76" s="4">
        <f>'件数(合算）'!K78</f>
        <v>0.1</v>
      </c>
      <c r="L76" s="4">
        <f>'件数(合算）'!K78</f>
        <v>0.1</v>
      </c>
      <c r="M76" s="4">
        <f>'件数(合算）'!K78</f>
        <v>0.1</v>
      </c>
      <c r="N76" s="4">
        <f>'件数(合算）'!K78</f>
        <v>0.1</v>
      </c>
      <c r="O76" s="3">
        <f>ROUND($D76*'件数(合算）'!P78,0)</f>
        <v>0</v>
      </c>
      <c r="P76" s="3">
        <f>ROUND($D76*'件数(合算）'!Q78,0)</f>
        <v>0</v>
      </c>
      <c r="Q76" s="3">
        <f>ROUND($D76*'件数(合算）'!R78,0)</f>
        <v>0</v>
      </c>
      <c r="R76" s="3">
        <f>ROUND($D76*'件数(合算）'!S78,0)</f>
        <v>0</v>
      </c>
      <c r="S76" s="3">
        <f>ROUND($D76*'件数(合算）'!T78,0)</f>
        <v>0</v>
      </c>
      <c r="T76" s="3">
        <f>ROUND($D76*'件数(合算）'!U78,0)</f>
        <v>0</v>
      </c>
      <c r="U76" s="3">
        <f>ROUND($D76*'件数(合算）'!V78,0)</f>
        <v>0</v>
      </c>
      <c r="V76" s="3">
        <f>ROUND($D76*'件数(合算）'!W78,0)</f>
        <v>0</v>
      </c>
      <c r="W76" s="3">
        <f>ROUND($D76*'件数(合算）'!X78,0)</f>
        <v>0</v>
      </c>
      <c r="X76" s="3">
        <f>ROUND($D76*'件数(合算）'!Y78,0)</f>
        <v>0</v>
      </c>
      <c r="Y76" s="3">
        <f>ROUND($D76*'件数(合算）'!Z78,0)</f>
        <v>0</v>
      </c>
      <c r="Z76" s="3">
        <f>ROUND($C76*'件数(合算）'!AA78,0)</f>
        <v>0</v>
      </c>
      <c r="AA76" s="3">
        <f>ROUND($C76*'件数(合算）'!AB78,0)</f>
        <v>0</v>
      </c>
      <c r="AB76" s="3">
        <f>ROUND($C76*'件数(合算）'!AC78,0)</f>
        <v>0</v>
      </c>
      <c r="AC76" s="3">
        <f>ROUND($C76*'件数(合算）'!AD78,0)</f>
        <v>0</v>
      </c>
      <c r="AD76" s="3">
        <f>ROUND($C76*'件数(合算）'!AE78,0)</f>
        <v>0</v>
      </c>
      <c r="AE76" s="3">
        <f>ROUND($C76*'件数(合算）'!AF78,0)</f>
        <v>0</v>
      </c>
      <c r="AF76" s="3">
        <f>ROUND($C76*'件数(合算）'!AG78,0)</f>
        <v>0</v>
      </c>
      <c r="AG76" s="3">
        <f>ROUND($C76*'件数(合算）'!AH78,0)</f>
        <v>0</v>
      </c>
      <c r="AH76" s="3">
        <f>ROUND($C76*'件数(合算）'!AI78,0)</f>
        <v>0</v>
      </c>
      <c r="AI76" s="3">
        <f>ROUND($C76*'件数(合算）'!AJ78,0)</f>
        <v>0</v>
      </c>
      <c r="AJ76" s="3">
        <f>ROUND($C76*'件数(合算）'!AK78,0)</f>
        <v>0</v>
      </c>
      <c r="AK76" s="3">
        <f>ROUND($C76*'件数(合算）'!AL78,0)</f>
        <v>0</v>
      </c>
      <c r="AL76" s="3">
        <f>ROUND($C76*'件数(合算）'!AM78,0)</f>
        <v>0</v>
      </c>
      <c r="AM76" s="3">
        <f>ROUND($C76*'件数(合算）'!AN78,0)</f>
        <v>0</v>
      </c>
      <c r="AN76" s="3">
        <f>ROUND($C76*'件数(合算）'!AO78,0)</f>
        <v>0</v>
      </c>
      <c r="AO76" s="3">
        <f>ROUND($C76*'件数(合算）'!AP78,0)</f>
        <v>0</v>
      </c>
      <c r="AP76" s="3">
        <f>ROUND($C76*'件数(合算）'!AQ78,0)</f>
        <v>0</v>
      </c>
      <c r="AQ76" s="3">
        <f>ROUND($C76*'件数(合算）'!AR78,0)</f>
        <v>0</v>
      </c>
      <c r="AR76" s="3">
        <f>ROUND($C76*'件数(合算）'!AS78,0)</f>
        <v>0</v>
      </c>
      <c r="AS76" s="3">
        <f>ROUND($C76*'件数(合算）'!AT78,0)</f>
        <v>0</v>
      </c>
      <c r="AT76" s="3">
        <f>ROUND($C76*'件数(合算）'!AU78,0)</f>
        <v>0</v>
      </c>
      <c r="AU76" s="3">
        <f>ROUND($C76*'件数(合算）'!AV78,0)</f>
        <v>0</v>
      </c>
      <c r="AV76" s="10">
        <f t="shared" si="5"/>
        <v>0</v>
      </c>
    </row>
    <row r="77" spans="1:48" ht="22" customHeight="1">
      <c r="A77" s="34">
        <v>162253</v>
      </c>
      <c r="B77" s="35" t="s">
        <v>175</v>
      </c>
      <c r="C77" s="37">
        <f>'件数(合算）'!K79</f>
        <v>0.19538461538461541</v>
      </c>
      <c r="D77" s="4">
        <f>'件数(合算）'!M79</f>
        <v>0.76900000000000002</v>
      </c>
      <c r="E77" s="49">
        <f>'件数(合算）'!E79</f>
        <v>9000</v>
      </c>
      <c r="F77" s="49">
        <f>'件数(合算）'!F79</f>
        <v>9000</v>
      </c>
      <c r="G77" s="53"/>
      <c r="K77" s="37">
        <f>'件数(合算）'!K79</f>
        <v>0.19538461538461541</v>
      </c>
      <c r="L77" s="37">
        <f>'件数(合算）'!K79</f>
        <v>0.19538461538461541</v>
      </c>
      <c r="M77" s="37">
        <f>'件数(合算）'!K79</f>
        <v>0.19538461538461541</v>
      </c>
      <c r="N77" s="37">
        <f>'件数(合算）'!K79</f>
        <v>0.19538461538461541</v>
      </c>
      <c r="O77" s="36">
        <f>ROUND($D77*'件数(合算）'!P79,0)</f>
        <v>1</v>
      </c>
      <c r="P77" s="36">
        <f>ROUND($D77*'件数(合算）'!Q79,0)</f>
        <v>2</v>
      </c>
      <c r="Q77" s="36">
        <f>ROUND($D77*'件数(合算）'!R79,0)</f>
        <v>1</v>
      </c>
      <c r="R77" s="36">
        <f>ROUND($D77*'件数(合算）'!S79,0)</f>
        <v>1</v>
      </c>
      <c r="S77" s="36">
        <f>ROUND($D77*'件数(合算）'!T79,0)</f>
        <v>1</v>
      </c>
      <c r="T77" s="36">
        <f>ROUND($D77*'件数(合算）'!U79,0)</f>
        <v>1</v>
      </c>
      <c r="U77" s="36">
        <f>ROUND($D77*'件数(合算）'!V79,0)</f>
        <v>1</v>
      </c>
      <c r="V77" s="36">
        <f>ROUND($D77*'件数(合算）'!W79,0)</f>
        <v>1</v>
      </c>
      <c r="W77" s="36">
        <f>ROUND($D77*'件数(合算）'!X79,0)</f>
        <v>1</v>
      </c>
      <c r="X77" s="36">
        <f>ROUND($D77*'件数(合算）'!Y79,0)</f>
        <v>1</v>
      </c>
      <c r="Y77" s="36">
        <f>ROUND($D77*'件数(合算）'!Z79,0)</f>
        <v>1</v>
      </c>
      <c r="Z77" s="36">
        <f>ROUND($C77*'件数(合算）'!AA79,0)</f>
        <v>0</v>
      </c>
      <c r="AA77" s="36">
        <f>ROUND($C77*'件数(合算）'!AB79,0)</f>
        <v>0</v>
      </c>
      <c r="AB77" s="36">
        <f>ROUND($C77*'件数(合算）'!AC79,0)</f>
        <v>0</v>
      </c>
      <c r="AC77" s="36">
        <f>ROUND($C77*'件数(合算）'!AD79,0)</f>
        <v>0</v>
      </c>
      <c r="AD77" s="36">
        <f>ROUND($C77*'件数(合算）'!AE79,0)</f>
        <v>0</v>
      </c>
      <c r="AE77" s="36">
        <f>ROUND($C77*'件数(合算）'!AF79,0)</f>
        <v>0</v>
      </c>
      <c r="AF77" s="36">
        <f>ROUND($C77*'件数(合算）'!AG79,0)</f>
        <v>0</v>
      </c>
      <c r="AG77" s="36">
        <f>ROUND($C77*'件数(合算）'!AH79,0)</f>
        <v>0</v>
      </c>
      <c r="AH77" s="36">
        <f>ROUND($C77*'件数(合算）'!AI79,0)</f>
        <v>0</v>
      </c>
      <c r="AI77" s="36">
        <f>ROUND($C77*'件数(合算）'!AJ79,0)</f>
        <v>0</v>
      </c>
      <c r="AJ77" s="36">
        <f>ROUND($C77*'件数(合算）'!AK79,0)</f>
        <v>0</v>
      </c>
      <c r="AK77" s="36">
        <f>ROUND($C77*'件数(合算）'!AL79,0)</f>
        <v>0</v>
      </c>
      <c r="AL77" s="36">
        <f>ROUND($C77*'件数(合算）'!AM79,0)</f>
        <v>0</v>
      </c>
      <c r="AM77" s="36">
        <f>ROUND($C77*'件数(合算）'!AN79,0)</f>
        <v>0</v>
      </c>
      <c r="AN77" s="36">
        <f>ROUND($C77*'件数(合算）'!AO79,0)</f>
        <v>0</v>
      </c>
      <c r="AO77" s="36">
        <f>ROUND($C77*'件数(合算）'!AP79,0)</f>
        <v>0</v>
      </c>
      <c r="AP77" s="36">
        <f>ROUND($C77*'件数(合算）'!AQ79,0)</f>
        <v>0</v>
      </c>
      <c r="AQ77" s="36">
        <f>ROUND($C77*'件数(合算）'!AR79,0)</f>
        <v>0</v>
      </c>
      <c r="AR77" s="36">
        <f>ROUND($C77*'件数(合算）'!AS79,0)</f>
        <v>0</v>
      </c>
      <c r="AS77" s="36">
        <f>ROUND($C77*'件数(合算）'!AT79,0)</f>
        <v>0</v>
      </c>
      <c r="AT77" s="36">
        <f>ROUND($C77*'件数(合算）'!AU79,0)</f>
        <v>0</v>
      </c>
      <c r="AU77" s="36">
        <f>ROUND($C77*'件数(合算）'!AV79,0)</f>
        <v>0</v>
      </c>
      <c r="AV77" s="10">
        <f t="shared" si="5"/>
        <v>12</v>
      </c>
    </row>
    <row r="78" spans="1:48" ht="22" customHeight="1">
      <c r="A78" s="26">
        <v>250381</v>
      </c>
      <c r="B78" s="27" t="s">
        <v>176</v>
      </c>
      <c r="C78" s="4">
        <f>'件数(合算）'!K80</f>
        <v>0.1125541125541126</v>
      </c>
      <c r="D78" s="4">
        <f>'件数(合算）'!M80</f>
        <v>0.66500000000000004</v>
      </c>
      <c r="E78" s="5">
        <f>'件数(合算）'!E80</f>
        <v>9000</v>
      </c>
      <c r="F78" s="5">
        <f>'件数(合算）'!F80</f>
        <v>9000</v>
      </c>
      <c r="G78" s="53"/>
      <c r="K78" s="4">
        <f>'件数(合算）'!K80</f>
        <v>0.1125541125541126</v>
      </c>
      <c r="L78" s="4">
        <f>'件数(合算）'!K80</f>
        <v>0.1125541125541126</v>
      </c>
      <c r="M78" s="4">
        <f>'件数(合算）'!K80</f>
        <v>0.1125541125541126</v>
      </c>
      <c r="N78" s="4">
        <f>'件数(合算）'!K80</f>
        <v>0.1125541125541126</v>
      </c>
      <c r="O78" s="3">
        <f>ROUND($D78*'件数(合算）'!P80,0)</f>
        <v>1</v>
      </c>
      <c r="P78" s="3">
        <f>ROUND($D78*'件数(合算）'!Q80,0)</f>
        <v>1</v>
      </c>
      <c r="Q78" s="3">
        <f>ROUND($D78*'件数(合算）'!R80,0)</f>
        <v>1</v>
      </c>
      <c r="R78" s="3">
        <f>ROUND($D78*'件数(合算）'!S80,0)</f>
        <v>1</v>
      </c>
      <c r="S78" s="3">
        <f>ROUND($D78*'件数(合算）'!T80,0)</f>
        <v>1</v>
      </c>
      <c r="T78" s="3">
        <f>ROUND($D78*'件数(合算）'!U80,0)</f>
        <v>1</v>
      </c>
      <c r="U78" s="3">
        <f>ROUND($D78*'件数(合算）'!V80,0)</f>
        <v>1</v>
      </c>
      <c r="V78" s="3">
        <f>ROUND($D78*'件数(合算）'!W80,0)</f>
        <v>1</v>
      </c>
      <c r="W78" s="3">
        <f>ROUND($D78*'件数(合算）'!X80,0)</f>
        <v>1</v>
      </c>
      <c r="X78" s="3">
        <f>ROUND($D78*'件数(合算）'!Y80,0)</f>
        <v>1</v>
      </c>
      <c r="Y78" s="3">
        <f>ROUND($D78*'件数(合算）'!Z80,0)</f>
        <v>1</v>
      </c>
      <c r="Z78" s="3">
        <f>ROUND($C78*'件数(合算）'!AA80,0)</f>
        <v>0</v>
      </c>
      <c r="AA78" s="3">
        <f>ROUND($C78*'件数(合算）'!AB80,0)</f>
        <v>0</v>
      </c>
      <c r="AB78" s="3">
        <f>ROUND($C78*'件数(合算）'!AC80,0)</f>
        <v>0</v>
      </c>
      <c r="AC78" s="3">
        <f>ROUND($C78*'件数(合算）'!AD80,0)</f>
        <v>0</v>
      </c>
      <c r="AD78" s="3">
        <f>ROUND($C78*'件数(合算）'!AE80,0)</f>
        <v>0</v>
      </c>
      <c r="AE78" s="3">
        <f>ROUND($C78*'件数(合算）'!AF80,0)</f>
        <v>0</v>
      </c>
      <c r="AF78" s="3">
        <f>ROUND($C78*'件数(合算）'!AG80,0)</f>
        <v>0</v>
      </c>
      <c r="AG78" s="3">
        <f>ROUND($C78*'件数(合算）'!AH80,0)</f>
        <v>0</v>
      </c>
      <c r="AH78" s="3">
        <f>ROUND($C78*'件数(合算）'!AI80,0)</f>
        <v>0</v>
      </c>
      <c r="AI78" s="3">
        <f>ROUND($C78*'件数(合算）'!AJ80,0)</f>
        <v>0</v>
      </c>
      <c r="AJ78" s="3">
        <f>ROUND($C78*'件数(合算）'!AK80,0)</f>
        <v>0</v>
      </c>
      <c r="AK78" s="3">
        <f>ROUND($C78*'件数(合算）'!AL80,0)</f>
        <v>0</v>
      </c>
      <c r="AL78" s="3">
        <f>ROUND($C78*'件数(合算）'!AM80,0)</f>
        <v>0</v>
      </c>
      <c r="AM78" s="3">
        <f>ROUND($C78*'件数(合算）'!AN80,0)</f>
        <v>0</v>
      </c>
      <c r="AN78" s="3">
        <f>ROUND($C78*'件数(合算）'!AO80,0)</f>
        <v>0</v>
      </c>
      <c r="AO78" s="3">
        <f>ROUND($C78*'件数(合算）'!AP80,0)</f>
        <v>0</v>
      </c>
      <c r="AP78" s="3">
        <f>ROUND($C78*'件数(合算）'!AQ80,0)</f>
        <v>0</v>
      </c>
      <c r="AQ78" s="3">
        <f>ROUND($C78*'件数(合算）'!AR80,0)</f>
        <v>0</v>
      </c>
      <c r="AR78" s="3">
        <f>ROUND($C78*'件数(合算）'!AS80,0)</f>
        <v>0</v>
      </c>
      <c r="AS78" s="3">
        <f>ROUND($C78*'件数(合算）'!AT80,0)</f>
        <v>0</v>
      </c>
      <c r="AT78" s="3">
        <f>ROUND($C78*'件数(合算）'!AU80,0)</f>
        <v>0</v>
      </c>
      <c r="AU78" s="3">
        <f>ROUND($C78*'件数(合算）'!AV80,0)</f>
        <v>0</v>
      </c>
      <c r="AV78" s="10">
        <f t="shared" si="5"/>
        <v>11</v>
      </c>
    </row>
    <row r="79" spans="1:48" ht="22" customHeight="1">
      <c r="A79" s="34">
        <v>346991</v>
      </c>
      <c r="B79" s="35" t="s">
        <v>177</v>
      </c>
      <c r="C79" s="37">
        <f>'件数(合算）'!K81</f>
        <v>0.1</v>
      </c>
      <c r="D79" s="4">
        <f>'件数(合算）'!M81</f>
        <v>0.34200000000000003</v>
      </c>
      <c r="E79" s="49">
        <f>'件数(合算）'!E81</f>
        <v>9000</v>
      </c>
      <c r="F79" s="49">
        <f>'件数(合算）'!F81</f>
        <v>9000</v>
      </c>
      <c r="G79" s="53"/>
      <c r="K79" s="37">
        <f>'件数(合算）'!K81</f>
        <v>0.1</v>
      </c>
      <c r="L79" s="37">
        <f>'件数(合算）'!K81</f>
        <v>0.1</v>
      </c>
      <c r="M79" s="37">
        <f>'件数(合算）'!K81</f>
        <v>0.1</v>
      </c>
      <c r="N79" s="37">
        <f>'件数(合算）'!K81</f>
        <v>0.1</v>
      </c>
      <c r="O79" s="36">
        <f>ROUND($D79*'件数(合算）'!P81,0)</f>
        <v>0</v>
      </c>
      <c r="P79" s="36">
        <f>ROUND($D79*'件数(合算）'!Q81,0)</f>
        <v>0</v>
      </c>
      <c r="Q79" s="36">
        <f>ROUND($D79*'件数(合算）'!R81,0)</f>
        <v>0</v>
      </c>
      <c r="R79" s="36">
        <f>ROUND($D79*'件数(合算）'!S81,0)</f>
        <v>0</v>
      </c>
      <c r="S79" s="36">
        <f>ROUND($D79*'件数(合算）'!T81,0)</f>
        <v>0</v>
      </c>
      <c r="T79" s="36">
        <f>ROUND($D79*'件数(合算）'!U81,0)</f>
        <v>0</v>
      </c>
      <c r="U79" s="36">
        <f>ROUND($D79*'件数(合算）'!V81,0)</f>
        <v>0</v>
      </c>
      <c r="V79" s="36">
        <f>ROUND($D79*'件数(合算）'!W81,0)</f>
        <v>0</v>
      </c>
      <c r="W79" s="36">
        <f>ROUND($D79*'件数(合算）'!X81,0)</f>
        <v>0</v>
      </c>
      <c r="X79" s="36">
        <f>ROUND($D79*'件数(合算）'!Y81,0)</f>
        <v>0</v>
      </c>
      <c r="Y79" s="36">
        <f>ROUND($D79*'件数(合算）'!Z81,0)</f>
        <v>0</v>
      </c>
      <c r="Z79" s="36">
        <f>ROUND($C79*'件数(合算）'!AA81,0)</f>
        <v>0</v>
      </c>
      <c r="AA79" s="36">
        <f>ROUND($C79*'件数(合算）'!AB81,0)</f>
        <v>0</v>
      </c>
      <c r="AB79" s="36">
        <f>ROUND($C79*'件数(合算）'!AC81,0)</f>
        <v>0</v>
      </c>
      <c r="AC79" s="36">
        <f>ROUND($C79*'件数(合算）'!AD81,0)</f>
        <v>0</v>
      </c>
      <c r="AD79" s="36">
        <f>ROUND($C79*'件数(合算）'!AE81,0)</f>
        <v>0</v>
      </c>
      <c r="AE79" s="36">
        <f>ROUND($C79*'件数(合算）'!AF81,0)</f>
        <v>0</v>
      </c>
      <c r="AF79" s="36">
        <f>ROUND($C79*'件数(合算）'!AG81,0)</f>
        <v>0</v>
      </c>
      <c r="AG79" s="36">
        <f>ROUND($C79*'件数(合算）'!AH81,0)</f>
        <v>0</v>
      </c>
      <c r="AH79" s="36">
        <f>ROUND($C79*'件数(合算）'!AI81,0)</f>
        <v>0</v>
      </c>
      <c r="AI79" s="36">
        <f>ROUND($C79*'件数(合算）'!AJ81,0)</f>
        <v>0</v>
      </c>
      <c r="AJ79" s="36">
        <f>ROUND($C79*'件数(合算）'!AK81,0)</f>
        <v>0</v>
      </c>
      <c r="AK79" s="36">
        <f>ROUND($C79*'件数(合算）'!AL81,0)</f>
        <v>0</v>
      </c>
      <c r="AL79" s="36">
        <f>ROUND($C79*'件数(合算）'!AM81,0)</f>
        <v>0</v>
      </c>
      <c r="AM79" s="36">
        <f>ROUND($C79*'件数(合算）'!AN81,0)</f>
        <v>0</v>
      </c>
      <c r="AN79" s="36">
        <f>ROUND($C79*'件数(合算）'!AO81,0)</f>
        <v>0</v>
      </c>
      <c r="AO79" s="36">
        <f>ROUND($C79*'件数(合算）'!AP81,0)</f>
        <v>0</v>
      </c>
      <c r="AP79" s="36">
        <f>ROUND($C79*'件数(合算）'!AQ81,0)</f>
        <v>0</v>
      </c>
      <c r="AQ79" s="36">
        <f>ROUND($C79*'件数(合算）'!AR81,0)</f>
        <v>0</v>
      </c>
      <c r="AR79" s="36">
        <f>ROUND($C79*'件数(合算）'!AS81,0)</f>
        <v>0</v>
      </c>
      <c r="AS79" s="36">
        <f>ROUND($C79*'件数(合算）'!AT81,0)</f>
        <v>0</v>
      </c>
      <c r="AT79" s="36">
        <f>ROUND($C79*'件数(合算）'!AU81,0)</f>
        <v>0</v>
      </c>
      <c r="AU79" s="36">
        <f>ROUND($C79*'件数(合算）'!AV81,0)</f>
        <v>0</v>
      </c>
      <c r="AV79" s="10">
        <f t="shared" si="5"/>
        <v>0</v>
      </c>
    </row>
    <row r="80" spans="1:48" ht="22" customHeight="1">
      <c r="A80" s="26">
        <v>354876</v>
      </c>
      <c r="B80" s="27" t="s">
        <v>178</v>
      </c>
      <c r="C80" s="4">
        <f>'件数(合算）'!K82</f>
        <v>0.1</v>
      </c>
      <c r="D80" s="4">
        <f>'件数(合算）'!M82</f>
        <v>0.55000000000000004</v>
      </c>
      <c r="E80" s="5">
        <f>'件数(合算）'!E82</f>
        <v>9000</v>
      </c>
      <c r="F80" s="5">
        <f>'件数(合算）'!F82</f>
        <v>9000</v>
      </c>
      <c r="G80" s="53"/>
      <c r="K80" s="4">
        <f>'件数(合算）'!K82</f>
        <v>0.1</v>
      </c>
      <c r="L80" s="4">
        <f>'件数(合算）'!K82</f>
        <v>0.1</v>
      </c>
      <c r="M80" s="4">
        <f>'件数(合算）'!K82</f>
        <v>0.1</v>
      </c>
      <c r="N80" s="4">
        <f>'件数(合算）'!K82</f>
        <v>0.1</v>
      </c>
      <c r="O80" s="3">
        <f>ROUND($D80*'件数(合算）'!P82,0)</f>
        <v>0</v>
      </c>
      <c r="P80" s="3">
        <f>ROUND($D80*'件数(合算）'!Q82,0)</f>
        <v>1</v>
      </c>
      <c r="Q80" s="3">
        <f>ROUND($D80*'件数(合算）'!R82,0)</f>
        <v>1</v>
      </c>
      <c r="R80" s="3">
        <f>ROUND($D80*'件数(合算）'!S82,0)</f>
        <v>0</v>
      </c>
      <c r="S80" s="3">
        <f>ROUND($D80*'件数(合算）'!T82,0)</f>
        <v>0</v>
      </c>
      <c r="T80" s="3">
        <f>ROUND($D80*'件数(合算）'!U82,0)</f>
        <v>0</v>
      </c>
      <c r="U80" s="3">
        <f>ROUND($D80*'件数(合算）'!V82,0)</f>
        <v>0</v>
      </c>
      <c r="V80" s="3">
        <f>ROUND($D80*'件数(合算）'!W82,0)</f>
        <v>0</v>
      </c>
      <c r="W80" s="3">
        <f>ROUND($D80*'件数(合算）'!X82,0)</f>
        <v>1</v>
      </c>
      <c r="X80" s="3">
        <f>ROUND($D80*'件数(合算）'!Y82,0)</f>
        <v>1</v>
      </c>
      <c r="Y80" s="3">
        <f>ROUND($D80*'件数(合算）'!Z82,0)</f>
        <v>0</v>
      </c>
      <c r="Z80" s="3">
        <f>ROUND($C80*'件数(合算）'!AA82,0)</f>
        <v>0</v>
      </c>
      <c r="AA80" s="3">
        <f>ROUND($C80*'件数(合算）'!AB82,0)</f>
        <v>0</v>
      </c>
      <c r="AB80" s="3">
        <f>ROUND($C80*'件数(合算）'!AC82,0)</f>
        <v>0</v>
      </c>
      <c r="AC80" s="3">
        <f>ROUND($C80*'件数(合算）'!AD82,0)</f>
        <v>0</v>
      </c>
      <c r="AD80" s="3">
        <f>ROUND($C80*'件数(合算）'!AE82,0)</f>
        <v>0</v>
      </c>
      <c r="AE80" s="3">
        <f>ROUND($C80*'件数(合算）'!AF82,0)</f>
        <v>0</v>
      </c>
      <c r="AF80" s="3">
        <f>ROUND($C80*'件数(合算）'!AG82,0)</f>
        <v>0</v>
      </c>
      <c r="AG80" s="3">
        <f>ROUND($C80*'件数(合算）'!AH82,0)</f>
        <v>0</v>
      </c>
      <c r="AH80" s="3">
        <f>ROUND($C80*'件数(合算）'!AI82,0)</f>
        <v>0</v>
      </c>
      <c r="AI80" s="3">
        <f>ROUND($C80*'件数(合算）'!AJ82,0)</f>
        <v>0</v>
      </c>
      <c r="AJ80" s="3">
        <f>ROUND($C80*'件数(合算）'!AK82,0)</f>
        <v>0</v>
      </c>
      <c r="AK80" s="3">
        <f>ROUND($C80*'件数(合算）'!AL82,0)</f>
        <v>0</v>
      </c>
      <c r="AL80" s="3">
        <f>ROUND($C80*'件数(合算）'!AM82,0)</f>
        <v>0</v>
      </c>
      <c r="AM80" s="3">
        <f>ROUND($C80*'件数(合算）'!AN82,0)</f>
        <v>0</v>
      </c>
      <c r="AN80" s="3">
        <f>ROUND($C80*'件数(合算）'!AO82,0)</f>
        <v>0</v>
      </c>
      <c r="AO80" s="3">
        <f>ROUND($C80*'件数(合算）'!AP82,0)</f>
        <v>0</v>
      </c>
      <c r="AP80" s="3">
        <f>ROUND($C80*'件数(合算）'!AQ82,0)</f>
        <v>0</v>
      </c>
      <c r="AQ80" s="3">
        <f>ROUND($C80*'件数(合算）'!AR82,0)</f>
        <v>0</v>
      </c>
      <c r="AR80" s="3">
        <f>ROUND($C80*'件数(合算）'!AS82,0)</f>
        <v>0</v>
      </c>
      <c r="AS80" s="3">
        <f>ROUND($C80*'件数(合算）'!AT82,0)</f>
        <v>0</v>
      </c>
      <c r="AT80" s="3">
        <f>ROUND($C80*'件数(合算）'!AU82,0)</f>
        <v>0</v>
      </c>
      <c r="AU80" s="3">
        <f>ROUND($C80*'件数(合算）'!AV82,0)</f>
        <v>0</v>
      </c>
      <c r="AV80" s="10">
        <f t="shared" si="5"/>
        <v>4</v>
      </c>
    </row>
    <row r="81" spans="1:48" ht="22" customHeight="1">
      <c r="A81" s="34">
        <v>354959</v>
      </c>
      <c r="B81" s="35" t="s">
        <v>179</v>
      </c>
      <c r="C81" s="37">
        <f>'件数(合算）'!K83</f>
        <v>0.1</v>
      </c>
      <c r="D81" s="4">
        <f>'件数(合算）'!M83</f>
        <v>0.61299999999999999</v>
      </c>
      <c r="E81" s="49">
        <f>'件数(合算）'!E83</f>
        <v>9000</v>
      </c>
      <c r="F81" s="49">
        <f>'件数(合算）'!F83</f>
        <v>9000</v>
      </c>
      <c r="G81" s="53"/>
      <c r="K81" s="37">
        <f>'件数(合算）'!K83</f>
        <v>0.1</v>
      </c>
      <c r="L81" s="37">
        <f>'件数(合算）'!K83</f>
        <v>0.1</v>
      </c>
      <c r="M81" s="37">
        <f>'件数(合算）'!K83</f>
        <v>0.1</v>
      </c>
      <c r="N81" s="37">
        <f>'件数(合算）'!K83</f>
        <v>0.1</v>
      </c>
      <c r="O81" s="36">
        <f>ROUND($D81*'件数(合算）'!P83,0)</f>
        <v>0</v>
      </c>
      <c r="P81" s="36">
        <f>ROUND($D81*'件数(合算）'!Q83,0)</f>
        <v>1</v>
      </c>
      <c r="Q81" s="36">
        <f>ROUND($D81*'件数(合算）'!R83,0)</f>
        <v>1</v>
      </c>
      <c r="R81" s="36">
        <f>ROUND($D81*'件数(合算）'!S83,0)</f>
        <v>0</v>
      </c>
      <c r="S81" s="36">
        <f>ROUND($D81*'件数(合算）'!T83,0)</f>
        <v>0</v>
      </c>
      <c r="T81" s="36">
        <f>ROUND($D81*'件数(合算）'!U83,0)</f>
        <v>0</v>
      </c>
      <c r="U81" s="36">
        <f>ROUND($D81*'件数(合算）'!V83,0)</f>
        <v>0</v>
      </c>
      <c r="V81" s="36">
        <f>ROUND($D81*'件数(合算）'!W83,0)</f>
        <v>0</v>
      </c>
      <c r="W81" s="36">
        <f>ROUND($D81*'件数(合算）'!X83,0)</f>
        <v>1</v>
      </c>
      <c r="X81" s="36">
        <f>ROUND($D81*'件数(合算）'!Y83,0)</f>
        <v>1</v>
      </c>
      <c r="Y81" s="36">
        <f>ROUND($D81*'件数(合算）'!Z83,0)</f>
        <v>0</v>
      </c>
      <c r="Z81" s="36">
        <f>ROUND($C81*'件数(合算）'!AA83,0)</f>
        <v>0</v>
      </c>
      <c r="AA81" s="36">
        <f>ROUND($C81*'件数(合算）'!AB83,0)</f>
        <v>0</v>
      </c>
      <c r="AB81" s="36">
        <f>ROUND($C81*'件数(合算）'!AC83,0)</f>
        <v>0</v>
      </c>
      <c r="AC81" s="36">
        <f>ROUND($C81*'件数(合算）'!AD83,0)</f>
        <v>0</v>
      </c>
      <c r="AD81" s="36">
        <f>ROUND($C81*'件数(合算）'!AE83,0)</f>
        <v>0</v>
      </c>
      <c r="AE81" s="36">
        <f>ROUND($C81*'件数(合算）'!AF83,0)</f>
        <v>0</v>
      </c>
      <c r="AF81" s="36">
        <f>ROUND($C81*'件数(合算）'!AG83,0)</f>
        <v>0</v>
      </c>
      <c r="AG81" s="36">
        <f>ROUND($C81*'件数(合算）'!AH83,0)</f>
        <v>0</v>
      </c>
      <c r="AH81" s="36">
        <f>ROUND($C81*'件数(合算）'!AI83,0)</f>
        <v>0</v>
      </c>
      <c r="AI81" s="36">
        <f>ROUND($C81*'件数(合算）'!AJ83,0)</f>
        <v>0</v>
      </c>
      <c r="AJ81" s="36">
        <f>ROUND($C81*'件数(合算）'!AK83,0)</f>
        <v>0</v>
      </c>
      <c r="AK81" s="36">
        <f>ROUND($C81*'件数(合算）'!AL83,0)</f>
        <v>0</v>
      </c>
      <c r="AL81" s="36">
        <f>ROUND($C81*'件数(合算）'!AM83,0)</f>
        <v>0</v>
      </c>
      <c r="AM81" s="36">
        <f>ROUND($C81*'件数(合算）'!AN83,0)</f>
        <v>0</v>
      </c>
      <c r="AN81" s="36">
        <f>ROUND($C81*'件数(合算）'!AO83,0)</f>
        <v>0</v>
      </c>
      <c r="AO81" s="36">
        <f>ROUND($C81*'件数(合算）'!AP83,0)</f>
        <v>0</v>
      </c>
      <c r="AP81" s="36">
        <f>ROUND($C81*'件数(合算）'!AQ83,0)</f>
        <v>0</v>
      </c>
      <c r="AQ81" s="36">
        <f>ROUND($C81*'件数(合算）'!AR83,0)</f>
        <v>0</v>
      </c>
      <c r="AR81" s="36">
        <f>ROUND($C81*'件数(合算）'!AS83,0)</f>
        <v>0</v>
      </c>
      <c r="AS81" s="36">
        <f>ROUND($C81*'件数(合算）'!AT83,0)</f>
        <v>0</v>
      </c>
      <c r="AT81" s="36">
        <f>ROUND($C81*'件数(合算）'!AU83,0)</f>
        <v>0</v>
      </c>
      <c r="AU81" s="36">
        <f>ROUND($C81*'件数(合算）'!AV83,0)</f>
        <v>0</v>
      </c>
      <c r="AV81" s="10">
        <f t="shared" si="5"/>
        <v>4</v>
      </c>
    </row>
    <row r="82" spans="1:48" ht="22" customHeight="1">
      <c r="A82" s="26">
        <v>368894</v>
      </c>
      <c r="B82" s="27" t="s">
        <v>180</v>
      </c>
      <c r="C82" s="4">
        <f>'件数(合算）'!K84</f>
        <v>0.1</v>
      </c>
      <c r="D82" s="4">
        <f>'件数(合算）'!M84</f>
        <v>0.57699999999999996</v>
      </c>
      <c r="E82" s="5">
        <f>'件数(合算）'!E84</f>
        <v>9000</v>
      </c>
      <c r="F82" s="5">
        <f>'件数(合算）'!F84</f>
        <v>9000</v>
      </c>
      <c r="G82" s="53"/>
      <c r="K82" s="4">
        <f>'件数(合算）'!K84</f>
        <v>0.1</v>
      </c>
      <c r="L82" s="4">
        <f>'件数(合算）'!K84</f>
        <v>0.1</v>
      </c>
      <c r="M82" s="4">
        <f>'件数(合算）'!K84</f>
        <v>0.1</v>
      </c>
      <c r="N82" s="4">
        <f>'件数(合算）'!K84</f>
        <v>0.1</v>
      </c>
      <c r="O82" s="3">
        <f>ROUND($D82*'件数(合算）'!P84,0)</f>
        <v>0</v>
      </c>
      <c r="P82" s="3">
        <f>ROUND($D82*'件数(合算）'!Q84,0)</f>
        <v>1</v>
      </c>
      <c r="Q82" s="3">
        <f>ROUND($D82*'件数(合算）'!R84,0)</f>
        <v>0</v>
      </c>
      <c r="R82" s="3">
        <f>ROUND($D82*'件数(合算）'!S84,0)</f>
        <v>0</v>
      </c>
      <c r="S82" s="3">
        <f>ROUND($D82*'件数(合算）'!T84,0)</f>
        <v>0</v>
      </c>
      <c r="T82" s="3">
        <f>ROUND($D82*'件数(合算）'!U84,0)</f>
        <v>0</v>
      </c>
      <c r="U82" s="3">
        <f>ROUND($D82*'件数(合算）'!V84,0)</f>
        <v>0</v>
      </c>
      <c r="V82" s="3">
        <f>ROUND($D82*'件数(合算）'!W84,0)</f>
        <v>0</v>
      </c>
      <c r="W82" s="3">
        <f>ROUND($D82*'件数(合算）'!X84,0)</f>
        <v>1</v>
      </c>
      <c r="X82" s="3">
        <f>ROUND($D82*'件数(合算）'!Y84,0)</f>
        <v>0</v>
      </c>
      <c r="Y82" s="3">
        <f>ROUND($D82*'件数(合算）'!Z84,0)</f>
        <v>0</v>
      </c>
      <c r="Z82" s="3">
        <f>ROUND($C82*'件数(合算）'!AA84,0)</f>
        <v>0</v>
      </c>
      <c r="AA82" s="3">
        <f>ROUND($C82*'件数(合算）'!AB84,0)</f>
        <v>0</v>
      </c>
      <c r="AB82" s="3">
        <f>ROUND($C82*'件数(合算）'!AC84,0)</f>
        <v>0</v>
      </c>
      <c r="AC82" s="3">
        <f>ROUND($C82*'件数(合算）'!AD84,0)</f>
        <v>0</v>
      </c>
      <c r="AD82" s="3">
        <f>ROUND($C82*'件数(合算）'!AE84,0)</f>
        <v>0</v>
      </c>
      <c r="AE82" s="3">
        <f>ROUND($C82*'件数(合算）'!AF84,0)</f>
        <v>0</v>
      </c>
      <c r="AF82" s="3">
        <f>ROUND($C82*'件数(合算）'!AG84,0)</f>
        <v>0</v>
      </c>
      <c r="AG82" s="3">
        <f>ROUND($C82*'件数(合算）'!AH84,0)</f>
        <v>0</v>
      </c>
      <c r="AH82" s="3">
        <f>ROUND($C82*'件数(合算）'!AI84,0)</f>
        <v>0</v>
      </c>
      <c r="AI82" s="3">
        <f>ROUND($C82*'件数(合算）'!AJ84,0)</f>
        <v>0</v>
      </c>
      <c r="AJ82" s="3">
        <f>ROUND($C82*'件数(合算）'!AK84,0)</f>
        <v>0</v>
      </c>
      <c r="AK82" s="3">
        <f>ROUND($C82*'件数(合算）'!AL84,0)</f>
        <v>0</v>
      </c>
      <c r="AL82" s="3">
        <f>ROUND($C82*'件数(合算）'!AM84,0)</f>
        <v>0</v>
      </c>
      <c r="AM82" s="3">
        <f>ROUND($C82*'件数(合算）'!AN84,0)</f>
        <v>0</v>
      </c>
      <c r="AN82" s="3">
        <f>ROUND($C82*'件数(合算）'!AO84,0)</f>
        <v>0</v>
      </c>
      <c r="AO82" s="3">
        <f>ROUND($C82*'件数(合算）'!AP84,0)</f>
        <v>0</v>
      </c>
      <c r="AP82" s="3">
        <f>ROUND($C82*'件数(合算）'!AQ84,0)</f>
        <v>0</v>
      </c>
      <c r="AQ82" s="3">
        <f>ROUND($C82*'件数(合算）'!AR84,0)</f>
        <v>0</v>
      </c>
      <c r="AR82" s="3">
        <f>ROUND($C82*'件数(合算）'!AS84,0)</f>
        <v>0</v>
      </c>
      <c r="AS82" s="3">
        <f>ROUND($C82*'件数(合算）'!AT84,0)</f>
        <v>0</v>
      </c>
      <c r="AT82" s="3">
        <f>ROUND($C82*'件数(合算）'!AU84,0)</f>
        <v>0</v>
      </c>
      <c r="AU82" s="3">
        <f>ROUND($C82*'件数(合算）'!AV84,0)</f>
        <v>0</v>
      </c>
      <c r="AV82" s="10">
        <f t="shared" si="5"/>
        <v>2</v>
      </c>
    </row>
    <row r="83" spans="1:48" ht="22" customHeight="1">
      <c r="A83" s="34">
        <v>387654</v>
      </c>
      <c r="B83" s="35" t="s">
        <v>181</v>
      </c>
      <c r="C83" s="37">
        <f>'件数(合算）'!K85</f>
        <v>3.0303030303030299E-3</v>
      </c>
      <c r="D83" s="4">
        <f>'件数(合算）'!M85</f>
        <v>0.108</v>
      </c>
      <c r="E83" s="49">
        <f>'件数(合算）'!E85</f>
        <v>9000</v>
      </c>
      <c r="F83" s="49">
        <f>'件数(合算）'!F85</f>
        <v>9000</v>
      </c>
      <c r="G83" s="53"/>
      <c r="K83" s="37">
        <f>'件数(合算）'!K85</f>
        <v>3.0303030303030299E-3</v>
      </c>
      <c r="L83" s="37">
        <f>'件数(合算）'!K85</f>
        <v>3.0303030303030299E-3</v>
      </c>
      <c r="M83" s="37">
        <f>'件数(合算）'!K85</f>
        <v>3.0303030303030299E-3</v>
      </c>
      <c r="N83" s="37">
        <f>'件数(合算）'!K85</f>
        <v>3.0303030303030299E-3</v>
      </c>
      <c r="O83" s="36">
        <f>ROUND($D83*'件数(合算）'!P85,0)</f>
        <v>0</v>
      </c>
      <c r="P83" s="36">
        <f>ROUND($D83*'件数(合算）'!Q85,0)</f>
        <v>0</v>
      </c>
      <c r="Q83" s="36">
        <f>ROUND($D83*'件数(合算）'!R85,0)</f>
        <v>0</v>
      </c>
      <c r="R83" s="36">
        <f>ROUND($D83*'件数(合算）'!S85,0)</f>
        <v>0</v>
      </c>
      <c r="S83" s="36">
        <f>ROUND($D83*'件数(合算）'!T85,0)</f>
        <v>0</v>
      </c>
      <c r="T83" s="36">
        <f>ROUND($D83*'件数(合算）'!U85,0)</f>
        <v>0</v>
      </c>
      <c r="U83" s="36">
        <f>ROUND($D83*'件数(合算）'!V85,0)</f>
        <v>0</v>
      </c>
      <c r="V83" s="36">
        <f>ROUND($D83*'件数(合算）'!W85,0)</f>
        <v>0</v>
      </c>
      <c r="W83" s="36">
        <f>ROUND($D83*'件数(合算）'!X85,0)</f>
        <v>0</v>
      </c>
      <c r="X83" s="36">
        <f>ROUND($D83*'件数(合算）'!Y85,0)</f>
        <v>0</v>
      </c>
      <c r="Y83" s="36">
        <f>ROUND($D83*'件数(合算）'!Z85,0)</f>
        <v>0</v>
      </c>
      <c r="Z83" s="36">
        <f>ROUND($C83*'件数(合算）'!AA85,0)</f>
        <v>0</v>
      </c>
      <c r="AA83" s="36">
        <f>ROUND($C83*'件数(合算）'!AB85,0)</f>
        <v>0</v>
      </c>
      <c r="AB83" s="36">
        <f>ROUND($C83*'件数(合算）'!AC85,0)</f>
        <v>0</v>
      </c>
      <c r="AC83" s="36">
        <f>ROUND($C83*'件数(合算）'!AD85,0)</f>
        <v>0</v>
      </c>
      <c r="AD83" s="36">
        <f>ROUND($C83*'件数(合算）'!AE85,0)</f>
        <v>0</v>
      </c>
      <c r="AE83" s="36">
        <f>ROUND($C83*'件数(合算）'!AF85,0)</f>
        <v>0</v>
      </c>
      <c r="AF83" s="36">
        <f>ROUND($C83*'件数(合算）'!AG85,0)</f>
        <v>0</v>
      </c>
      <c r="AG83" s="36">
        <f>ROUND($C83*'件数(合算）'!AH85,0)</f>
        <v>0</v>
      </c>
      <c r="AH83" s="36">
        <f>ROUND($C83*'件数(合算）'!AI85,0)</f>
        <v>0</v>
      </c>
      <c r="AI83" s="36">
        <f>ROUND($C83*'件数(合算）'!AJ85,0)</f>
        <v>0</v>
      </c>
      <c r="AJ83" s="36">
        <f>ROUND($C83*'件数(合算）'!AK85,0)</f>
        <v>0</v>
      </c>
      <c r="AK83" s="36">
        <f>ROUND($C83*'件数(合算）'!AL85,0)</f>
        <v>0</v>
      </c>
      <c r="AL83" s="36">
        <f>ROUND($C83*'件数(合算）'!AM85,0)</f>
        <v>0</v>
      </c>
      <c r="AM83" s="36">
        <f>ROUND($C83*'件数(合算）'!AN85,0)</f>
        <v>0</v>
      </c>
      <c r="AN83" s="36">
        <f>ROUND($C83*'件数(合算）'!AO85,0)</f>
        <v>0</v>
      </c>
      <c r="AO83" s="36">
        <f>ROUND($C83*'件数(合算）'!AP85,0)</f>
        <v>0</v>
      </c>
      <c r="AP83" s="36">
        <f>ROUND($C83*'件数(合算）'!AQ85,0)</f>
        <v>0</v>
      </c>
      <c r="AQ83" s="36">
        <f>ROUND($C83*'件数(合算）'!AR85,0)</f>
        <v>0</v>
      </c>
      <c r="AR83" s="36">
        <f>ROUND($C83*'件数(合算）'!AS85,0)</f>
        <v>0</v>
      </c>
      <c r="AS83" s="36">
        <f>ROUND($C83*'件数(合算）'!AT85,0)</f>
        <v>0</v>
      </c>
      <c r="AT83" s="36">
        <f>ROUND($C83*'件数(合算）'!AU85,0)</f>
        <v>0</v>
      </c>
      <c r="AU83" s="36">
        <f>ROUND($C83*'件数(合算）'!AV85,0)</f>
        <v>0</v>
      </c>
      <c r="AV83" s="10">
        <f t="shared" si="5"/>
        <v>0</v>
      </c>
    </row>
    <row r="84" spans="1:48" ht="22" customHeight="1">
      <c r="A84" s="26">
        <v>388064</v>
      </c>
      <c r="B84" s="27" t="s">
        <v>182</v>
      </c>
      <c r="C84" s="4">
        <f>'件数(合算）'!K86</f>
        <v>0.1</v>
      </c>
      <c r="D84" s="4">
        <f>'件数(合算）'!M86</f>
        <v>0.47199999999999998</v>
      </c>
      <c r="E84" s="5">
        <f>'件数(合算）'!E86</f>
        <v>9000</v>
      </c>
      <c r="F84" s="5">
        <f>'件数(合算）'!F86</f>
        <v>9000</v>
      </c>
      <c r="G84" s="53"/>
      <c r="K84" s="4">
        <f>'件数(合算）'!K86</f>
        <v>0.1</v>
      </c>
      <c r="L84" s="4">
        <f>'件数(合算）'!K86</f>
        <v>0.1</v>
      </c>
      <c r="M84" s="4">
        <f>'件数(合算）'!K86</f>
        <v>0.1</v>
      </c>
      <c r="N84" s="4">
        <f>'件数(合算）'!K86</f>
        <v>0.1</v>
      </c>
      <c r="O84" s="3">
        <f>ROUND($D84*'件数(合算）'!P86,0)</f>
        <v>0</v>
      </c>
      <c r="P84" s="3">
        <f>ROUND($D84*'件数(合算）'!Q86,0)</f>
        <v>0</v>
      </c>
      <c r="Q84" s="3">
        <f>ROUND($D84*'件数(合算）'!R86,0)</f>
        <v>0</v>
      </c>
      <c r="R84" s="3">
        <f>ROUND($D84*'件数(合算）'!S86,0)</f>
        <v>0</v>
      </c>
      <c r="S84" s="3">
        <f>ROUND($D84*'件数(合算）'!T86,0)</f>
        <v>0</v>
      </c>
      <c r="T84" s="3">
        <f>ROUND($D84*'件数(合算）'!U86,0)</f>
        <v>0</v>
      </c>
      <c r="U84" s="3">
        <f>ROUND($D84*'件数(合算）'!V86,0)</f>
        <v>0</v>
      </c>
      <c r="V84" s="3">
        <f>ROUND($D84*'件数(合算）'!W86,0)</f>
        <v>0</v>
      </c>
      <c r="W84" s="3">
        <f>ROUND($D84*'件数(合算）'!X86,0)</f>
        <v>0</v>
      </c>
      <c r="X84" s="3">
        <f>ROUND($D84*'件数(合算）'!Y86,0)</f>
        <v>0</v>
      </c>
      <c r="Y84" s="3">
        <f>ROUND($D84*'件数(合算）'!Z86,0)</f>
        <v>0</v>
      </c>
      <c r="Z84" s="3">
        <f>ROUND($C84*'件数(合算）'!AA86,0)</f>
        <v>0</v>
      </c>
      <c r="AA84" s="3">
        <f>ROUND($C84*'件数(合算）'!AB86,0)</f>
        <v>0</v>
      </c>
      <c r="AB84" s="3">
        <f>ROUND($C84*'件数(合算）'!AC86,0)</f>
        <v>0</v>
      </c>
      <c r="AC84" s="3">
        <f>ROUND($C84*'件数(合算）'!AD86,0)</f>
        <v>0</v>
      </c>
      <c r="AD84" s="3">
        <f>ROUND($C84*'件数(合算）'!AE86,0)</f>
        <v>0</v>
      </c>
      <c r="AE84" s="3">
        <f>ROUND($C84*'件数(合算）'!AF86,0)</f>
        <v>0</v>
      </c>
      <c r="AF84" s="3">
        <f>ROUND($C84*'件数(合算）'!AG86,0)</f>
        <v>0</v>
      </c>
      <c r="AG84" s="3">
        <f>ROUND($C84*'件数(合算）'!AH86,0)</f>
        <v>0</v>
      </c>
      <c r="AH84" s="3">
        <f>ROUND($C84*'件数(合算）'!AI86,0)</f>
        <v>0</v>
      </c>
      <c r="AI84" s="3">
        <f>ROUND($C84*'件数(合算）'!AJ86,0)</f>
        <v>0</v>
      </c>
      <c r="AJ84" s="3">
        <f>ROUND($C84*'件数(合算）'!AK86,0)</f>
        <v>0</v>
      </c>
      <c r="AK84" s="3">
        <f>ROUND($C84*'件数(合算）'!AL86,0)</f>
        <v>0</v>
      </c>
      <c r="AL84" s="3">
        <f>ROUND($C84*'件数(合算）'!AM86,0)</f>
        <v>0</v>
      </c>
      <c r="AM84" s="3">
        <f>ROUND($C84*'件数(合算）'!AN86,0)</f>
        <v>0</v>
      </c>
      <c r="AN84" s="3">
        <f>ROUND($C84*'件数(合算）'!AO86,0)</f>
        <v>0</v>
      </c>
      <c r="AO84" s="3">
        <f>ROUND($C84*'件数(合算）'!AP86,0)</f>
        <v>0</v>
      </c>
      <c r="AP84" s="3">
        <f>ROUND($C84*'件数(合算）'!AQ86,0)</f>
        <v>0</v>
      </c>
      <c r="AQ84" s="3">
        <f>ROUND($C84*'件数(合算）'!AR86,0)</f>
        <v>0</v>
      </c>
      <c r="AR84" s="3">
        <f>ROUND($C84*'件数(合算）'!AS86,0)</f>
        <v>0</v>
      </c>
      <c r="AS84" s="3">
        <f>ROUND($C84*'件数(合算）'!AT86,0)</f>
        <v>0</v>
      </c>
      <c r="AT84" s="3">
        <f>ROUND($C84*'件数(合算）'!AU86,0)</f>
        <v>0</v>
      </c>
      <c r="AU84" s="3">
        <f>ROUND($C84*'件数(合算）'!AV86,0)</f>
        <v>0</v>
      </c>
      <c r="AV84" s="10">
        <f t="shared" si="5"/>
        <v>0</v>
      </c>
    </row>
    <row r="85" spans="1:48" ht="22" customHeight="1">
      <c r="A85" s="34">
        <v>388297</v>
      </c>
      <c r="B85" s="35" t="s">
        <v>183</v>
      </c>
      <c r="C85" s="37">
        <f>'件数(合算）'!K87</f>
        <v>0.1</v>
      </c>
      <c r="D85" s="4">
        <f>'件数(合算）'!M87</f>
        <v>0.22500000000000001</v>
      </c>
      <c r="E85" s="49">
        <f>'件数(合算）'!E87</f>
        <v>9000</v>
      </c>
      <c r="F85" s="49">
        <f>'件数(合算）'!F87</f>
        <v>9000</v>
      </c>
      <c r="G85" s="53"/>
      <c r="K85" s="37">
        <f>'件数(合算）'!K87</f>
        <v>0.1</v>
      </c>
      <c r="L85" s="37">
        <f>'件数(合算）'!K87</f>
        <v>0.1</v>
      </c>
      <c r="M85" s="37">
        <f>'件数(合算）'!K87</f>
        <v>0.1</v>
      </c>
      <c r="N85" s="37">
        <f>'件数(合算）'!K87</f>
        <v>0.1</v>
      </c>
      <c r="O85" s="36">
        <f>ROUND($D85*'件数(合算）'!P87,0)</f>
        <v>0</v>
      </c>
      <c r="P85" s="36">
        <f>ROUND($D85*'件数(合算）'!Q87,0)</f>
        <v>0</v>
      </c>
      <c r="Q85" s="36">
        <f>ROUND($D85*'件数(合算）'!R87,0)</f>
        <v>0</v>
      </c>
      <c r="R85" s="36">
        <f>ROUND($D85*'件数(合算）'!S87,0)</f>
        <v>0</v>
      </c>
      <c r="S85" s="36">
        <f>ROUND($D85*'件数(合算）'!T87,0)</f>
        <v>0</v>
      </c>
      <c r="T85" s="36">
        <f>ROUND($D85*'件数(合算）'!U87,0)</f>
        <v>0</v>
      </c>
      <c r="U85" s="36">
        <f>ROUND($D85*'件数(合算）'!V87,0)</f>
        <v>0</v>
      </c>
      <c r="V85" s="36">
        <f>ROUND($D85*'件数(合算）'!W87,0)</f>
        <v>0</v>
      </c>
      <c r="W85" s="36">
        <f>ROUND($D85*'件数(合算）'!X87,0)</f>
        <v>0</v>
      </c>
      <c r="X85" s="36">
        <f>ROUND($D85*'件数(合算）'!Y87,0)</f>
        <v>0</v>
      </c>
      <c r="Y85" s="36">
        <f>ROUND($D85*'件数(合算）'!Z87,0)</f>
        <v>0</v>
      </c>
      <c r="Z85" s="36">
        <f>ROUND($C85*'件数(合算）'!AA87,0)</f>
        <v>0</v>
      </c>
      <c r="AA85" s="36">
        <f>ROUND($C85*'件数(合算）'!AB87,0)</f>
        <v>0</v>
      </c>
      <c r="AB85" s="36">
        <f>ROUND($C85*'件数(合算）'!AC87,0)</f>
        <v>0</v>
      </c>
      <c r="AC85" s="36">
        <f>ROUND($C85*'件数(合算）'!AD87,0)</f>
        <v>0</v>
      </c>
      <c r="AD85" s="36">
        <f>ROUND($C85*'件数(合算）'!AE87,0)</f>
        <v>0</v>
      </c>
      <c r="AE85" s="36">
        <f>ROUND($C85*'件数(合算）'!AF87,0)</f>
        <v>0</v>
      </c>
      <c r="AF85" s="36">
        <f>ROUND($C85*'件数(合算）'!AG87,0)</f>
        <v>0</v>
      </c>
      <c r="AG85" s="36">
        <f>ROUND($C85*'件数(合算）'!AH87,0)</f>
        <v>0</v>
      </c>
      <c r="AH85" s="36">
        <f>ROUND($C85*'件数(合算）'!AI87,0)</f>
        <v>0</v>
      </c>
      <c r="AI85" s="36">
        <f>ROUND($C85*'件数(合算）'!AJ87,0)</f>
        <v>0</v>
      </c>
      <c r="AJ85" s="36">
        <f>ROUND($C85*'件数(合算）'!AK87,0)</f>
        <v>0</v>
      </c>
      <c r="AK85" s="36">
        <f>ROUND($C85*'件数(合算）'!AL87,0)</f>
        <v>0</v>
      </c>
      <c r="AL85" s="36">
        <f>ROUND($C85*'件数(合算）'!AM87,0)</f>
        <v>0</v>
      </c>
      <c r="AM85" s="36">
        <f>ROUND($C85*'件数(合算）'!AN87,0)</f>
        <v>0</v>
      </c>
      <c r="AN85" s="36">
        <f>ROUND($C85*'件数(合算）'!AO87,0)</f>
        <v>0</v>
      </c>
      <c r="AO85" s="36">
        <f>ROUND($C85*'件数(合算）'!AP87,0)</f>
        <v>0</v>
      </c>
      <c r="AP85" s="36">
        <f>ROUND($C85*'件数(合算）'!AQ87,0)</f>
        <v>0</v>
      </c>
      <c r="AQ85" s="36">
        <f>ROUND($C85*'件数(合算）'!AR87,0)</f>
        <v>0</v>
      </c>
      <c r="AR85" s="36">
        <f>ROUND($C85*'件数(合算）'!AS87,0)</f>
        <v>0</v>
      </c>
      <c r="AS85" s="36">
        <f>ROUND($C85*'件数(合算）'!AT87,0)</f>
        <v>0</v>
      </c>
      <c r="AT85" s="36">
        <f>ROUND($C85*'件数(合算）'!AU87,0)</f>
        <v>0</v>
      </c>
      <c r="AU85" s="36">
        <f>ROUND($C85*'件数(合算）'!AV87,0)</f>
        <v>0</v>
      </c>
      <c r="AV85" s="10">
        <f t="shared" si="5"/>
        <v>0</v>
      </c>
    </row>
    <row r="86" spans="1:48" ht="22" customHeight="1">
      <c r="A86" s="26">
        <v>390299</v>
      </c>
      <c r="B86" s="27" t="s">
        <v>184</v>
      </c>
      <c r="C86" s="4">
        <f>'件数(合算）'!K88</f>
        <v>0.1</v>
      </c>
      <c r="D86" s="4">
        <f>'件数(合算）'!M88</f>
        <v>0.58799999999999997</v>
      </c>
      <c r="E86" s="5">
        <f>'件数(合算）'!E88</f>
        <v>9000</v>
      </c>
      <c r="F86" s="5">
        <f>'件数(合算）'!F88</f>
        <v>9000</v>
      </c>
      <c r="G86" s="53"/>
      <c r="K86" s="4">
        <f>'件数(合算）'!K88</f>
        <v>0.1</v>
      </c>
      <c r="L86" s="4">
        <f>'件数(合算）'!K88</f>
        <v>0.1</v>
      </c>
      <c r="M86" s="4">
        <f>'件数(合算）'!K88</f>
        <v>0.1</v>
      </c>
      <c r="N86" s="4">
        <f>'件数(合算）'!K88</f>
        <v>0.1</v>
      </c>
      <c r="O86" s="3">
        <f>ROUND($D86*'件数(合算）'!P88,0)</f>
        <v>0</v>
      </c>
      <c r="P86" s="3">
        <f>ROUND($D86*'件数(合算）'!Q88,0)</f>
        <v>0</v>
      </c>
      <c r="Q86" s="3">
        <f>ROUND($D86*'件数(合算）'!R88,0)</f>
        <v>0</v>
      </c>
      <c r="R86" s="3">
        <f>ROUND($D86*'件数(合算）'!S88,0)</f>
        <v>0</v>
      </c>
      <c r="S86" s="3">
        <f>ROUND($D86*'件数(合算）'!T88,0)</f>
        <v>0</v>
      </c>
      <c r="T86" s="3">
        <f>ROUND($D86*'件数(合算）'!U88,0)</f>
        <v>0</v>
      </c>
      <c r="U86" s="3">
        <f>ROUND($D86*'件数(合算）'!V88,0)</f>
        <v>0</v>
      </c>
      <c r="V86" s="3">
        <f>ROUND($D86*'件数(合算）'!W88,0)</f>
        <v>0</v>
      </c>
      <c r="W86" s="3">
        <f>ROUND($D86*'件数(合算）'!X88,0)</f>
        <v>0</v>
      </c>
      <c r="X86" s="3">
        <f>ROUND($D86*'件数(合算）'!Y88,0)</f>
        <v>2</v>
      </c>
      <c r="Y86" s="3">
        <f>ROUND($D86*'件数(合算）'!Z88,0)</f>
        <v>0</v>
      </c>
      <c r="Z86" s="3">
        <f>ROUND($C86*'件数(合算）'!AA88,0)</f>
        <v>0</v>
      </c>
      <c r="AA86" s="3">
        <f>ROUND($C86*'件数(合算）'!AB88,0)</f>
        <v>0</v>
      </c>
      <c r="AB86" s="3">
        <f>ROUND($C86*'件数(合算）'!AC88,0)</f>
        <v>0</v>
      </c>
      <c r="AC86" s="3">
        <f>ROUND($C86*'件数(合算）'!AD88,0)</f>
        <v>0</v>
      </c>
      <c r="AD86" s="3">
        <f>ROUND($C86*'件数(合算）'!AE88,0)</f>
        <v>0</v>
      </c>
      <c r="AE86" s="3">
        <f>ROUND($C86*'件数(合算）'!AF88,0)</f>
        <v>0</v>
      </c>
      <c r="AF86" s="3">
        <f>ROUND($C86*'件数(合算）'!AG88,0)</f>
        <v>0</v>
      </c>
      <c r="AG86" s="3">
        <f>ROUND($C86*'件数(合算）'!AH88,0)</f>
        <v>0</v>
      </c>
      <c r="AH86" s="3">
        <f>ROUND($C86*'件数(合算）'!AI88,0)</f>
        <v>0</v>
      </c>
      <c r="AI86" s="3">
        <f>ROUND($C86*'件数(合算）'!AJ88,0)</f>
        <v>0</v>
      </c>
      <c r="AJ86" s="3">
        <f>ROUND($C86*'件数(合算）'!AK88,0)</f>
        <v>0</v>
      </c>
      <c r="AK86" s="3">
        <f>ROUND($C86*'件数(合算）'!AL88,0)</f>
        <v>0</v>
      </c>
      <c r="AL86" s="3">
        <f>ROUND($C86*'件数(合算）'!AM88,0)</f>
        <v>0</v>
      </c>
      <c r="AM86" s="3">
        <f>ROUND($C86*'件数(合算）'!AN88,0)</f>
        <v>0</v>
      </c>
      <c r="AN86" s="3">
        <f>ROUND($C86*'件数(合算）'!AO88,0)</f>
        <v>0</v>
      </c>
      <c r="AO86" s="3">
        <f>ROUND($C86*'件数(合算）'!AP88,0)</f>
        <v>0</v>
      </c>
      <c r="AP86" s="3">
        <f>ROUND($C86*'件数(合算）'!AQ88,0)</f>
        <v>0</v>
      </c>
      <c r="AQ86" s="3">
        <f>ROUND($C86*'件数(合算）'!AR88,0)</f>
        <v>0</v>
      </c>
      <c r="AR86" s="3">
        <f>ROUND($C86*'件数(合算）'!AS88,0)</f>
        <v>0</v>
      </c>
      <c r="AS86" s="3">
        <f>ROUND($C86*'件数(合算）'!AT88,0)</f>
        <v>0</v>
      </c>
      <c r="AT86" s="3">
        <f>ROUND($C86*'件数(合算）'!AU88,0)</f>
        <v>0</v>
      </c>
      <c r="AU86" s="3">
        <f>ROUND($C86*'件数(合算）'!AV88,0)</f>
        <v>0</v>
      </c>
      <c r="AV86" s="10">
        <f t="shared" si="5"/>
        <v>2</v>
      </c>
    </row>
    <row r="87" spans="1:48" ht="22" customHeight="1">
      <c r="A87" s="34">
        <v>1695</v>
      </c>
      <c r="B87" s="35" t="s">
        <v>185</v>
      </c>
      <c r="C87" s="37">
        <f>'件数(合算）'!K89</f>
        <v>6.25E-2</v>
      </c>
      <c r="D87" s="4">
        <f>'件数(合算）'!M89</f>
        <v>0.5</v>
      </c>
      <c r="E87" s="49">
        <f>'件数(合算）'!E89</f>
        <v>9000</v>
      </c>
      <c r="F87" s="49">
        <f>'件数(合算）'!F89</f>
        <v>9000</v>
      </c>
      <c r="G87" s="53"/>
      <c r="K87" s="37">
        <f>'件数(合算）'!K89</f>
        <v>6.25E-2</v>
      </c>
      <c r="L87" s="37">
        <f>'件数(合算）'!K89</f>
        <v>6.25E-2</v>
      </c>
      <c r="M87" s="37">
        <f>'件数(合算）'!K89</f>
        <v>6.25E-2</v>
      </c>
      <c r="N87" s="37">
        <f>'件数(合算）'!K89</f>
        <v>6.25E-2</v>
      </c>
      <c r="O87" s="36">
        <f>ROUND($D87*'件数(合算）'!P89,0)</f>
        <v>0</v>
      </c>
      <c r="P87" s="36">
        <f>ROUND($D87*'件数(合算）'!Q89,0)</f>
        <v>0</v>
      </c>
      <c r="Q87" s="36">
        <f>ROUND($D87*'件数(合算）'!R89,0)</f>
        <v>1</v>
      </c>
      <c r="R87" s="36">
        <f>ROUND($D87*'件数(合算）'!S89,0)</f>
        <v>0</v>
      </c>
      <c r="S87" s="36">
        <f>ROUND($D87*'件数(合算）'!T89,0)</f>
        <v>0</v>
      </c>
      <c r="T87" s="36">
        <f>ROUND($D87*'件数(合算）'!U89,0)</f>
        <v>0</v>
      </c>
      <c r="U87" s="36">
        <f>ROUND($D87*'件数(合算）'!V89,0)</f>
        <v>0</v>
      </c>
      <c r="V87" s="36">
        <f>ROUND($D87*'件数(合算）'!W89,0)</f>
        <v>0</v>
      </c>
      <c r="W87" s="36">
        <f>ROUND($D87*'件数(合算）'!X89,0)</f>
        <v>0</v>
      </c>
      <c r="X87" s="36">
        <f>ROUND($D87*'件数(合算）'!Y89,0)</f>
        <v>0</v>
      </c>
      <c r="Y87" s="36">
        <f>ROUND($D87*'件数(合算）'!Z89,0)</f>
        <v>0</v>
      </c>
      <c r="Z87" s="36">
        <f>ROUND($C87*'件数(合算）'!AA89,0)</f>
        <v>0</v>
      </c>
      <c r="AA87" s="36">
        <f>ROUND($C87*'件数(合算）'!AB89,0)</f>
        <v>0</v>
      </c>
      <c r="AB87" s="36">
        <f>ROUND($C87*'件数(合算）'!AC89,0)</f>
        <v>0</v>
      </c>
      <c r="AC87" s="36">
        <f>ROUND($C87*'件数(合算）'!AD89,0)</f>
        <v>0</v>
      </c>
      <c r="AD87" s="36">
        <f>ROUND($C87*'件数(合算）'!AE89,0)</f>
        <v>0</v>
      </c>
      <c r="AE87" s="36">
        <f>ROUND($C87*'件数(合算）'!AF89,0)</f>
        <v>0</v>
      </c>
      <c r="AF87" s="36">
        <f>ROUND($C87*'件数(合算）'!AG89,0)</f>
        <v>0</v>
      </c>
      <c r="AG87" s="36">
        <f>ROUND($C87*'件数(合算）'!AH89,0)</f>
        <v>0</v>
      </c>
      <c r="AH87" s="36">
        <f>ROUND($C87*'件数(合算）'!AI89,0)</f>
        <v>0</v>
      </c>
      <c r="AI87" s="36">
        <f>ROUND($C87*'件数(合算）'!AJ89,0)</f>
        <v>0</v>
      </c>
      <c r="AJ87" s="36">
        <f>ROUND($C87*'件数(合算）'!AK89,0)</f>
        <v>0</v>
      </c>
      <c r="AK87" s="36">
        <f>ROUND($C87*'件数(合算）'!AL89,0)</f>
        <v>0</v>
      </c>
      <c r="AL87" s="36">
        <f>ROUND($C87*'件数(合算）'!AM89,0)</f>
        <v>0</v>
      </c>
      <c r="AM87" s="36">
        <f>ROUND($C87*'件数(合算）'!AN89,0)</f>
        <v>0</v>
      </c>
      <c r="AN87" s="36">
        <f>ROUND($C87*'件数(合算）'!AO89,0)</f>
        <v>0</v>
      </c>
      <c r="AO87" s="36">
        <f>ROUND($C87*'件数(合算）'!AP89,0)</f>
        <v>0</v>
      </c>
      <c r="AP87" s="36">
        <f>ROUND($C87*'件数(合算）'!AQ89,0)</f>
        <v>0</v>
      </c>
      <c r="AQ87" s="36">
        <f>ROUND($C87*'件数(合算）'!AR89,0)</f>
        <v>0</v>
      </c>
      <c r="AR87" s="36">
        <f>ROUND($C87*'件数(合算）'!AS89,0)</f>
        <v>0</v>
      </c>
      <c r="AS87" s="36">
        <f>ROUND($C87*'件数(合算）'!AT89,0)</f>
        <v>0</v>
      </c>
      <c r="AT87" s="36">
        <f>ROUND($C87*'件数(合算）'!AU89,0)</f>
        <v>0</v>
      </c>
      <c r="AU87" s="36">
        <f>ROUND($C87*'件数(合算）'!AV89,0)</f>
        <v>0</v>
      </c>
      <c r="AV87" s="10">
        <f t="shared" si="5"/>
        <v>1</v>
      </c>
    </row>
    <row r="88" spans="1:48" ht="22" customHeight="1">
      <c r="A88" s="26">
        <v>33077</v>
      </c>
      <c r="B88" s="27" t="s">
        <v>186</v>
      </c>
      <c r="C88" s="4">
        <f>'件数(合算）'!K90</f>
        <v>0.1785714285714286</v>
      </c>
      <c r="D88" s="4">
        <f>'件数(合算）'!M90</f>
        <v>0.71399999999999997</v>
      </c>
      <c r="E88" s="5">
        <f>'件数(合算）'!E90</f>
        <v>9000</v>
      </c>
      <c r="F88" s="5">
        <f>'件数(合算）'!F90</f>
        <v>9000</v>
      </c>
      <c r="G88" s="53"/>
      <c r="K88" s="4">
        <f>'件数(合算）'!K90</f>
        <v>0.1785714285714286</v>
      </c>
      <c r="L88" s="4">
        <f>'件数(合算）'!K90</f>
        <v>0.1785714285714286</v>
      </c>
      <c r="M88" s="4">
        <f>'件数(合算）'!K90</f>
        <v>0.1785714285714286</v>
      </c>
      <c r="N88" s="4">
        <f>'件数(合算）'!K90</f>
        <v>0.1785714285714286</v>
      </c>
      <c r="O88" s="3">
        <f>ROUND($D88*'件数(合算）'!P90,0)</f>
        <v>0</v>
      </c>
      <c r="P88" s="3">
        <f>ROUND($D88*'件数(合算）'!Q90,0)</f>
        <v>1</v>
      </c>
      <c r="Q88" s="3">
        <f>ROUND($D88*'件数(合算）'!R90,0)</f>
        <v>1</v>
      </c>
      <c r="R88" s="3">
        <f>ROUND($D88*'件数(合算）'!S90,0)</f>
        <v>0</v>
      </c>
      <c r="S88" s="3">
        <f>ROUND($D88*'件数(合算）'!T90,0)</f>
        <v>0</v>
      </c>
      <c r="T88" s="3">
        <f>ROUND($D88*'件数(合算）'!U90,0)</f>
        <v>0</v>
      </c>
      <c r="U88" s="3">
        <f>ROUND($D88*'件数(合算）'!V90,0)</f>
        <v>0</v>
      </c>
      <c r="V88" s="3">
        <f>ROUND($D88*'件数(合算）'!W90,0)</f>
        <v>0</v>
      </c>
      <c r="W88" s="3">
        <f>ROUND($D88*'件数(合算）'!X90,0)</f>
        <v>1</v>
      </c>
      <c r="X88" s="3">
        <f>ROUND($D88*'件数(合算）'!Y90,0)</f>
        <v>0</v>
      </c>
      <c r="Y88" s="3">
        <f>ROUND($D88*'件数(合算）'!Z90,0)</f>
        <v>0</v>
      </c>
      <c r="Z88" s="3">
        <f>ROUND($C88*'件数(合算）'!AA90,0)</f>
        <v>0</v>
      </c>
      <c r="AA88" s="3">
        <f>ROUND($C88*'件数(合算）'!AB90,0)</f>
        <v>0</v>
      </c>
      <c r="AB88" s="3">
        <f>ROUND($C88*'件数(合算）'!AC90,0)</f>
        <v>0</v>
      </c>
      <c r="AC88" s="3">
        <f>ROUND($C88*'件数(合算）'!AD90,0)</f>
        <v>0</v>
      </c>
      <c r="AD88" s="3">
        <f>ROUND($C88*'件数(合算）'!AE90,0)</f>
        <v>0</v>
      </c>
      <c r="AE88" s="3">
        <f>ROUND($C88*'件数(合算）'!AF90,0)</f>
        <v>0</v>
      </c>
      <c r="AF88" s="3">
        <f>ROUND($C88*'件数(合算）'!AG90,0)</f>
        <v>0</v>
      </c>
      <c r="AG88" s="3">
        <f>ROUND($C88*'件数(合算）'!AH90,0)</f>
        <v>0</v>
      </c>
      <c r="AH88" s="3">
        <f>ROUND($C88*'件数(合算）'!AI90,0)</f>
        <v>0</v>
      </c>
      <c r="AI88" s="3">
        <f>ROUND($C88*'件数(合算）'!AJ90,0)</f>
        <v>0</v>
      </c>
      <c r="AJ88" s="3">
        <f>ROUND($C88*'件数(合算）'!AK90,0)</f>
        <v>0</v>
      </c>
      <c r="AK88" s="3">
        <f>ROUND($C88*'件数(合算）'!AL90,0)</f>
        <v>0</v>
      </c>
      <c r="AL88" s="3">
        <f>ROUND($C88*'件数(合算）'!AM90,0)</f>
        <v>0</v>
      </c>
      <c r="AM88" s="3">
        <f>ROUND($C88*'件数(合算）'!AN90,0)</f>
        <v>0</v>
      </c>
      <c r="AN88" s="3">
        <f>ROUND($C88*'件数(合算）'!AO90,0)</f>
        <v>0</v>
      </c>
      <c r="AO88" s="3">
        <f>ROUND($C88*'件数(合算）'!AP90,0)</f>
        <v>0</v>
      </c>
      <c r="AP88" s="3">
        <f>ROUND($C88*'件数(合算）'!AQ90,0)</f>
        <v>0</v>
      </c>
      <c r="AQ88" s="3">
        <f>ROUND($C88*'件数(合算）'!AR90,0)</f>
        <v>0</v>
      </c>
      <c r="AR88" s="3">
        <f>ROUND($C88*'件数(合算）'!AS90,0)</f>
        <v>0</v>
      </c>
      <c r="AS88" s="3">
        <f>ROUND($C88*'件数(合算）'!AT90,0)</f>
        <v>0</v>
      </c>
      <c r="AT88" s="3">
        <f>ROUND($C88*'件数(合算）'!AU90,0)</f>
        <v>0</v>
      </c>
      <c r="AU88" s="3">
        <f>ROUND($C88*'件数(合算）'!AV90,0)</f>
        <v>0</v>
      </c>
      <c r="AV88" s="10">
        <f t="shared" si="5"/>
        <v>3</v>
      </c>
    </row>
    <row r="89" spans="1:48" ht="22" customHeight="1">
      <c r="A89" s="34">
        <v>74401</v>
      </c>
      <c r="B89" s="35" t="s">
        <v>187</v>
      </c>
      <c r="C89" s="37">
        <f>'件数(合算）'!K91</f>
        <v>3.3333333333333333E-2</v>
      </c>
      <c r="D89" s="4">
        <f>'件数(合算）'!M91</f>
        <v>0.59099999999999997</v>
      </c>
      <c r="E89" s="49">
        <f>'件数(合算）'!E91</f>
        <v>9000</v>
      </c>
      <c r="F89" s="49">
        <f>'件数(合算）'!F91</f>
        <v>9000</v>
      </c>
      <c r="G89" s="53"/>
      <c r="K89" s="37">
        <f>'件数(合算）'!K91</f>
        <v>3.3333333333333333E-2</v>
      </c>
      <c r="L89" s="37">
        <f>'件数(合算）'!K91</f>
        <v>3.3333333333333333E-2</v>
      </c>
      <c r="M89" s="37">
        <f>'件数(合算）'!K91</f>
        <v>3.3333333333333333E-2</v>
      </c>
      <c r="N89" s="37">
        <f>'件数(合算）'!K91</f>
        <v>3.3333333333333333E-2</v>
      </c>
      <c r="O89" s="36">
        <f>ROUND($D89*'件数(合算）'!P91,0)</f>
        <v>0</v>
      </c>
      <c r="P89" s="36">
        <f>ROUND($D89*'件数(合算）'!Q91,0)</f>
        <v>1</v>
      </c>
      <c r="Q89" s="36">
        <f>ROUND($D89*'件数(合算）'!R91,0)</f>
        <v>1</v>
      </c>
      <c r="R89" s="36">
        <f>ROUND($D89*'件数(合算）'!S91,0)</f>
        <v>0</v>
      </c>
      <c r="S89" s="36">
        <f>ROUND($D89*'件数(合算）'!T91,0)</f>
        <v>0</v>
      </c>
      <c r="T89" s="36">
        <f>ROUND($D89*'件数(合算）'!U91,0)</f>
        <v>0</v>
      </c>
      <c r="U89" s="36">
        <f>ROUND($D89*'件数(合算）'!V91,0)</f>
        <v>0</v>
      </c>
      <c r="V89" s="36">
        <f>ROUND($D89*'件数(合算）'!W91,0)</f>
        <v>0</v>
      </c>
      <c r="W89" s="36">
        <f>ROUND($D89*'件数(合算）'!X91,0)</f>
        <v>1</v>
      </c>
      <c r="X89" s="36">
        <f>ROUND($D89*'件数(合算）'!Y91,0)</f>
        <v>0</v>
      </c>
      <c r="Y89" s="36">
        <f>ROUND($D89*'件数(合算）'!Z91,0)</f>
        <v>0</v>
      </c>
      <c r="Z89" s="36">
        <f>ROUND($C89*'件数(合算）'!AA91,0)</f>
        <v>0</v>
      </c>
      <c r="AA89" s="36">
        <f>ROUND($C89*'件数(合算）'!AB91,0)</f>
        <v>0</v>
      </c>
      <c r="AB89" s="36">
        <f>ROUND($C89*'件数(合算）'!AC91,0)</f>
        <v>0</v>
      </c>
      <c r="AC89" s="36">
        <f>ROUND($C89*'件数(合算）'!AD91,0)</f>
        <v>0</v>
      </c>
      <c r="AD89" s="36">
        <f>ROUND($C89*'件数(合算）'!AE91,0)</f>
        <v>0</v>
      </c>
      <c r="AE89" s="36">
        <f>ROUND($C89*'件数(合算）'!AF91,0)</f>
        <v>0</v>
      </c>
      <c r="AF89" s="36">
        <f>ROUND($C89*'件数(合算）'!AG91,0)</f>
        <v>0</v>
      </c>
      <c r="AG89" s="36">
        <f>ROUND($C89*'件数(合算）'!AH91,0)</f>
        <v>0</v>
      </c>
      <c r="AH89" s="36">
        <f>ROUND($C89*'件数(合算）'!AI91,0)</f>
        <v>0</v>
      </c>
      <c r="AI89" s="36">
        <f>ROUND($C89*'件数(合算）'!AJ91,0)</f>
        <v>0</v>
      </c>
      <c r="AJ89" s="36">
        <f>ROUND($C89*'件数(合算）'!AK91,0)</f>
        <v>0</v>
      </c>
      <c r="AK89" s="36">
        <f>ROUND($C89*'件数(合算）'!AL91,0)</f>
        <v>0</v>
      </c>
      <c r="AL89" s="36">
        <f>ROUND($C89*'件数(合算）'!AM91,0)</f>
        <v>0</v>
      </c>
      <c r="AM89" s="36">
        <f>ROUND($C89*'件数(合算）'!AN91,0)</f>
        <v>0</v>
      </c>
      <c r="AN89" s="36">
        <f>ROUND($C89*'件数(合算）'!AO91,0)</f>
        <v>0</v>
      </c>
      <c r="AO89" s="36">
        <f>ROUND($C89*'件数(合算）'!AP91,0)</f>
        <v>0</v>
      </c>
      <c r="AP89" s="36">
        <f>ROUND($C89*'件数(合算）'!AQ91,0)</f>
        <v>0</v>
      </c>
      <c r="AQ89" s="36">
        <f>ROUND($C89*'件数(合算）'!AR91,0)</f>
        <v>0</v>
      </c>
      <c r="AR89" s="36">
        <f>ROUND($C89*'件数(合算）'!AS91,0)</f>
        <v>0</v>
      </c>
      <c r="AS89" s="36">
        <f>ROUND($C89*'件数(合算）'!AT91,0)</f>
        <v>0</v>
      </c>
      <c r="AT89" s="36">
        <f>ROUND($C89*'件数(合算）'!AU91,0)</f>
        <v>0</v>
      </c>
      <c r="AU89" s="36">
        <f>ROUND($C89*'件数(合算）'!AV91,0)</f>
        <v>0</v>
      </c>
      <c r="AV89" s="10">
        <f t="shared" si="5"/>
        <v>3</v>
      </c>
    </row>
    <row r="90" spans="1:48" ht="22" customHeight="1">
      <c r="A90" s="26">
        <v>129217</v>
      </c>
      <c r="B90" s="27" t="s">
        <v>188</v>
      </c>
      <c r="C90" s="4">
        <f>'件数(合算）'!K92</f>
        <v>6.8965517241379309E-2</v>
      </c>
      <c r="D90" s="4">
        <f>'件数(合算）'!M92</f>
        <v>0.60499999999999998</v>
      </c>
      <c r="E90" s="5">
        <f>'件数(合算）'!E92</f>
        <v>9000</v>
      </c>
      <c r="F90" s="5">
        <f>'件数(合算）'!F92</f>
        <v>9000</v>
      </c>
      <c r="G90" s="53"/>
      <c r="K90" s="4">
        <f>'件数(合算）'!K92</f>
        <v>6.8965517241379309E-2</v>
      </c>
      <c r="L90" s="4">
        <f>'件数(合算）'!K92</f>
        <v>6.8965517241379309E-2</v>
      </c>
      <c r="M90" s="4">
        <f>'件数(合算）'!K92</f>
        <v>6.8965517241379309E-2</v>
      </c>
      <c r="N90" s="4">
        <f>'件数(合算）'!K92</f>
        <v>6.8965517241379309E-2</v>
      </c>
      <c r="O90" s="3">
        <f>ROUND($D90*'件数(合算）'!P92,0)</f>
        <v>0</v>
      </c>
      <c r="P90" s="3">
        <f>ROUND($D90*'件数(合算）'!Q92,0)</f>
        <v>0</v>
      </c>
      <c r="Q90" s="3">
        <f>ROUND($D90*'件数(合算）'!R92,0)</f>
        <v>0</v>
      </c>
      <c r="R90" s="3">
        <f>ROUND($D90*'件数(合算）'!S92,0)</f>
        <v>0</v>
      </c>
      <c r="S90" s="3">
        <f>ROUND($D90*'件数(合算）'!T92,0)</f>
        <v>0</v>
      </c>
      <c r="T90" s="3">
        <f>ROUND($D90*'件数(合算）'!U92,0)</f>
        <v>0</v>
      </c>
      <c r="U90" s="3">
        <f>ROUND($D90*'件数(合算）'!V92,0)</f>
        <v>0</v>
      </c>
      <c r="V90" s="3">
        <f>ROUND($D90*'件数(合算）'!W92,0)</f>
        <v>0</v>
      </c>
      <c r="W90" s="3">
        <f>ROUND($D90*'件数(合算）'!X92,0)</f>
        <v>0</v>
      </c>
      <c r="X90" s="3">
        <f>ROUND($D90*'件数(合算）'!Y92,0)</f>
        <v>0</v>
      </c>
      <c r="Y90" s="3">
        <f>ROUND($D90*'件数(合算）'!Z92,0)</f>
        <v>0</v>
      </c>
      <c r="Z90" s="3">
        <f>ROUND($C90*'件数(合算）'!AA92,0)</f>
        <v>0</v>
      </c>
      <c r="AA90" s="3">
        <f>ROUND($C90*'件数(合算）'!AB92,0)</f>
        <v>0</v>
      </c>
      <c r="AB90" s="3">
        <f>ROUND($C90*'件数(合算）'!AC92,0)</f>
        <v>0</v>
      </c>
      <c r="AC90" s="3">
        <f>ROUND($C90*'件数(合算）'!AD92,0)</f>
        <v>0</v>
      </c>
      <c r="AD90" s="3">
        <f>ROUND($C90*'件数(合算）'!AE92,0)</f>
        <v>0</v>
      </c>
      <c r="AE90" s="3">
        <f>ROUND($C90*'件数(合算）'!AF92,0)</f>
        <v>0</v>
      </c>
      <c r="AF90" s="3">
        <f>ROUND($C90*'件数(合算）'!AG92,0)</f>
        <v>0</v>
      </c>
      <c r="AG90" s="3">
        <f>ROUND($C90*'件数(合算）'!AH92,0)</f>
        <v>0</v>
      </c>
      <c r="AH90" s="3">
        <f>ROUND($C90*'件数(合算）'!AI92,0)</f>
        <v>0</v>
      </c>
      <c r="AI90" s="3">
        <f>ROUND($C90*'件数(合算）'!AJ92,0)</f>
        <v>0</v>
      </c>
      <c r="AJ90" s="3">
        <f>ROUND($C90*'件数(合算）'!AK92,0)</f>
        <v>0</v>
      </c>
      <c r="AK90" s="3">
        <f>ROUND($C90*'件数(合算）'!AL92,0)</f>
        <v>0</v>
      </c>
      <c r="AL90" s="3">
        <f>ROUND($C90*'件数(合算）'!AM92,0)</f>
        <v>0</v>
      </c>
      <c r="AM90" s="3">
        <f>ROUND($C90*'件数(合算）'!AN92,0)</f>
        <v>0</v>
      </c>
      <c r="AN90" s="3">
        <f>ROUND($C90*'件数(合算）'!AO92,0)</f>
        <v>0</v>
      </c>
      <c r="AO90" s="3">
        <f>ROUND($C90*'件数(合算）'!AP92,0)</f>
        <v>0</v>
      </c>
      <c r="AP90" s="3">
        <f>ROUND($C90*'件数(合算）'!AQ92,0)</f>
        <v>0</v>
      </c>
      <c r="AQ90" s="3">
        <f>ROUND($C90*'件数(合算）'!AR92,0)</f>
        <v>0</v>
      </c>
      <c r="AR90" s="3">
        <f>ROUND($C90*'件数(合算）'!AS92,0)</f>
        <v>0</v>
      </c>
      <c r="AS90" s="3">
        <f>ROUND($C90*'件数(合算）'!AT92,0)</f>
        <v>0</v>
      </c>
      <c r="AT90" s="3">
        <f>ROUND($C90*'件数(合算）'!AU92,0)</f>
        <v>0</v>
      </c>
      <c r="AU90" s="3">
        <f>ROUND($C90*'件数(合算）'!AV92,0)</f>
        <v>0</v>
      </c>
      <c r="AV90" s="10">
        <f t="shared" si="5"/>
        <v>0</v>
      </c>
    </row>
    <row r="91" spans="1:48" ht="22" customHeight="1">
      <c r="A91" s="34">
        <v>135749</v>
      </c>
      <c r="B91" s="35" t="s">
        <v>189</v>
      </c>
      <c r="C91" s="37">
        <f>'件数(合算）'!K93</f>
        <v>0.1</v>
      </c>
      <c r="D91" s="4">
        <f>'件数(合算）'!M93</f>
        <v>0.50600000000000001</v>
      </c>
      <c r="E91" s="49">
        <f>'件数(合算）'!E93</f>
        <v>9000</v>
      </c>
      <c r="F91" s="49">
        <f>'件数(合算）'!F93</f>
        <v>9000</v>
      </c>
      <c r="G91" s="53"/>
      <c r="K91" s="37">
        <f>'件数(合算）'!K93</f>
        <v>0.1</v>
      </c>
      <c r="L91" s="37">
        <f>'件数(合算）'!K93</f>
        <v>0.1</v>
      </c>
      <c r="M91" s="37">
        <f>'件数(合算）'!K93</f>
        <v>0.1</v>
      </c>
      <c r="N91" s="37">
        <f>'件数(合算）'!K93</f>
        <v>0.1</v>
      </c>
      <c r="O91" s="36">
        <f>ROUND($D91*'件数(合算）'!P93,0)</f>
        <v>0</v>
      </c>
      <c r="P91" s="36">
        <f>ROUND($D91*'件数(合算）'!Q93,0)</f>
        <v>0</v>
      </c>
      <c r="Q91" s="36">
        <f>ROUND($D91*'件数(合算）'!R93,0)</f>
        <v>0</v>
      </c>
      <c r="R91" s="36">
        <f>ROUND($D91*'件数(合算）'!S93,0)</f>
        <v>0</v>
      </c>
      <c r="S91" s="36">
        <f>ROUND($D91*'件数(合算）'!T93,0)</f>
        <v>0</v>
      </c>
      <c r="T91" s="36">
        <f>ROUND($D91*'件数(合算）'!U93,0)</f>
        <v>0</v>
      </c>
      <c r="U91" s="36">
        <f>ROUND($D91*'件数(合算）'!V93,0)</f>
        <v>0</v>
      </c>
      <c r="V91" s="36">
        <f>ROUND($D91*'件数(合算）'!W93,0)</f>
        <v>0</v>
      </c>
      <c r="W91" s="36">
        <f>ROUND($D91*'件数(合算）'!X93,0)</f>
        <v>0</v>
      </c>
      <c r="X91" s="36">
        <f>ROUND($D91*'件数(合算）'!Y93,0)</f>
        <v>0</v>
      </c>
      <c r="Y91" s="36">
        <f>ROUND($D91*'件数(合算）'!Z93,0)</f>
        <v>0</v>
      </c>
      <c r="Z91" s="36">
        <f>ROUND($C91*'件数(合算）'!AA93,0)</f>
        <v>0</v>
      </c>
      <c r="AA91" s="36">
        <f>ROUND($C91*'件数(合算）'!AB93,0)</f>
        <v>0</v>
      </c>
      <c r="AB91" s="36">
        <f>ROUND($C91*'件数(合算）'!AC93,0)</f>
        <v>0</v>
      </c>
      <c r="AC91" s="36">
        <f>ROUND($C91*'件数(合算）'!AD93,0)</f>
        <v>0</v>
      </c>
      <c r="AD91" s="36">
        <f>ROUND($C91*'件数(合算）'!AE93,0)</f>
        <v>0</v>
      </c>
      <c r="AE91" s="36">
        <f>ROUND($C91*'件数(合算）'!AF93,0)</f>
        <v>0</v>
      </c>
      <c r="AF91" s="36">
        <f>ROUND($C91*'件数(合算）'!AG93,0)</f>
        <v>0</v>
      </c>
      <c r="AG91" s="36">
        <f>ROUND($C91*'件数(合算）'!AH93,0)</f>
        <v>0</v>
      </c>
      <c r="AH91" s="36">
        <f>ROUND($C91*'件数(合算）'!AI93,0)</f>
        <v>0</v>
      </c>
      <c r="AI91" s="36">
        <f>ROUND($C91*'件数(合算）'!AJ93,0)</f>
        <v>0</v>
      </c>
      <c r="AJ91" s="36">
        <f>ROUND($C91*'件数(合算）'!AK93,0)</f>
        <v>0</v>
      </c>
      <c r="AK91" s="36">
        <f>ROUND($C91*'件数(合算）'!AL93,0)</f>
        <v>0</v>
      </c>
      <c r="AL91" s="36">
        <f>ROUND($C91*'件数(合算）'!AM93,0)</f>
        <v>0</v>
      </c>
      <c r="AM91" s="36">
        <f>ROUND($C91*'件数(合算）'!AN93,0)</f>
        <v>0</v>
      </c>
      <c r="AN91" s="36">
        <f>ROUND($C91*'件数(合算）'!AO93,0)</f>
        <v>0</v>
      </c>
      <c r="AO91" s="36">
        <f>ROUND($C91*'件数(合算）'!AP93,0)</f>
        <v>0</v>
      </c>
      <c r="AP91" s="36">
        <f>ROUND($C91*'件数(合算）'!AQ93,0)</f>
        <v>0</v>
      </c>
      <c r="AQ91" s="36">
        <f>ROUND($C91*'件数(合算）'!AR93,0)</f>
        <v>0</v>
      </c>
      <c r="AR91" s="36">
        <f>ROUND($C91*'件数(合算）'!AS93,0)</f>
        <v>0</v>
      </c>
      <c r="AS91" s="36">
        <f>ROUND($C91*'件数(合算）'!AT93,0)</f>
        <v>0</v>
      </c>
      <c r="AT91" s="36">
        <f>ROUND($C91*'件数(合算）'!AU93,0)</f>
        <v>0</v>
      </c>
      <c r="AU91" s="36">
        <f>ROUND($C91*'件数(合算）'!AV93,0)</f>
        <v>0</v>
      </c>
      <c r="AV91" s="10">
        <f t="shared" si="5"/>
        <v>0</v>
      </c>
    </row>
    <row r="92" spans="1:48" ht="22" customHeight="1">
      <c r="A92" s="26">
        <v>162253</v>
      </c>
      <c r="B92" s="27" t="s">
        <v>190</v>
      </c>
      <c r="C92" s="4">
        <f>'件数(合算）'!K94</f>
        <v>0.19538461538461541</v>
      </c>
      <c r="D92" s="4">
        <f>'件数(合算）'!M94</f>
        <v>0.76900000000000002</v>
      </c>
      <c r="E92" s="5">
        <f>'件数(合算）'!E94</f>
        <v>9000</v>
      </c>
      <c r="F92" s="5">
        <f>'件数(合算）'!F94</f>
        <v>9000</v>
      </c>
      <c r="G92" s="53"/>
      <c r="K92" s="4">
        <f>'件数(合算）'!K94</f>
        <v>0.19538461538461541</v>
      </c>
      <c r="L92" s="4">
        <f>'件数(合算）'!K94</f>
        <v>0.19538461538461541</v>
      </c>
      <c r="M92" s="4">
        <f>'件数(合算）'!K94</f>
        <v>0.19538461538461541</v>
      </c>
      <c r="N92" s="4">
        <f>'件数(合算）'!K94</f>
        <v>0.19538461538461541</v>
      </c>
      <c r="O92" s="3">
        <f>ROUND($D92*'件数(合算）'!P94,0)</f>
        <v>1</v>
      </c>
      <c r="P92" s="3">
        <f>ROUND($D92*'件数(合算）'!Q94,0)</f>
        <v>2</v>
      </c>
      <c r="Q92" s="3">
        <f>ROUND($D92*'件数(合算）'!R94,0)</f>
        <v>1</v>
      </c>
      <c r="R92" s="3">
        <f>ROUND($D92*'件数(合算）'!S94,0)</f>
        <v>1</v>
      </c>
      <c r="S92" s="3">
        <f>ROUND($D92*'件数(合算）'!T94,0)</f>
        <v>1</v>
      </c>
      <c r="T92" s="3">
        <f>ROUND($D92*'件数(合算）'!U94,0)</f>
        <v>1</v>
      </c>
      <c r="U92" s="3">
        <f>ROUND($D92*'件数(合算）'!V94,0)</f>
        <v>1</v>
      </c>
      <c r="V92" s="3">
        <f>ROUND($D92*'件数(合算）'!W94,0)</f>
        <v>1</v>
      </c>
      <c r="W92" s="3">
        <f>ROUND($D92*'件数(合算）'!X94,0)</f>
        <v>1</v>
      </c>
      <c r="X92" s="3">
        <f>ROUND($D92*'件数(合算）'!Y94,0)</f>
        <v>1</v>
      </c>
      <c r="Y92" s="3">
        <f>ROUND($D92*'件数(合算）'!Z94,0)</f>
        <v>1</v>
      </c>
      <c r="Z92" s="3">
        <f>ROUND($C92*'件数(合算）'!AA94,0)</f>
        <v>0</v>
      </c>
      <c r="AA92" s="3">
        <f>ROUND($C92*'件数(合算）'!AB94,0)</f>
        <v>0</v>
      </c>
      <c r="AB92" s="3">
        <f>ROUND($C92*'件数(合算）'!AC94,0)</f>
        <v>0</v>
      </c>
      <c r="AC92" s="3">
        <f>ROUND($C92*'件数(合算）'!AD94,0)</f>
        <v>0</v>
      </c>
      <c r="AD92" s="3">
        <f>ROUND($C92*'件数(合算）'!AE94,0)</f>
        <v>0</v>
      </c>
      <c r="AE92" s="3">
        <f>ROUND($C92*'件数(合算）'!AF94,0)</f>
        <v>0</v>
      </c>
      <c r="AF92" s="3">
        <f>ROUND($C92*'件数(合算）'!AG94,0)</f>
        <v>0</v>
      </c>
      <c r="AG92" s="3">
        <f>ROUND($C92*'件数(合算）'!AH94,0)</f>
        <v>0</v>
      </c>
      <c r="AH92" s="3">
        <f>ROUND($C92*'件数(合算）'!AI94,0)</f>
        <v>0</v>
      </c>
      <c r="AI92" s="3">
        <f>ROUND($C92*'件数(合算）'!AJ94,0)</f>
        <v>0</v>
      </c>
      <c r="AJ92" s="3">
        <f>ROUND($C92*'件数(合算）'!AK94,0)</f>
        <v>0</v>
      </c>
      <c r="AK92" s="3">
        <f>ROUND($C92*'件数(合算）'!AL94,0)</f>
        <v>0</v>
      </c>
      <c r="AL92" s="3">
        <f>ROUND($C92*'件数(合算）'!AM94,0)</f>
        <v>0</v>
      </c>
      <c r="AM92" s="3">
        <f>ROUND($C92*'件数(合算）'!AN94,0)</f>
        <v>0</v>
      </c>
      <c r="AN92" s="3">
        <f>ROUND($C92*'件数(合算）'!AO94,0)</f>
        <v>0</v>
      </c>
      <c r="AO92" s="3">
        <f>ROUND($C92*'件数(合算）'!AP94,0)</f>
        <v>0</v>
      </c>
      <c r="AP92" s="3">
        <f>ROUND($C92*'件数(合算）'!AQ94,0)</f>
        <v>0</v>
      </c>
      <c r="AQ92" s="3">
        <f>ROUND($C92*'件数(合算）'!AR94,0)</f>
        <v>0</v>
      </c>
      <c r="AR92" s="3">
        <f>ROUND($C92*'件数(合算）'!AS94,0)</f>
        <v>0</v>
      </c>
      <c r="AS92" s="3">
        <f>ROUND($C92*'件数(合算）'!AT94,0)</f>
        <v>0</v>
      </c>
      <c r="AT92" s="3">
        <f>ROUND($C92*'件数(合算）'!AU94,0)</f>
        <v>0</v>
      </c>
      <c r="AU92" s="3">
        <f>ROUND($C92*'件数(合算）'!AV94,0)</f>
        <v>0</v>
      </c>
      <c r="AV92" s="10">
        <f t="shared" si="5"/>
        <v>12</v>
      </c>
    </row>
    <row r="93" spans="1:48" ht="22" customHeight="1">
      <c r="A93" s="34">
        <v>250381</v>
      </c>
      <c r="B93" s="35" t="s">
        <v>191</v>
      </c>
      <c r="C93" s="37">
        <f>'件数(合算）'!K95</f>
        <v>0.1125541125541126</v>
      </c>
      <c r="D93" s="4">
        <f>'件数(合算）'!M95</f>
        <v>0.66500000000000004</v>
      </c>
      <c r="E93" s="49">
        <f>'件数(合算）'!E95</f>
        <v>9000</v>
      </c>
      <c r="F93" s="49">
        <f>'件数(合算）'!F95</f>
        <v>9000</v>
      </c>
      <c r="G93" s="53"/>
      <c r="K93" s="37">
        <f>'件数(合算）'!K95</f>
        <v>0.1125541125541126</v>
      </c>
      <c r="L93" s="37">
        <f>'件数(合算）'!K95</f>
        <v>0.1125541125541126</v>
      </c>
      <c r="M93" s="37">
        <f>'件数(合算）'!K95</f>
        <v>0.1125541125541126</v>
      </c>
      <c r="N93" s="37">
        <f>'件数(合算）'!K95</f>
        <v>0.1125541125541126</v>
      </c>
      <c r="O93" s="36">
        <f>ROUND($D93*'件数(合算）'!P95,0)</f>
        <v>1</v>
      </c>
      <c r="P93" s="36">
        <f>ROUND($D93*'件数(合算）'!Q95,0)</f>
        <v>1</v>
      </c>
      <c r="Q93" s="36">
        <f>ROUND($D93*'件数(合算）'!R95,0)</f>
        <v>1</v>
      </c>
      <c r="R93" s="36">
        <f>ROUND($D93*'件数(合算）'!S95,0)</f>
        <v>1</v>
      </c>
      <c r="S93" s="36">
        <f>ROUND($D93*'件数(合算）'!T95,0)</f>
        <v>1</v>
      </c>
      <c r="T93" s="36">
        <f>ROUND($D93*'件数(合算）'!U95,0)</f>
        <v>1</v>
      </c>
      <c r="U93" s="36">
        <f>ROUND($D93*'件数(合算）'!V95,0)</f>
        <v>1</v>
      </c>
      <c r="V93" s="36">
        <f>ROUND($D93*'件数(合算）'!W95,0)</f>
        <v>1</v>
      </c>
      <c r="W93" s="36">
        <f>ROUND($D93*'件数(合算）'!X95,0)</f>
        <v>1</v>
      </c>
      <c r="X93" s="36">
        <f>ROUND($D93*'件数(合算）'!Y95,0)</f>
        <v>1</v>
      </c>
      <c r="Y93" s="36">
        <f>ROUND($D93*'件数(合算）'!Z95,0)</f>
        <v>1</v>
      </c>
      <c r="Z93" s="36">
        <f>ROUND($C93*'件数(合算）'!AA95,0)</f>
        <v>0</v>
      </c>
      <c r="AA93" s="36">
        <f>ROUND($C93*'件数(合算）'!AB95,0)</f>
        <v>0</v>
      </c>
      <c r="AB93" s="36">
        <f>ROUND($C93*'件数(合算）'!AC95,0)</f>
        <v>0</v>
      </c>
      <c r="AC93" s="36">
        <f>ROUND($C93*'件数(合算）'!AD95,0)</f>
        <v>0</v>
      </c>
      <c r="AD93" s="36">
        <f>ROUND($C93*'件数(合算）'!AE95,0)</f>
        <v>0</v>
      </c>
      <c r="AE93" s="36">
        <f>ROUND($C93*'件数(合算）'!AF95,0)</f>
        <v>0</v>
      </c>
      <c r="AF93" s="36">
        <f>ROUND($C93*'件数(合算）'!AG95,0)</f>
        <v>0</v>
      </c>
      <c r="AG93" s="36">
        <f>ROUND($C93*'件数(合算）'!AH95,0)</f>
        <v>0</v>
      </c>
      <c r="AH93" s="36">
        <f>ROUND($C93*'件数(合算）'!AI95,0)</f>
        <v>0</v>
      </c>
      <c r="AI93" s="36">
        <f>ROUND($C93*'件数(合算）'!AJ95,0)</f>
        <v>0</v>
      </c>
      <c r="AJ93" s="36">
        <f>ROUND($C93*'件数(合算）'!AK95,0)</f>
        <v>0</v>
      </c>
      <c r="AK93" s="36">
        <f>ROUND($C93*'件数(合算）'!AL95,0)</f>
        <v>0</v>
      </c>
      <c r="AL93" s="36">
        <f>ROUND($C93*'件数(合算）'!AM95,0)</f>
        <v>0</v>
      </c>
      <c r="AM93" s="36">
        <f>ROUND($C93*'件数(合算）'!AN95,0)</f>
        <v>0</v>
      </c>
      <c r="AN93" s="36">
        <f>ROUND($C93*'件数(合算）'!AO95,0)</f>
        <v>0</v>
      </c>
      <c r="AO93" s="36">
        <f>ROUND($C93*'件数(合算）'!AP95,0)</f>
        <v>0</v>
      </c>
      <c r="AP93" s="36">
        <f>ROUND($C93*'件数(合算）'!AQ95,0)</f>
        <v>0</v>
      </c>
      <c r="AQ93" s="36">
        <f>ROUND($C93*'件数(合算）'!AR95,0)</f>
        <v>0</v>
      </c>
      <c r="AR93" s="36">
        <f>ROUND($C93*'件数(合算）'!AS95,0)</f>
        <v>0</v>
      </c>
      <c r="AS93" s="36">
        <f>ROUND($C93*'件数(合算）'!AT95,0)</f>
        <v>0</v>
      </c>
      <c r="AT93" s="36">
        <f>ROUND($C93*'件数(合算）'!AU95,0)</f>
        <v>0</v>
      </c>
      <c r="AU93" s="36">
        <f>ROUND($C93*'件数(合算）'!AV95,0)</f>
        <v>0</v>
      </c>
      <c r="AV93" s="10">
        <f t="shared" si="5"/>
        <v>11</v>
      </c>
    </row>
    <row r="94" spans="1:48" ht="22" customHeight="1">
      <c r="A94" s="26">
        <v>346991</v>
      </c>
      <c r="B94" s="27" t="s">
        <v>192</v>
      </c>
      <c r="C94" s="4">
        <f>'件数(合算）'!K96</f>
        <v>0.1</v>
      </c>
      <c r="D94" s="4">
        <f>'件数(合算）'!M96</f>
        <v>0.34200000000000003</v>
      </c>
      <c r="E94" s="5">
        <f>'件数(合算）'!E96</f>
        <v>9000</v>
      </c>
      <c r="F94" s="5">
        <f>'件数(合算）'!F96</f>
        <v>9000</v>
      </c>
      <c r="G94" s="53"/>
      <c r="K94" s="4">
        <f>'件数(合算）'!K96</f>
        <v>0.1</v>
      </c>
      <c r="L94" s="4">
        <f>'件数(合算）'!K96</f>
        <v>0.1</v>
      </c>
      <c r="M94" s="4">
        <f>'件数(合算）'!K96</f>
        <v>0.1</v>
      </c>
      <c r="N94" s="4">
        <f>'件数(合算）'!K96</f>
        <v>0.1</v>
      </c>
      <c r="O94" s="3">
        <f>ROUND($D94*'件数(合算）'!P96,0)</f>
        <v>0</v>
      </c>
      <c r="P94" s="3">
        <f>ROUND($D94*'件数(合算）'!Q96,0)</f>
        <v>0</v>
      </c>
      <c r="Q94" s="3">
        <f>ROUND($D94*'件数(合算）'!R96,0)</f>
        <v>0</v>
      </c>
      <c r="R94" s="3">
        <f>ROUND($D94*'件数(合算）'!S96,0)</f>
        <v>0</v>
      </c>
      <c r="S94" s="3">
        <f>ROUND($D94*'件数(合算）'!T96,0)</f>
        <v>0</v>
      </c>
      <c r="T94" s="3">
        <f>ROUND($D94*'件数(合算）'!U96,0)</f>
        <v>0</v>
      </c>
      <c r="U94" s="3">
        <f>ROUND($D94*'件数(合算）'!V96,0)</f>
        <v>0</v>
      </c>
      <c r="V94" s="3">
        <f>ROUND($D94*'件数(合算）'!W96,0)</f>
        <v>0</v>
      </c>
      <c r="W94" s="3">
        <f>ROUND($D94*'件数(合算）'!X96,0)</f>
        <v>0</v>
      </c>
      <c r="X94" s="3">
        <f>ROUND($D94*'件数(合算）'!Y96,0)</f>
        <v>0</v>
      </c>
      <c r="Y94" s="3">
        <f>ROUND($D94*'件数(合算）'!Z96,0)</f>
        <v>0</v>
      </c>
      <c r="Z94" s="3">
        <f>ROUND($C94*'件数(合算）'!AA96,0)</f>
        <v>0</v>
      </c>
      <c r="AA94" s="3">
        <f>ROUND($C94*'件数(合算）'!AB96,0)</f>
        <v>0</v>
      </c>
      <c r="AB94" s="3">
        <f>ROUND($C94*'件数(合算）'!AC96,0)</f>
        <v>0</v>
      </c>
      <c r="AC94" s="3">
        <f>ROUND($C94*'件数(合算）'!AD96,0)</f>
        <v>0</v>
      </c>
      <c r="AD94" s="3">
        <f>ROUND($C94*'件数(合算）'!AE96,0)</f>
        <v>0</v>
      </c>
      <c r="AE94" s="3">
        <f>ROUND($C94*'件数(合算）'!AF96,0)</f>
        <v>0</v>
      </c>
      <c r="AF94" s="3">
        <f>ROUND($C94*'件数(合算）'!AG96,0)</f>
        <v>0</v>
      </c>
      <c r="AG94" s="3">
        <f>ROUND($C94*'件数(合算）'!AH96,0)</f>
        <v>0</v>
      </c>
      <c r="AH94" s="3">
        <f>ROUND($C94*'件数(合算）'!AI96,0)</f>
        <v>0</v>
      </c>
      <c r="AI94" s="3">
        <f>ROUND($C94*'件数(合算）'!AJ96,0)</f>
        <v>0</v>
      </c>
      <c r="AJ94" s="3">
        <f>ROUND($C94*'件数(合算）'!AK96,0)</f>
        <v>0</v>
      </c>
      <c r="AK94" s="3">
        <f>ROUND($C94*'件数(合算）'!AL96,0)</f>
        <v>0</v>
      </c>
      <c r="AL94" s="3">
        <f>ROUND($C94*'件数(合算）'!AM96,0)</f>
        <v>0</v>
      </c>
      <c r="AM94" s="3">
        <f>ROUND($C94*'件数(合算）'!AN96,0)</f>
        <v>0</v>
      </c>
      <c r="AN94" s="3">
        <f>ROUND($C94*'件数(合算）'!AO96,0)</f>
        <v>0</v>
      </c>
      <c r="AO94" s="3">
        <f>ROUND($C94*'件数(合算）'!AP96,0)</f>
        <v>0</v>
      </c>
      <c r="AP94" s="3">
        <f>ROUND($C94*'件数(合算）'!AQ96,0)</f>
        <v>0</v>
      </c>
      <c r="AQ94" s="3">
        <f>ROUND($C94*'件数(合算）'!AR96,0)</f>
        <v>0</v>
      </c>
      <c r="AR94" s="3">
        <f>ROUND($C94*'件数(合算）'!AS96,0)</f>
        <v>0</v>
      </c>
      <c r="AS94" s="3">
        <f>ROUND($C94*'件数(合算）'!AT96,0)</f>
        <v>0</v>
      </c>
      <c r="AT94" s="3">
        <f>ROUND($C94*'件数(合算）'!AU96,0)</f>
        <v>0</v>
      </c>
      <c r="AU94" s="3">
        <f>ROUND($C94*'件数(合算）'!AV96,0)</f>
        <v>0</v>
      </c>
      <c r="AV94" s="10">
        <f t="shared" si="5"/>
        <v>0</v>
      </c>
    </row>
    <row r="95" spans="1:48" ht="22" customHeight="1">
      <c r="A95" s="34">
        <v>354876</v>
      </c>
      <c r="B95" s="35" t="s">
        <v>193</v>
      </c>
      <c r="C95" s="37">
        <f>'件数(合算）'!K97</f>
        <v>0.1</v>
      </c>
      <c r="D95" s="4">
        <f>'件数(合算）'!M97</f>
        <v>0.55000000000000004</v>
      </c>
      <c r="E95" s="49">
        <f>'件数(合算）'!E97</f>
        <v>9000</v>
      </c>
      <c r="F95" s="49">
        <f>'件数(合算）'!F97</f>
        <v>9000</v>
      </c>
      <c r="G95" s="53"/>
      <c r="K95" s="37">
        <f>'件数(合算）'!K97</f>
        <v>0.1</v>
      </c>
      <c r="L95" s="37">
        <f>'件数(合算）'!K97</f>
        <v>0.1</v>
      </c>
      <c r="M95" s="37">
        <f>'件数(合算）'!K97</f>
        <v>0.1</v>
      </c>
      <c r="N95" s="37">
        <f>'件数(合算）'!K97</f>
        <v>0.1</v>
      </c>
      <c r="O95" s="36">
        <f>ROUND($D95*'件数(合算）'!P97,0)</f>
        <v>0</v>
      </c>
      <c r="P95" s="36">
        <f>ROUND($D95*'件数(合算）'!Q97,0)</f>
        <v>0</v>
      </c>
      <c r="Q95" s="36">
        <f>ROUND($D95*'件数(合算）'!R97,0)</f>
        <v>0</v>
      </c>
      <c r="R95" s="36">
        <f>ROUND($D95*'件数(合算）'!S97,0)</f>
        <v>0</v>
      </c>
      <c r="S95" s="36">
        <f>ROUND($D95*'件数(合算）'!T97,0)</f>
        <v>0</v>
      </c>
      <c r="T95" s="36">
        <f>ROUND($D95*'件数(合算）'!U97,0)</f>
        <v>0</v>
      </c>
      <c r="U95" s="36">
        <f>ROUND($D95*'件数(合算）'!V97,0)</f>
        <v>0</v>
      </c>
      <c r="V95" s="36">
        <f>ROUND($D95*'件数(合算）'!W97,0)</f>
        <v>0</v>
      </c>
      <c r="W95" s="36">
        <f>ROUND($D95*'件数(合算）'!X97,0)</f>
        <v>0</v>
      </c>
      <c r="X95" s="36">
        <f>ROUND($D95*'件数(合算）'!Y97,0)</f>
        <v>0</v>
      </c>
      <c r="Y95" s="36">
        <f>ROUND($D95*'件数(合算）'!Z97,0)</f>
        <v>0</v>
      </c>
      <c r="Z95" s="36">
        <f>ROUND($C95*'件数(合算）'!AA97,0)</f>
        <v>0</v>
      </c>
      <c r="AA95" s="36">
        <f>ROUND($C95*'件数(合算）'!AB97,0)</f>
        <v>0</v>
      </c>
      <c r="AB95" s="36">
        <f>ROUND($C95*'件数(合算）'!AC97,0)</f>
        <v>0</v>
      </c>
      <c r="AC95" s="36">
        <f>ROUND($C95*'件数(合算）'!AD97,0)</f>
        <v>0</v>
      </c>
      <c r="AD95" s="36">
        <f>ROUND($C95*'件数(合算）'!AE97,0)</f>
        <v>0</v>
      </c>
      <c r="AE95" s="36">
        <f>ROUND($C95*'件数(合算）'!AF97,0)</f>
        <v>0</v>
      </c>
      <c r="AF95" s="36">
        <f>ROUND($C95*'件数(合算）'!AG97,0)</f>
        <v>0</v>
      </c>
      <c r="AG95" s="36">
        <f>ROUND($C95*'件数(合算）'!AH97,0)</f>
        <v>0</v>
      </c>
      <c r="AH95" s="36">
        <f>ROUND($C95*'件数(合算）'!AI97,0)</f>
        <v>0</v>
      </c>
      <c r="AI95" s="36">
        <f>ROUND($C95*'件数(合算）'!AJ97,0)</f>
        <v>0</v>
      </c>
      <c r="AJ95" s="36">
        <f>ROUND($C95*'件数(合算）'!AK97,0)</f>
        <v>0</v>
      </c>
      <c r="AK95" s="36">
        <f>ROUND($C95*'件数(合算）'!AL97,0)</f>
        <v>0</v>
      </c>
      <c r="AL95" s="36">
        <f>ROUND($C95*'件数(合算）'!AM97,0)</f>
        <v>0</v>
      </c>
      <c r="AM95" s="36">
        <f>ROUND($C95*'件数(合算）'!AN97,0)</f>
        <v>0</v>
      </c>
      <c r="AN95" s="36">
        <f>ROUND($C95*'件数(合算）'!AO97,0)</f>
        <v>0</v>
      </c>
      <c r="AO95" s="36">
        <f>ROUND($C95*'件数(合算）'!AP97,0)</f>
        <v>0</v>
      </c>
      <c r="AP95" s="36">
        <f>ROUND($C95*'件数(合算）'!AQ97,0)</f>
        <v>0</v>
      </c>
      <c r="AQ95" s="36">
        <f>ROUND($C95*'件数(合算）'!AR97,0)</f>
        <v>0</v>
      </c>
      <c r="AR95" s="36">
        <f>ROUND($C95*'件数(合算）'!AS97,0)</f>
        <v>0</v>
      </c>
      <c r="AS95" s="36">
        <f>ROUND($C95*'件数(合算）'!AT97,0)</f>
        <v>0</v>
      </c>
      <c r="AT95" s="36">
        <f>ROUND($C95*'件数(合算）'!AU97,0)</f>
        <v>0</v>
      </c>
      <c r="AU95" s="36">
        <f>ROUND($C95*'件数(合算）'!AV97,0)</f>
        <v>0</v>
      </c>
      <c r="AV95" s="10">
        <f t="shared" si="5"/>
        <v>0</v>
      </c>
    </row>
    <row r="96" spans="1:48" ht="22" customHeight="1">
      <c r="A96" s="26">
        <v>354959</v>
      </c>
      <c r="B96" s="27" t="s">
        <v>194</v>
      </c>
      <c r="C96" s="4">
        <f>'件数(合算）'!K98</f>
        <v>0.1</v>
      </c>
      <c r="D96" s="4">
        <f>'件数(合算）'!M98</f>
        <v>0.61299999999999999</v>
      </c>
      <c r="E96" s="5">
        <f>'件数(合算）'!E98</f>
        <v>9000</v>
      </c>
      <c r="F96" s="5">
        <f>'件数(合算）'!F98</f>
        <v>9000</v>
      </c>
      <c r="G96" s="53"/>
      <c r="K96" s="4">
        <f>'件数(合算）'!K98</f>
        <v>0.1</v>
      </c>
      <c r="L96" s="4">
        <f>'件数(合算）'!K98</f>
        <v>0.1</v>
      </c>
      <c r="M96" s="4">
        <f>'件数(合算）'!K98</f>
        <v>0.1</v>
      </c>
      <c r="N96" s="4">
        <f>'件数(合算）'!K98</f>
        <v>0.1</v>
      </c>
      <c r="O96" s="3">
        <f>ROUND($D96*'件数(合算）'!P98,0)</f>
        <v>0</v>
      </c>
      <c r="P96" s="3">
        <f>ROUND($D96*'件数(合算）'!Q98,0)</f>
        <v>0</v>
      </c>
      <c r="Q96" s="3">
        <f>ROUND($D96*'件数(合算）'!R98,0)</f>
        <v>0</v>
      </c>
      <c r="R96" s="3">
        <f>ROUND($D96*'件数(合算）'!S98,0)</f>
        <v>0</v>
      </c>
      <c r="S96" s="3">
        <f>ROUND($D96*'件数(合算）'!T98,0)</f>
        <v>0</v>
      </c>
      <c r="T96" s="3">
        <f>ROUND($D96*'件数(合算）'!U98,0)</f>
        <v>0</v>
      </c>
      <c r="U96" s="3">
        <f>ROUND($D96*'件数(合算）'!V98,0)</f>
        <v>0</v>
      </c>
      <c r="V96" s="3">
        <f>ROUND($D96*'件数(合算）'!W98,0)</f>
        <v>0</v>
      </c>
      <c r="W96" s="3">
        <f>ROUND($D96*'件数(合算）'!X98,0)</f>
        <v>0</v>
      </c>
      <c r="X96" s="3">
        <f>ROUND($D96*'件数(合算）'!Y98,0)</f>
        <v>0</v>
      </c>
      <c r="Y96" s="3">
        <f>ROUND($D96*'件数(合算）'!Z98,0)</f>
        <v>0</v>
      </c>
      <c r="Z96" s="3">
        <f>ROUND($C96*'件数(合算）'!AA98,0)</f>
        <v>0</v>
      </c>
      <c r="AA96" s="3">
        <f>ROUND($C96*'件数(合算）'!AB98,0)</f>
        <v>0</v>
      </c>
      <c r="AB96" s="3">
        <f>ROUND($C96*'件数(合算）'!AC98,0)</f>
        <v>0</v>
      </c>
      <c r="AC96" s="3">
        <f>ROUND($C96*'件数(合算）'!AD98,0)</f>
        <v>0</v>
      </c>
      <c r="AD96" s="3">
        <f>ROUND($C96*'件数(合算）'!AE98,0)</f>
        <v>0</v>
      </c>
      <c r="AE96" s="3">
        <f>ROUND($C96*'件数(合算）'!AF98,0)</f>
        <v>0</v>
      </c>
      <c r="AF96" s="3">
        <f>ROUND($C96*'件数(合算）'!AG98,0)</f>
        <v>0</v>
      </c>
      <c r="AG96" s="3">
        <f>ROUND($C96*'件数(合算）'!AH98,0)</f>
        <v>0</v>
      </c>
      <c r="AH96" s="3">
        <f>ROUND($C96*'件数(合算）'!AI98,0)</f>
        <v>0</v>
      </c>
      <c r="AI96" s="3">
        <f>ROUND($C96*'件数(合算）'!AJ98,0)</f>
        <v>0</v>
      </c>
      <c r="AJ96" s="3">
        <f>ROUND($C96*'件数(合算）'!AK98,0)</f>
        <v>0</v>
      </c>
      <c r="AK96" s="3">
        <f>ROUND($C96*'件数(合算）'!AL98,0)</f>
        <v>0</v>
      </c>
      <c r="AL96" s="3">
        <f>ROUND($C96*'件数(合算）'!AM98,0)</f>
        <v>0</v>
      </c>
      <c r="AM96" s="3">
        <f>ROUND($C96*'件数(合算）'!AN98,0)</f>
        <v>0</v>
      </c>
      <c r="AN96" s="3">
        <f>ROUND($C96*'件数(合算）'!AO98,0)</f>
        <v>0</v>
      </c>
      <c r="AO96" s="3">
        <f>ROUND($C96*'件数(合算）'!AP98,0)</f>
        <v>0</v>
      </c>
      <c r="AP96" s="3">
        <f>ROUND($C96*'件数(合算）'!AQ98,0)</f>
        <v>0</v>
      </c>
      <c r="AQ96" s="3">
        <f>ROUND($C96*'件数(合算）'!AR98,0)</f>
        <v>0</v>
      </c>
      <c r="AR96" s="3">
        <f>ROUND($C96*'件数(合算）'!AS98,0)</f>
        <v>0</v>
      </c>
      <c r="AS96" s="3">
        <f>ROUND($C96*'件数(合算）'!AT98,0)</f>
        <v>0</v>
      </c>
      <c r="AT96" s="3">
        <f>ROUND($C96*'件数(合算）'!AU98,0)</f>
        <v>0</v>
      </c>
      <c r="AU96" s="3">
        <f>ROUND($C96*'件数(合算）'!AV98,0)</f>
        <v>0</v>
      </c>
      <c r="AV96" s="10">
        <f t="shared" si="5"/>
        <v>0</v>
      </c>
    </row>
    <row r="97" spans="1:48" ht="22" customHeight="1">
      <c r="A97" s="34">
        <v>368894</v>
      </c>
      <c r="B97" s="35" t="s">
        <v>195</v>
      </c>
      <c r="C97" s="37">
        <f>'件数(合算）'!K99</f>
        <v>0.1</v>
      </c>
      <c r="D97" s="4">
        <f>'件数(合算）'!M99</f>
        <v>0.57699999999999996</v>
      </c>
      <c r="E97" s="49">
        <f>'件数(合算）'!E99</f>
        <v>9000</v>
      </c>
      <c r="F97" s="49">
        <f>'件数(合算）'!F99</f>
        <v>9000</v>
      </c>
      <c r="G97" s="53"/>
      <c r="K97" s="37">
        <f>'件数(合算）'!K99</f>
        <v>0.1</v>
      </c>
      <c r="L97" s="37">
        <f>'件数(合算）'!K99</f>
        <v>0.1</v>
      </c>
      <c r="M97" s="37">
        <f>'件数(合算）'!K99</f>
        <v>0.1</v>
      </c>
      <c r="N97" s="37">
        <f>'件数(合算）'!K99</f>
        <v>0.1</v>
      </c>
      <c r="O97" s="36">
        <f>ROUND($D97*'件数(合算）'!P99,0)</f>
        <v>0</v>
      </c>
      <c r="P97" s="36">
        <f>ROUND($D97*'件数(合算）'!Q99,0)</f>
        <v>1</v>
      </c>
      <c r="Q97" s="36">
        <f>ROUND($D97*'件数(合算）'!R99,0)</f>
        <v>1</v>
      </c>
      <c r="R97" s="36">
        <f>ROUND($D97*'件数(合算）'!S99,0)</f>
        <v>0</v>
      </c>
      <c r="S97" s="36">
        <f>ROUND($D97*'件数(合算）'!T99,0)</f>
        <v>0</v>
      </c>
      <c r="T97" s="36">
        <f>ROUND($D97*'件数(合算）'!U99,0)</f>
        <v>0</v>
      </c>
      <c r="U97" s="36">
        <f>ROUND($D97*'件数(合算）'!V99,0)</f>
        <v>0</v>
      </c>
      <c r="V97" s="36">
        <f>ROUND($D97*'件数(合算）'!W99,0)</f>
        <v>0</v>
      </c>
      <c r="W97" s="36">
        <f>ROUND($D97*'件数(合算）'!X99,0)</f>
        <v>1</v>
      </c>
      <c r="X97" s="36">
        <f>ROUND($D97*'件数(合算）'!Y99,0)</f>
        <v>1</v>
      </c>
      <c r="Y97" s="36">
        <f>ROUND($D97*'件数(合算）'!Z99,0)</f>
        <v>0</v>
      </c>
      <c r="Z97" s="36">
        <f>ROUND($C97*'件数(合算）'!AA99,0)</f>
        <v>0</v>
      </c>
      <c r="AA97" s="36">
        <f>ROUND($C97*'件数(合算）'!AB99,0)</f>
        <v>0</v>
      </c>
      <c r="AB97" s="36">
        <f>ROUND($C97*'件数(合算）'!AC99,0)</f>
        <v>0</v>
      </c>
      <c r="AC97" s="36">
        <f>ROUND($C97*'件数(合算）'!AD99,0)</f>
        <v>0</v>
      </c>
      <c r="AD97" s="36">
        <f>ROUND($C97*'件数(合算）'!AE99,0)</f>
        <v>0</v>
      </c>
      <c r="AE97" s="36">
        <f>ROUND($C97*'件数(合算）'!AF99,0)</f>
        <v>0</v>
      </c>
      <c r="AF97" s="36">
        <f>ROUND($C97*'件数(合算）'!AG99,0)</f>
        <v>0</v>
      </c>
      <c r="AG97" s="36">
        <f>ROUND($C97*'件数(合算）'!AH99,0)</f>
        <v>0</v>
      </c>
      <c r="AH97" s="36">
        <f>ROUND($C97*'件数(合算）'!AI99,0)</f>
        <v>0</v>
      </c>
      <c r="AI97" s="36">
        <f>ROUND($C97*'件数(合算）'!AJ99,0)</f>
        <v>0</v>
      </c>
      <c r="AJ97" s="36">
        <f>ROUND($C97*'件数(合算）'!AK99,0)</f>
        <v>0</v>
      </c>
      <c r="AK97" s="36">
        <f>ROUND($C97*'件数(合算）'!AL99,0)</f>
        <v>0</v>
      </c>
      <c r="AL97" s="36">
        <f>ROUND($C97*'件数(合算）'!AM99,0)</f>
        <v>0</v>
      </c>
      <c r="AM97" s="36">
        <f>ROUND($C97*'件数(合算）'!AN99,0)</f>
        <v>0</v>
      </c>
      <c r="AN97" s="36">
        <f>ROUND($C97*'件数(合算）'!AO99,0)</f>
        <v>0</v>
      </c>
      <c r="AO97" s="36">
        <f>ROUND($C97*'件数(合算）'!AP99,0)</f>
        <v>0</v>
      </c>
      <c r="AP97" s="36">
        <f>ROUND($C97*'件数(合算）'!AQ99,0)</f>
        <v>0</v>
      </c>
      <c r="AQ97" s="36">
        <f>ROUND($C97*'件数(合算）'!AR99,0)</f>
        <v>0</v>
      </c>
      <c r="AR97" s="36">
        <f>ROUND($C97*'件数(合算）'!AS99,0)</f>
        <v>0</v>
      </c>
      <c r="AS97" s="36">
        <f>ROUND($C97*'件数(合算）'!AT99,0)</f>
        <v>0</v>
      </c>
      <c r="AT97" s="36">
        <f>ROUND($C97*'件数(合算）'!AU99,0)</f>
        <v>0</v>
      </c>
      <c r="AU97" s="36">
        <f>ROUND($C97*'件数(合算）'!AV99,0)</f>
        <v>0</v>
      </c>
      <c r="AV97" s="10">
        <f t="shared" si="5"/>
        <v>4</v>
      </c>
    </row>
    <row r="98" spans="1:48" ht="22" customHeight="1">
      <c r="A98" s="26">
        <v>387654</v>
      </c>
      <c r="B98" s="27" t="s">
        <v>196</v>
      </c>
      <c r="C98" s="4">
        <f>'件数(合算）'!K100</f>
        <v>3.0303030303030299E-3</v>
      </c>
      <c r="D98" s="4">
        <f>'件数(合算）'!M100</f>
        <v>0.108</v>
      </c>
      <c r="E98" s="5">
        <f>'件数(合算）'!E100</f>
        <v>9000</v>
      </c>
      <c r="F98" s="5">
        <f>'件数(合算）'!F100</f>
        <v>9000</v>
      </c>
      <c r="G98" s="53"/>
      <c r="K98" s="4">
        <f>'件数(合算）'!K100</f>
        <v>3.0303030303030299E-3</v>
      </c>
      <c r="L98" s="4">
        <f>'件数(合算）'!K100</f>
        <v>3.0303030303030299E-3</v>
      </c>
      <c r="M98" s="4">
        <f>'件数(合算）'!K100</f>
        <v>3.0303030303030299E-3</v>
      </c>
      <c r="N98" s="4">
        <f>'件数(合算）'!K100</f>
        <v>3.0303030303030299E-3</v>
      </c>
      <c r="O98" s="3">
        <f>ROUND($D98*'件数(合算）'!P100,0)</f>
        <v>0</v>
      </c>
      <c r="P98" s="3">
        <f>ROUND($D98*'件数(合算）'!Q100,0)</f>
        <v>0</v>
      </c>
      <c r="Q98" s="3">
        <f>ROUND($D98*'件数(合算）'!R100,0)</f>
        <v>0</v>
      </c>
      <c r="R98" s="3">
        <f>ROUND($D98*'件数(合算）'!S100,0)</f>
        <v>0</v>
      </c>
      <c r="S98" s="3">
        <f>ROUND($D98*'件数(合算）'!T100,0)</f>
        <v>0</v>
      </c>
      <c r="T98" s="3">
        <f>ROUND($D98*'件数(合算）'!U100,0)</f>
        <v>0</v>
      </c>
      <c r="U98" s="3">
        <f>ROUND($D98*'件数(合算）'!V100,0)</f>
        <v>0</v>
      </c>
      <c r="V98" s="3">
        <f>ROUND($D98*'件数(合算）'!W100,0)</f>
        <v>0</v>
      </c>
      <c r="W98" s="3">
        <f>ROUND($D98*'件数(合算）'!X100,0)</f>
        <v>0</v>
      </c>
      <c r="X98" s="3">
        <f>ROUND($D98*'件数(合算）'!Y100,0)</f>
        <v>0</v>
      </c>
      <c r="Y98" s="3">
        <f>ROUND($D98*'件数(合算）'!Z100,0)</f>
        <v>0</v>
      </c>
      <c r="Z98" s="3">
        <f>ROUND($C98*'件数(合算）'!AA100,0)</f>
        <v>0</v>
      </c>
      <c r="AA98" s="3">
        <f>ROUND($C98*'件数(合算）'!AB100,0)</f>
        <v>0</v>
      </c>
      <c r="AB98" s="3">
        <f>ROUND($C98*'件数(合算）'!AC100,0)</f>
        <v>0</v>
      </c>
      <c r="AC98" s="3">
        <f>ROUND($C98*'件数(合算）'!AD100,0)</f>
        <v>0</v>
      </c>
      <c r="AD98" s="3">
        <f>ROUND($C98*'件数(合算）'!AE100,0)</f>
        <v>0</v>
      </c>
      <c r="AE98" s="3">
        <f>ROUND($C98*'件数(合算）'!AF100,0)</f>
        <v>0</v>
      </c>
      <c r="AF98" s="3">
        <f>ROUND($C98*'件数(合算）'!AG100,0)</f>
        <v>0</v>
      </c>
      <c r="AG98" s="3">
        <f>ROUND($C98*'件数(合算）'!AH100,0)</f>
        <v>0</v>
      </c>
      <c r="AH98" s="3">
        <f>ROUND($C98*'件数(合算）'!AI100,0)</f>
        <v>0</v>
      </c>
      <c r="AI98" s="3">
        <f>ROUND($C98*'件数(合算）'!AJ100,0)</f>
        <v>0</v>
      </c>
      <c r="AJ98" s="3">
        <f>ROUND($C98*'件数(合算）'!AK100,0)</f>
        <v>0</v>
      </c>
      <c r="AK98" s="3">
        <f>ROUND($C98*'件数(合算）'!AL100,0)</f>
        <v>0</v>
      </c>
      <c r="AL98" s="3">
        <f>ROUND($C98*'件数(合算）'!AM100,0)</f>
        <v>0</v>
      </c>
      <c r="AM98" s="3">
        <f>ROUND($C98*'件数(合算）'!AN100,0)</f>
        <v>0</v>
      </c>
      <c r="AN98" s="3">
        <f>ROUND($C98*'件数(合算）'!AO100,0)</f>
        <v>0</v>
      </c>
      <c r="AO98" s="3">
        <f>ROUND($C98*'件数(合算）'!AP100,0)</f>
        <v>0</v>
      </c>
      <c r="AP98" s="3">
        <f>ROUND($C98*'件数(合算）'!AQ100,0)</f>
        <v>0</v>
      </c>
      <c r="AQ98" s="3">
        <f>ROUND($C98*'件数(合算）'!AR100,0)</f>
        <v>0</v>
      </c>
      <c r="AR98" s="3">
        <f>ROUND($C98*'件数(合算）'!AS100,0)</f>
        <v>0</v>
      </c>
      <c r="AS98" s="3">
        <f>ROUND($C98*'件数(合算）'!AT100,0)</f>
        <v>0</v>
      </c>
      <c r="AT98" s="3">
        <f>ROUND($C98*'件数(合算）'!AU100,0)</f>
        <v>0</v>
      </c>
      <c r="AU98" s="3">
        <f>ROUND($C98*'件数(合算）'!AV100,0)</f>
        <v>0</v>
      </c>
      <c r="AV98" s="10">
        <f t="shared" si="5"/>
        <v>0</v>
      </c>
    </row>
    <row r="99" spans="1:48" ht="22" customHeight="1">
      <c r="A99" s="34">
        <v>388064</v>
      </c>
      <c r="B99" s="35" t="s">
        <v>197</v>
      </c>
      <c r="C99" s="37">
        <f>'件数(合算）'!K101</f>
        <v>0.1</v>
      </c>
      <c r="D99" s="4">
        <f>'件数(合算）'!M101</f>
        <v>0.47199999999999998</v>
      </c>
      <c r="E99" s="49">
        <f>'件数(合算）'!E101</f>
        <v>9000</v>
      </c>
      <c r="F99" s="49">
        <f>'件数(合算）'!F101</f>
        <v>9000</v>
      </c>
      <c r="G99" s="53"/>
      <c r="K99" s="37">
        <f>'件数(合算）'!K101</f>
        <v>0.1</v>
      </c>
      <c r="L99" s="37">
        <f>'件数(合算）'!K101</f>
        <v>0.1</v>
      </c>
      <c r="M99" s="37">
        <f>'件数(合算）'!K101</f>
        <v>0.1</v>
      </c>
      <c r="N99" s="37">
        <f>'件数(合算）'!K101</f>
        <v>0.1</v>
      </c>
      <c r="O99" s="36">
        <f>ROUND($D99*'件数(合算）'!P101,0)</f>
        <v>0</v>
      </c>
      <c r="P99" s="36">
        <f>ROUND($D99*'件数(合算）'!Q101,0)</f>
        <v>0</v>
      </c>
      <c r="Q99" s="36">
        <f>ROUND($D99*'件数(合算）'!R101,0)</f>
        <v>1</v>
      </c>
      <c r="R99" s="36">
        <f>ROUND($D99*'件数(合算）'!S101,0)</f>
        <v>0</v>
      </c>
      <c r="S99" s="36">
        <f>ROUND($D99*'件数(合算）'!T101,0)</f>
        <v>0</v>
      </c>
      <c r="T99" s="36">
        <f>ROUND($D99*'件数(合算）'!U101,0)</f>
        <v>0</v>
      </c>
      <c r="U99" s="36">
        <f>ROUND($D99*'件数(合算）'!V101,0)</f>
        <v>0</v>
      </c>
      <c r="V99" s="36">
        <f>ROUND($D99*'件数(合算）'!W101,0)</f>
        <v>0</v>
      </c>
      <c r="W99" s="36">
        <f>ROUND($D99*'件数(合算）'!X101,0)</f>
        <v>0</v>
      </c>
      <c r="X99" s="36">
        <f>ROUND($D99*'件数(合算）'!Y101,0)</f>
        <v>1</v>
      </c>
      <c r="Y99" s="36">
        <f>ROUND($D99*'件数(合算）'!Z101,0)</f>
        <v>0</v>
      </c>
      <c r="Z99" s="36">
        <f>ROUND($C99*'件数(合算）'!AA101,0)</f>
        <v>0</v>
      </c>
      <c r="AA99" s="36">
        <f>ROUND($C99*'件数(合算）'!AB101,0)</f>
        <v>0</v>
      </c>
      <c r="AB99" s="36">
        <f>ROUND($C99*'件数(合算）'!AC101,0)</f>
        <v>0</v>
      </c>
      <c r="AC99" s="36">
        <f>ROUND($C99*'件数(合算）'!AD101,0)</f>
        <v>0</v>
      </c>
      <c r="AD99" s="36">
        <f>ROUND($C99*'件数(合算）'!AE101,0)</f>
        <v>0</v>
      </c>
      <c r="AE99" s="36">
        <f>ROUND($C99*'件数(合算）'!AF101,0)</f>
        <v>0</v>
      </c>
      <c r="AF99" s="36">
        <f>ROUND($C99*'件数(合算）'!AG101,0)</f>
        <v>0</v>
      </c>
      <c r="AG99" s="36">
        <f>ROUND($C99*'件数(合算）'!AH101,0)</f>
        <v>0</v>
      </c>
      <c r="AH99" s="36">
        <f>ROUND($C99*'件数(合算）'!AI101,0)</f>
        <v>0</v>
      </c>
      <c r="AI99" s="36">
        <f>ROUND($C99*'件数(合算）'!AJ101,0)</f>
        <v>0</v>
      </c>
      <c r="AJ99" s="36">
        <f>ROUND($C99*'件数(合算）'!AK101,0)</f>
        <v>0</v>
      </c>
      <c r="AK99" s="36">
        <f>ROUND($C99*'件数(合算）'!AL101,0)</f>
        <v>0</v>
      </c>
      <c r="AL99" s="36">
        <f>ROUND($C99*'件数(合算）'!AM101,0)</f>
        <v>0</v>
      </c>
      <c r="AM99" s="36">
        <f>ROUND($C99*'件数(合算）'!AN101,0)</f>
        <v>0</v>
      </c>
      <c r="AN99" s="36">
        <f>ROUND($C99*'件数(合算）'!AO101,0)</f>
        <v>0</v>
      </c>
      <c r="AO99" s="36">
        <f>ROUND($C99*'件数(合算）'!AP101,0)</f>
        <v>0</v>
      </c>
      <c r="AP99" s="36">
        <f>ROUND($C99*'件数(合算）'!AQ101,0)</f>
        <v>0</v>
      </c>
      <c r="AQ99" s="36">
        <f>ROUND($C99*'件数(合算）'!AR101,0)</f>
        <v>0</v>
      </c>
      <c r="AR99" s="36">
        <f>ROUND($C99*'件数(合算）'!AS101,0)</f>
        <v>0</v>
      </c>
      <c r="AS99" s="36">
        <f>ROUND($C99*'件数(合算）'!AT101,0)</f>
        <v>0</v>
      </c>
      <c r="AT99" s="36">
        <f>ROUND($C99*'件数(合算）'!AU101,0)</f>
        <v>0</v>
      </c>
      <c r="AU99" s="36">
        <f>ROUND($C99*'件数(合算）'!AV101,0)</f>
        <v>0</v>
      </c>
      <c r="AV99" s="10">
        <f t="shared" si="5"/>
        <v>2</v>
      </c>
    </row>
    <row r="100" spans="1:48" ht="22" customHeight="1">
      <c r="A100" s="26">
        <v>388297</v>
      </c>
      <c r="B100" s="27" t="s">
        <v>198</v>
      </c>
      <c r="C100" s="4">
        <f>'件数(合算）'!K102</f>
        <v>0.1</v>
      </c>
      <c r="D100" s="4">
        <f>'件数(合算）'!M102</f>
        <v>0.22500000000000001</v>
      </c>
      <c r="E100" s="5">
        <f>'件数(合算）'!E102</f>
        <v>9000</v>
      </c>
      <c r="F100" s="5">
        <f>'件数(合算）'!F102</f>
        <v>9000</v>
      </c>
      <c r="G100" s="53"/>
      <c r="K100" s="4">
        <f>'件数(合算）'!K102</f>
        <v>0.1</v>
      </c>
      <c r="L100" s="4">
        <f>'件数(合算）'!K102</f>
        <v>0.1</v>
      </c>
      <c r="M100" s="4">
        <f>'件数(合算）'!K102</f>
        <v>0.1</v>
      </c>
      <c r="N100" s="4">
        <f>'件数(合算）'!K102</f>
        <v>0.1</v>
      </c>
      <c r="O100" s="3">
        <f>ROUND($D100*'件数(合算）'!P102,0)</f>
        <v>0</v>
      </c>
      <c r="P100" s="3">
        <f>ROUND($D100*'件数(合算）'!Q102,0)</f>
        <v>0</v>
      </c>
      <c r="Q100" s="3">
        <f>ROUND($D100*'件数(合算）'!R102,0)</f>
        <v>0</v>
      </c>
      <c r="R100" s="3">
        <f>ROUND($D100*'件数(合算）'!S102,0)</f>
        <v>0</v>
      </c>
      <c r="S100" s="3">
        <f>ROUND($D100*'件数(合算）'!T102,0)</f>
        <v>0</v>
      </c>
      <c r="T100" s="3">
        <f>ROUND($D100*'件数(合算）'!U102,0)</f>
        <v>0</v>
      </c>
      <c r="U100" s="3">
        <f>ROUND($D100*'件数(合算）'!V102,0)</f>
        <v>0</v>
      </c>
      <c r="V100" s="3">
        <f>ROUND($D100*'件数(合算）'!W102,0)</f>
        <v>0</v>
      </c>
      <c r="W100" s="3">
        <f>ROUND($D100*'件数(合算）'!X102,0)</f>
        <v>0</v>
      </c>
      <c r="X100" s="3">
        <f>ROUND($D100*'件数(合算）'!Y102,0)</f>
        <v>0</v>
      </c>
      <c r="Y100" s="3">
        <f>ROUND($D100*'件数(合算）'!Z102,0)</f>
        <v>0</v>
      </c>
      <c r="Z100" s="3">
        <f>ROUND($C100*'件数(合算）'!AA102,0)</f>
        <v>0</v>
      </c>
      <c r="AA100" s="3">
        <f>ROUND($C100*'件数(合算）'!AB102,0)</f>
        <v>0</v>
      </c>
      <c r="AB100" s="3">
        <f>ROUND($C100*'件数(合算）'!AC102,0)</f>
        <v>0</v>
      </c>
      <c r="AC100" s="3">
        <f>ROUND($C100*'件数(合算）'!AD102,0)</f>
        <v>0</v>
      </c>
      <c r="AD100" s="3">
        <f>ROUND($C100*'件数(合算）'!AE102,0)</f>
        <v>0</v>
      </c>
      <c r="AE100" s="3">
        <f>ROUND($C100*'件数(合算）'!AF102,0)</f>
        <v>0</v>
      </c>
      <c r="AF100" s="3">
        <f>ROUND($C100*'件数(合算）'!AG102,0)</f>
        <v>0</v>
      </c>
      <c r="AG100" s="3">
        <f>ROUND($C100*'件数(合算）'!AH102,0)</f>
        <v>0</v>
      </c>
      <c r="AH100" s="3">
        <f>ROUND($C100*'件数(合算）'!AI102,0)</f>
        <v>0</v>
      </c>
      <c r="AI100" s="3">
        <f>ROUND($C100*'件数(合算）'!AJ102,0)</f>
        <v>0</v>
      </c>
      <c r="AJ100" s="3">
        <f>ROUND($C100*'件数(合算）'!AK102,0)</f>
        <v>0</v>
      </c>
      <c r="AK100" s="3">
        <f>ROUND($C100*'件数(合算）'!AL102,0)</f>
        <v>0</v>
      </c>
      <c r="AL100" s="3">
        <f>ROUND($C100*'件数(合算）'!AM102,0)</f>
        <v>0</v>
      </c>
      <c r="AM100" s="3">
        <f>ROUND($C100*'件数(合算）'!AN102,0)</f>
        <v>0</v>
      </c>
      <c r="AN100" s="3">
        <f>ROUND($C100*'件数(合算）'!AO102,0)</f>
        <v>0</v>
      </c>
      <c r="AO100" s="3">
        <f>ROUND($C100*'件数(合算）'!AP102,0)</f>
        <v>0</v>
      </c>
      <c r="AP100" s="3">
        <f>ROUND($C100*'件数(合算）'!AQ102,0)</f>
        <v>0</v>
      </c>
      <c r="AQ100" s="3">
        <f>ROUND($C100*'件数(合算）'!AR102,0)</f>
        <v>0</v>
      </c>
      <c r="AR100" s="3">
        <f>ROUND($C100*'件数(合算）'!AS102,0)</f>
        <v>0</v>
      </c>
      <c r="AS100" s="3">
        <f>ROUND($C100*'件数(合算）'!AT102,0)</f>
        <v>0</v>
      </c>
      <c r="AT100" s="3">
        <f>ROUND($C100*'件数(合算）'!AU102,0)</f>
        <v>0</v>
      </c>
      <c r="AU100" s="3">
        <f>ROUND($C100*'件数(合算）'!AV102,0)</f>
        <v>0</v>
      </c>
      <c r="AV100" s="10">
        <f t="shared" si="5"/>
        <v>0</v>
      </c>
    </row>
    <row r="101" spans="1:48" ht="22" customHeight="1">
      <c r="A101" s="34">
        <v>390299</v>
      </c>
      <c r="B101" s="35" t="s">
        <v>199</v>
      </c>
      <c r="C101" s="37">
        <f>'件数(合算）'!K103</f>
        <v>0.1</v>
      </c>
      <c r="D101" s="4">
        <f>'件数(合算）'!M103</f>
        <v>0.58799999999999997</v>
      </c>
      <c r="E101" s="49">
        <f>'件数(合算）'!E103</f>
        <v>9000</v>
      </c>
      <c r="F101" s="49">
        <f>'件数(合算）'!F103</f>
        <v>9000</v>
      </c>
      <c r="G101" s="53"/>
      <c r="K101" s="37">
        <f>'件数(合算）'!K103</f>
        <v>0.1</v>
      </c>
      <c r="L101" s="37">
        <f>'件数(合算）'!K103</f>
        <v>0.1</v>
      </c>
      <c r="M101" s="37">
        <f>'件数(合算）'!K103</f>
        <v>0.1</v>
      </c>
      <c r="N101" s="37">
        <f>'件数(合算）'!K103</f>
        <v>0.1</v>
      </c>
      <c r="O101" s="36">
        <f>ROUND($D101*'件数(合算）'!P103,0)</f>
        <v>0</v>
      </c>
      <c r="P101" s="36">
        <f>ROUND($D101*'件数(合算）'!Q103,0)</f>
        <v>0</v>
      </c>
      <c r="Q101" s="36">
        <f>ROUND($D101*'件数(合算）'!R103,0)</f>
        <v>0</v>
      </c>
      <c r="R101" s="36">
        <f>ROUND($D101*'件数(合算）'!S103,0)</f>
        <v>0</v>
      </c>
      <c r="S101" s="36">
        <f>ROUND($D101*'件数(合算）'!T103,0)</f>
        <v>0</v>
      </c>
      <c r="T101" s="36">
        <f>ROUND($D101*'件数(合算）'!U103,0)</f>
        <v>0</v>
      </c>
      <c r="U101" s="36">
        <f>ROUND($D101*'件数(合算）'!V103,0)</f>
        <v>0</v>
      </c>
      <c r="V101" s="36">
        <f>ROUND($D101*'件数(合算）'!W103,0)</f>
        <v>0</v>
      </c>
      <c r="W101" s="36">
        <f>ROUND($D101*'件数(合算）'!X103,0)</f>
        <v>0</v>
      </c>
      <c r="X101" s="36">
        <f>ROUND($D101*'件数(合算）'!Y103,0)</f>
        <v>0</v>
      </c>
      <c r="Y101" s="36">
        <f>ROUND($D101*'件数(合算）'!Z103,0)</f>
        <v>0</v>
      </c>
      <c r="Z101" s="36">
        <f>ROUND($C101*'件数(合算）'!AA103,0)</f>
        <v>0</v>
      </c>
      <c r="AA101" s="36">
        <f>ROUND($C101*'件数(合算）'!AB103,0)</f>
        <v>0</v>
      </c>
      <c r="AB101" s="36">
        <f>ROUND($C101*'件数(合算）'!AC103,0)</f>
        <v>0</v>
      </c>
      <c r="AC101" s="36">
        <f>ROUND($C101*'件数(合算）'!AD103,0)</f>
        <v>0</v>
      </c>
      <c r="AD101" s="36">
        <f>ROUND($C101*'件数(合算）'!AE103,0)</f>
        <v>0</v>
      </c>
      <c r="AE101" s="36">
        <f>ROUND($C101*'件数(合算）'!AF103,0)</f>
        <v>0</v>
      </c>
      <c r="AF101" s="36">
        <f>ROUND($C101*'件数(合算）'!AG103,0)</f>
        <v>0</v>
      </c>
      <c r="AG101" s="36">
        <f>ROUND($C101*'件数(合算）'!AH103,0)</f>
        <v>0</v>
      </c>
      <c r="AH101" s="36">
        <f>ROUND($C101*'件数(合算）'!AI103,0)</f>
        <v>0</v>
      </c>
      <c r="AI101" s="36">
        <f>ROUND($C101*'件数(合算）'!AJ103,0)</f>
        <v>0</v>
      </c>
      <c r="AJ101" s="36">
        <f>ROUND($C101*'件数(合算）'!AK103,0)</f>
        <v>0</v>
      </c>
      <c r="AK101" s="36">
        <f>ROUND($C101*'件数(合算）'!AL103,0)</f>
        <v>0</v>
      </c>
      <c r="AL101" s="36">
        <f>ROUND($C101*'件数(合算）'!AM103,0)</f>
        <v>0</v>
      </c>
      <c r="AM101" s="36">
        <f>ROUND($C101*'件数(合算）'!AN103,0)</f>
        <v>0</v>
      </c>
      <c r="AN101" s="36">
        <f>ROUND($C101*'件数(合算）'!AO103,0)</f>
        <v>0</v>
      </c>
      <c r="AO101" s="36">
        <f>ROUND($C101*'件数(合算）'!AP103,0)</f>
        <v>0</v>
      </c>
      <c r="AP101" s="36">
        <f>ROUND($C101*'件数(合算）'!AQ103,0)</f>
        <v>0</v>
      </c>
      <c r="AQ101" s="36">
        <f>ROUND($C101*'件数(合算）'!AR103,0)</f>
        <v>0</v>
      </c>
      <c r="AR101" s="36">
        <f>ROUND($C101*'件数(合算）'!AS103,0)</f>
        <v>0</v>
      </c>
      <c r="AS101" s="36">
        <f>ROUND($C101*'件数(合算）'!AT103,0)</f>
        <v>0</v>
      </c>
      <c r="AT101" s="36">
        <f>ROUND($C101*'件数(合算）'!AU103,0)</f>
        <v>0</v>
      </c>
      <c r="AU101" s="36">
        <f>ROUND($C101*'件数(合算）'!AV103,0)</f>
        <v>0</v>
      </c>
      <c r="AV101" s="10">
        <f t="shared" si="5"/>
        <v>0</v>
      </c>
    </row>
    <row r="102" spans="1:48" ht="22" customHeight="1">
      <c r="A102" s="26"/>
      <c r="B102" s="27" t="s">
        <v>202</v>
      </c>
      <c r="C102" s="4">
        <f>'件数(合算）'!K104</f>
        <v>0.5</v>
      </c>
      <c r="D102" s="4">
        <f>'件数(合算）'!M104</f>
        <v>0.5</v>
      </c>
      <c r="E102" s="5">
        <f>'件数(合算）'!E104</f>
        <v>0</v>
      </c>
      <c r="F102" s="5">
        <f>'件数(合算）'!F104</f>
        <v>0</v>
      </c>
      <c r="G102" s="53"/>
      <c r="K102" s="4">
        <f>'件数(合算）'!K104</f>
        <v>0.5</v>
      </c>
      <c r="L102" s="4">
        <f>'件数(合算）'!K104</f>
        <v>0.5</v>
      </c>
      <c r="M102" s="4">
        <f>'件数(合算）'!K104</f>
        <v>0.5</v>
      </c>
      <c r="N102" s="4">
        <f>'件数(合算）'!K104</f>
        <v>0.5</v>
      </c>
      <c r="O102" s="3">
        <f>ROUND($D102*'件数(合算）'!P104,0)</f>
        <v>2</v>
      </c>
      <c r="P102" s="3">
        <f>ROUND($D102*'件数(合算）'!Q104,0)</f>
        <v>2</v>
      </c>
      <c r="Q102" s="3">
        <f>ROUND($D102*'件数(合算）'!R104,0)</f>
        <v>2</v>
      </c>
      <c r="R102" s="3">
        <f>ROUND($D102*'件数(合算）'!S104,0)</f>
        <v>2</v>
      </c>
      <c r="S102" s="3">
        <f>ROUND($D102*'件数(合算）'!T104,0)</f>
        <v>2</v>
      </c>
      <c r="T102" s="3">
        <f>ROUND($D102*'件数(合算）'!U104,0)</f>
        <v>2</v>
      </c>
      <c r="U102" s="3">
        <f>ROUND($D102*'件数(合算）'!V104,0)</f>
        <v>2</v>
      </c>
      <c r="V102" s="3">
        <f>ROUND($D102*'件数(合算）'!W104,0)</f>
        <v>2</v>
      </c>
      <c r="W102" s="3">
        <f>ROUND($D102*'件数(合算）'!X104,0)</f>
        <v>2</v>
      </c>
      <c r="X102" s="3">
        <f>ROUND($D102*'件数(合算）'!Y104,0)</f>
        <v>2</v>
      </c>
      <c r="Y102" s="3">
        <f>ROUND($D102*'件数(合算）'!Z104,0)</f>
        <v>2</v>
      </c>
      <c r="Z102" s="3">
        <f>ROUND($C102*'件数(合算）'!AA104,0)</f>
        <v>2</v>
      </c>
      <c r="AA102" s="3">
        <f>ROUND($C102*'件数(合算）'!AB104,0)</f>
        <v>2</v>
      </c>
      <c r="AB102" s="3">
        <f>ROUND($C102*'件数(合算）'!AC104,0)</f>
        <v>2</v>
      </c>
      <c r="AC102" s="3">
        <f>ROUND($C102*'件数(合算）'!AD104,0)</f>
        <v>2</v>
      </c>
      <c r="AD102" s="3">
        <f>ROUND($C102*'件数(合算）'!AE104,0)</f>
        <v>2</v>
      </c>
      <c r="AE102" s="3">
        <f>ROUND($C102*'件数(合算）'!AF104,0)</f>
        <v>2</v>
      </c>
      <c r="AF102" s="3">
        <f>ROUND($C102*'件数(合算）'!AG104,0)</f>
        <v>2</v>
      </c>
      <c r="AG102" s="3">
        <f>ROUND($C102*'件数(合算）'!AH104,0)</f>
        <v>2</v>
      </c>
      <c r="AH102" s="3">
        <f>ROUND($C102*'件数(合算）'!AI104,0)</f>
        <v>2</v>
      </c>
      <c r="AI102" s="3">
        <f>ROUND($C102*'件数(合算）'!AJ104,0)</f>
        <v>2</v>
      </c>
      <c r="AJ102" s="3">
        <f>ROUND($C102*'件数(合算）'!AK104,0)</f>
        <v>2</v>
      </c>
      <c r="AK102" s="3">
        <f>ROUND($C102*'件数(合算）'!AL104,0)</f>
        <v>2</v>
      </c>
      <c r="AL102" s="3">
        <f>ROUND($C102*'件数(合算）'!AM104,0)</f>
        <v>2</v>
      </c>
      <c r="AM102" s="3">
        <f>ROUND($C102*'件数(合算）'!AN104,0)</f>
        <v>2</v>
      </c>
      <c r="AN102" s="3">
        <f>ROUND($C102*'件数(合算）'!AO104,0)</f>
        <v>2</v>
      </c>
      <c r="AO102" s="3">
        <f>ROUND($C102*'件数(合算）'!AP104,0)</f>
        <v>2</v>
      </c>
      <c r="AP102" s="3">
        <f>ROUND($C102*'件数(合算）'!AQ104,0)</f>
        <v>2</v>
      </c>
      <c r="AQ102" s="3">
        <f>ROUND($C102*'件数(合算）'!AR104,0)</f>
        <v>2</v>
      </c>
      <c r="AR102" s="3">
        <f>ROUND($C102*'件数(合算）'!AS104,0)</f>
        <v>2</v>
      </c>
      <c r="AS102" s="3">
        <f>ROUND($C102*'件数(合算）'!AT104,0)</f>
        <v>2</v>
      </c>
      <c r="AT102" s="3">
        <f>ROUND($C102*'件数(合算）'!AU104,0)</f>
        <v>2</v>
      </c>
      <c r="AU102" s="3">
        <f>ROUND($C102*'件数(合算）'!AV104,0)</f>
        <v>2</v>
      </c>
      <c r="AV102" s="10">
        <f t="shared" ref="AV102:AV103" si="6">SUM(O102:AP102)</f>
        <v>56</v>
      </c>
    </row>
    <row r="103" spans="1:48" ht="22" customHeight="1">
      <c r="A103" s="34"/>
      <c r="B103" s="35" t="s">
        <v>203</v>
      </c>
      <c r="C103" s="37">
        <f>'件数(合算）'!K105</f>
        <v>0.3</v>
      </c>
      <c r="D103" s="4">
        <f>'件数(合算）'!M105</f>
        <v>0.3</v>
      </c>
      <c r="E103" s="49">
        <f>'件数(合算）'!E105</f>
        <v>0</v>
      </c>
      <c r="F103" s="49">
        <f>'件数(合算）'!F105</f>
        <v>0</v>
      </c>
      <c r="G103" s="53"/>
      <c r="K103" s="37">
        <f>'件数(合算）'!K105</f>
        <v>0.3</v>
      </c>
      <c r="L103" s="37">
        <f>'件数(合算）'!K105</f>
        <v>0.3</v>
      </c>
      <c r="M103" s="37">
        <f>'件数(合算）'!K105</f>
        <v>0.3</v>
      </c>
      <c r="N103" s="37">
        <f>'件数(合算）'!K105</f>
        <v>0.3</v>
      </c>
      <c r="O103" s="36">
        <f>ROUND($D103*'件数(合算）'!P105,0)</f>
        <v>17</v>
      </c>
      <c r="P103" s="36">
        <f>ROUND($D103*'件数(合算）'!Q105,0)</f>
        <v>17</v>
      </c>
      <c r="Q103" s="36">
        <f>ROUND($D103*'件数(合算）'!R105,0)</f>
        <v>17</v>
      </c>
      <c r="R103" s="36">
        <f>ROUND($D103*'件数(合算）'!S105,0)</f>
        <v>17</v>
      </c>
      <c r="S103" s="36">
        <f>ROUND($D103*'件数(合算）'!T105,0)</f>
        <v>17</v>
      </c>
      <c r="T103" s="36">
        <f>ROUND($D103*'件数(合算）'!U105,0)</f>
        <v>17</v>
      </c>
      <c r="U103" s="36">
        <f>ROUND($D103*'件数(合算）'!V105,0)</f>
        <v>17</v>
      </c>
      <c r="V103" s="36">
        <f>ROUND($D103*'件数(合算）'!W105,0)</f>
        <v>17</v>
      </c>
      <c r="W103" s="36">
        <f>ROUND($D103*'件数(合算）'!X105,0)</f>
        <v>17</v>
      </c>
      <c r="X103" s="36">
        <f>ROUND($D103*'件数(合算）'!Y105,0)</f>
        <v>17</v>
      </c>
      <c r="Y103" s="36">
        <f>ROUND($D103*'件数(合算）'!Z105,0)</f>
        <v>17</v>
      </c>
      <c r="Z103" s="36">
        <f>ROUND($C103*'件数(合算）'!AA105,0)</f>
        <v>12</v>
      </c>
      <c r="AA103" s="36">
        <f>ROUND($C103*'件数(合算）'!AB105,0)</f>
        <v>12</v>
      </c>
      <c r="AB103" s="36">
        <f>ROUND($C103*'件数(合算）'!AC105,0)</f>
        <v>12</v>
      </c>
      <c r="AC103" s="36">
        <f>ROUND($C103*'件数(合算）'!AD105,0)</f>
        <v>12</v>
      </c>
      <c r="AD103" s="36">
        <f>ROUND($C103*'件数(合算）'!AE105,0)</f>
        <v>12</v>
      </c>
      <c r="AE103" s="36">
        <f>ROUND($C103*'件数(合算）'!AF105,0)</f>
        <v>12</v>
      </c>
      <c r="AF103" s="36">
        <f>ROUND($C103*'件数(合算）'!AG105,0)</f>
        <v>12</v>
      </c>
      <c r="AG103" s="36">
        <f>ROUND($C103*'件数(合算）'!AH105,0)</f>
        <v>12</v>
      </c>
      <c r="AH103" s="36">
        <f>ROUND($C103*'件数(合算）'!AI105,0)</f>
        <v>12</v>
      </c>
      <c r="AI103" s="36">
        <f>ROUND($C103*'件数(合算）'!AJ105,0)</f>
        <v>12</v>
      </c>
      <c r="AJ103" s="36">
        <f>ROUND($C103*'件数(合算）'!AK105,0)</f>
        <v>12</v>
      </c>
      <c r="AK103" s="36">
        <f>ROUND($C103*'件数(合算）'!AL105,0)</f>
        <v>12</v>
      </c>
      <c r="AL103" s="36">
        <f>ROUND($C103*'件数(合算）'!AM105,0)</f>
        <v>12</v>
      </c>
      <c r="AM103" s="36">
        <f>ROUND($C103*'件数(合算）'!AN105,0)</f>
        <v>12</v>
      </c>
      <c r="AN103" s="36">
        <f>ROUND($C103*'件数(合算）'!AO105,0)</f>
        <v>12</v>
      </c>
      <c r="AO103" s="36">
        <f>ROUND($C103*'件数(合算）'!AP105,0)</f>
        <v>12</v>
      </c>
      <c r="AP103" s="36">
        <f>ROUND($C103*'件数(合算）'!AQ105,0)</f>
        <v>12</v>
      </c>
      <c r="AQ103" s="36">
        <f>ROUND($C103*'件数(合算）'!AR105,0)</f>
        <v>12</v>
      </c>
      <c r="AR103" s="36">
        <f>ROUND($C103*'件数(合算）'!AS105,0)</f>
        <v>12</v>
      </c>
      <c r="AS103" s="36">
        <f>ROUND($C103*'件数(合算）'!AT105,0)</f>
        <v>12</v>
      </c>
      <c r="AT103" s="36">
        <f>ROUND($C103*'件数(合算）'!AU105,0)</f>
        <v>12</v>
      </c>
      <c r="AU103" s="36">
        <f>ROUND($C103*'件数(合算）'!AV105,0)</f>
        <v>12</v>
      </c>
      <c r="AV103" s="10">
        <f t="shared" si="6"/>
        <v>391</v>
      </c>
    </row>
    <row r="104" spans="1:48" ht="22" customHeight="1"/>
    <row r="105" spans="1:48" ht="22" customHeight="1"/>
    <row r="106" spans="1:48" ht="22" customHeight="1"/>
    <row r="107" spans="1:48" ht="22" customHeight="1"/>
    <row r="108" spans="1:48" ht="22" customHeight="1"/>
    <row r="109" spans="1:48" ht="22" customHeight="1"/>
    <row r="110" spans="1:48" ht="22" customHeight="1"/>
    <row r="111" spans="1:48" ht="22" customHeight="1"/>
    <row r="112" spans="1:48"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sheetData>
  <phoneticPr fontId="7"/>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V999"/>
  <sheetViews>
    <sheetView showGridLines="0" zoomScale="55" zoomScaleNormal="55" workbookViewId="0">
      <pane xSplit="14" ySplit="6" topLeftCell="O7" activePane="bottomRight" state="frozen"/>
      <selection pane="topRight"/>
      <selection pane="bottomLeft"/>
      <selection pane="bottomRight" activeCell="G9" sqref="G9"/>
    </sheetView>
  </sheetViews>
  <sheetFormatPr defaultRowHeight="14.5"/>
  <cols>
    <col min="1" max="1" width="14" customWidth="1"/>
    <col min="2" max="2" width="34" customWidth="1"/>
    <col min="3" max="3" width="10" customWidth="1"/>
    <col min="4" max="4" width="12.1796875" customWidth="1"/>
    <col min="5" max="14" width="11" customWidth="1"/>
    <col min="15" max="15" width="10.81640625" bestFit="1" customWidth="1"/>
    <col min="16" max="25" width="11.90625" bestFit="1" customWidth="1"/>
    <col min="26" max="47" width="10.81640625" bestFit="1" customWidth="1"/>
    <col min="48" max="48" width="14.81640625" bestFit="1" customWidth="1"/>
  </cols>
  <sheetData>
    <row r="1" spans="1:48" ht="22" customHeight="1"/>
    <row r="2" spans="1:48" ht="22" customHeight="1">
      <c r="N2" s="44" t="s">
        <v>0</v>
      </c>
      <c r="O2" s="50">
        <f t="shared" ref="O2:AV2" si="0">O3</f>
        <v>9986591</v>
      </c>
      <c r="P2" s="50">
        <f t="shared" si="0"/>
        <v>18245771</v>
      </c>
      <c r="Q2" s="50">
        <f t="shared" si="0"/>
        <v>18477743</v>
      </c>
      <c r="R2" s="50">
        <f t="shared" si="0"/>
        <v>13716653</v>
      </c>
      <c r="S2" s="50">
        <f t="shared" si="0"/>
        <v>13274729</v>
      </c>
      <c r="T2" s="50">
        <f t="shared" si="0"/>
        <v>13260220</v>
      </c>
      <c r="U2" s="50">
        <f t="shared" si="0"/>
        <v>12730012</v>
      </c>
      <c r="V2" s="50">
        <f t="shared" si="0"/>
        <v>11074936</v>
      </c>
      <c r="W2" s="50">
        <f t="shared" si="0"/>
        <v>20405499</v>
      </c>
      <c r="X2" s="50">
        <f t="shared" si="0"/>
        <v>29914661</v>
      </c>
      <c r="Y2" s="50">
        <f t="shared" si="0"/>
        <v>11892163</v>
      </c>
      <c r="Z2" s="50">
        <f t="shared" si="0"/>
        <v>1958345</v>
      </c>
      <c r="AA2" s="50">
        <f t="shared" si="0"/>
        <v>1958345</v>
      </c>
      <c r="AB2" s="50">
        <f t="shared" si="0"/>
        <v>1958345</v>
      </c>
      <c r="AC2" s="50">
        <f t="shared" si="0"/>
        <v>1932044</v>
      </c>
      <c r="AD2" s="50">
        <f t="shared" si="0"/>
        <v>2577005</v>
      </c>
      <c r="AE2" s="50">
        <f t="shared" si="0"/>
        <v>3183683</v>
      </c>
      <c r="AF2" s="50">
        <f t="shared" si="0"/>
        <v>2031319</v>
      </c>
      <c r="AG2" s="50">
        <f t="shared" si="0"/>
        <v>2061342</v>
      </c>
      <c r="AH2" s="50">
        <f t="shared" si="0"/>
        <v>2051380</v>
      </c>
      <c r="AI2" s="50">
        <f t="shared" si="0"/>
        <v>2044946</v>
      </c>
      <c r="AJ2" s="50">
        <f t="shared" si="0"/>
        <v>2011146</v>
      </c>
      <c r="AK2" s="50">
        <f t="shared" si="0"/>
        <v>2584111</v>
      </c>
      <c r="AL2" s="50">
        <f t="shared" si="0"/>
        <v>2795912</v>
      </c>
      <c r="AM2" s="50">
        <f t="shared" si="0"/>
        <v>2961904</v>
      </c>
      <c r="AN2" s="50">
        <f t="shared" si="0"/>
        <v>2026665</v>
      </c>
      <c r="AO2" s="50">
        <f t="shared" si="0"/>
        <v>2015929</v>
      </c>
      <c r="AP2" s="50">
        <f t="shared" si="0"/>
        <v>2010529</v>
      </c>
      <c r="AQ2" s="50">
        <f t="shared" si="0"/>
        <v>1975461</v>
      </c>
      <c r="AR2" s="50">
        <f t="shared" si="0"/>
        <v>2636377</v>
      </c>
      <c r="AS2" s="50">
        <f t="shared" si="0"/>
        <v>3127121</v>
      </c>
      <c r="AT2" s="50">
        <f t="shared" si="0"/>
        <v>1999137</v>
      </c>
      <c r="AU2" s="50">
        <f t="shared" si="0"/>
        <v>1999137</v>
      </c>
      <c r="AV2" s="50">
        <f t="shared" si="0"/>
        <v>222879161</v>
      </c>
    </row>
    <row r="3" spans="1:48" ht="22" customHeight="1">
      <c r="N3" s="44" t="s">
        <v>204</v>
      </c>
      <c r="O3" s="50">
        <f t="shared" ref="O3:AV3" si="1">SUM(O7:O104)</f>
        <v>9986591</v>
      </c>
      <c r="P3" s="50">
        <f t="shared" si="1"/>
        <v>18245771</v>
      </c>
      <c r="Q3" s="50">
        <f t="shared" si="1"/>
        <v>18477743</v>
      </c>
      <c r="R3" s="50">
        <f t="shared" si="1"/>
        <v>13716653</v>
      </c>
      <c r="S3" s="50">
        <f t="shared" si="1"/>
        <v>13274729</v>
      </c>
      <c r="T3" s="50">
        <f t="shared" si="1"/>
        <v>13260220</v>
      </c>
      <c r="U3" s="50">
        <f t="shared" si="1"/>
        <v>12730012</v>
      </c>
      <c r="V3" s="50">
        <f t="shared" si="1"/>
        <v>11074936</v>
      </c>
      <c r="W3" s="50">
        <f t="shared" si="1"/>
        <v>20405499</v>
      </c>
      <c r="X3" s="50">
        <f t="shared" si="1"/>
        <v>29914661</v>
      </c>
      <c r="Y3" s="50">
        <f t="shared" si="1"/>
        <v>11892163</v>
      </c>
      <c r="Z3" s="50">
        <f t="shared" si="1"/>
        <v>1958345</v>
      </c>
      <c r="AA3" s="50">
        <f t="shared" si="1"/>
        <v>1958345</v>
      </c>
      <c r="AB3" s="50">
        <f t="shared" si="1"/>
        <v>1958345</v>
      </c>
      <c r="AC3" s="50">
        <f t="shared" si="1"/>
        <v>1932044</v>
      </c>
      <c r="AD3" s="50">
        <f t="shared" si="1"/>
        <v>2577005</v>
      </c>
      <c r="AE3" s="50">
        <f t="shared" si="1"/>
        <v>3183683</v>
      </c>
      <c r="AF3" s="50">
        <f t="shared" si="1"/>
        <v>2031319</v>
      </c>
      <c r="AG3" s="50">
        <f t="shared" si="1"/>
        <v>2061342</v>
      </c>
      <c r="AH3" s="50">
        <f t="shared" si="1"/>
        <v>2051380</v>
      </c>
      <c r="AI3" s="50">
        <f t="shared" si="1"/>
        <v>2044946</v>
      </c>
      <c r="AJ3" s="50">
        <f t="shared" si="1"/>
        <v>2011146</v>
      </c>
      <c r="AK3" s="50">
        <f t="shared" si="1"/>
        <v>2584111</v>
      </c>
      <c r="AL3" s="50">
        <f t="shared" si="1"/>
        <v>2795912</v>
      </c>
      <c r="AM3" s="50">
        <f t="shared" si="1"/>
        <v>2961904</v>
      </c>
      <c r="AN3" s="50">
        <f t="shared" si="1"/>
        <v>2026665</v>
      </c>
      <c r="AO3" s="50">
        <f t="shared" si="1"/>
        <v>2015929</v>
      </c>
      <c r="AP3" s="50">
        <f t="shared" si="1"/>
        <v>2010529</v>
      </c>
      <c r="AQ3" s="50">
        <f t="shared" ref="AQ3:AU3" si="2">SUM(AQ7:AQ104)</f>
        <v>1975461</v>
      </c>
      <c r="AR3" s="50">
        <f t="shared" si="2"/>
        <v>2636377</v>
      </c>
      <c r="AS3" s="50">
        <f t="shared" si="2"/>
        <v>3127121</v>
      </c>
      <c r="AT3" s="50">
        <f t="shared" si="2"/>
        <v>1999137</v>
      </c>
      <c r="AU3" s="50">
        <f t="shared" si="2"/>
        <v>1999137</v>
      </c>
      <c r="AV3" s="50">
        <f t="shared" si="1"/>
        <v>222879161</v>
      </c>
    </row>
    <row r="4" spans="1:48" ht="22" customHeight="1"/>
    <row r="5" spans="1:48" ht="22" customHeight="1">
      <c r="E5" s="44" t="s">
        <v>205</v>
      </c>
      <c r="F5" s="44" t="s">
        <v>205</v>
      </c>
      <c r="G5" s="44" t="s">
        <v>224</v>
      </c>
      <c r="H5" s="44" t="s">
        <v>206</v>
      </c>
      <c r="I5" s="44" t="s">
        <v>206</v>
      </c>
      <c r="J5" s="44" t="s">
        <v>206</v>
      </c>
      <c r="K5" s="15" t="s">
        <v>217</v>
      </c>
      <c r="L5" s="15" t="s">
        <v>215</v>
      </c>
      <c r="M5" s="15" t="s">
        <v>216</v>
      </c>
      <c r="N5" s="15" t="s">
        <v>206</v>
      </c>
      <c r="O5" s="19" t="str">
        <f t="shared" ref="O5:AU5" si="3">CHOOSE(WEEKDAY(O6,2),"月","火","水","木","金","土","日")</f>
        <v>金</v>
      </c>
      <c r="P5" s="19" t="str">
        <f t="shared" si="3"/>
        <v>土</v>
      </c>
      <c r="Q5" s="19" t="str">
        <f t="shared" si="3"/>
        <v>日</v>
      </c>
      <c r="R5" s="19" t="str">
        <f t="shared" si="3"/>
        <v>月</v>
      </c>
      <c r="S5" s="19" t="str">
        <f t="shared" si="3"/>
        <v>火</v>
      </c>
      <c r="T5" s="19" t="str">
        <f t="shared" si="3"/>
        <v>水</v>
      </c>
      <c r="U5" s="19" t="str">
        <f t="shared" si="3"/>
        <v>木</v>
      </c>
      <c r="V5" s="19" t="str">
        <f t="shared" si="3"/>
        <v>金</v>
      </c>
      <c r="W5" s="19" t="str">
        <f t="shared" si="3"/>
        <v>土</v>
      </c>
      <c r="X5" s="19" t="str">
        <f t="shared" si="3"/>
        <v>日</v>
      </c>
      <c r="Y5" s="19" t="str">
        <f t="shared" si="3"/>
        <v>月</v>
      </c>
      <c r="Z5" s="19" t="str">
        <f t="shared" si="3"/>
        <v>火</v>
      </c>
      <c r="AA5" s="19" t="str">
        <f t="shared" si="3"/>
        <v>水</v>
      </c>
      <c r="AB5" s="19" t="str">
        <f t="shared" si="3"/>
        <v>木</v>
      </c>
      <c r="AC5" s="19" t="str">
        <f t="shared" si="3"/>
        <v>金</v>
      </c>
      <c r="AD5" s="19" t="str">
        <f t="shared" si="3"/>
        <v>土</v>
      </c>
      <c r="AE5" s="19" t="str">
        <f t="shared" si="3"/>
        <v>日</v>
      </c>
      <c r="AF5" s="19" t="str">
        <f t="shared" si="3"/>
        <v>月</v>
      </c>
      <c r="AG5" s="19" t="str">
        <f t="shared" si="3"/>
        <v>火</v>
      </c>
      <c r="AH5" s="19" t="str">
        <f t="shared" si="3"/>
        <v>水</v>
      </c>
      <c r="AI5" s="19" t="str">
        <f t="shared" si="3"/>
        <v>木</v>
      </c>
      <c r="AJ5" s="19" t="str">
        <f t="shared" si="3"/>
        <v>金</v>
      </c>
      <c r="AK5" s="19" t="str">
        <f t="shared" si="3"/>
        <v>土</v>
      </c>
      <c r="AL5" s="19" t="str">
        <f t="shared" si="3"/>
        <v>日</v>
      </c>
      <c r="AM5" s="19" t="str">
        <f t="shared" si="3"/>
        <v>月</v>
      </c>
      <c r="AN5" s="19" t="str">
        <f t="shared" si="3"/>
        <v>火</v>
      </c>
      <c r="AO5" s="19" t="str">
        <f t="shared" si="3"/>
        <v>水</v>
      </c>
      <c r="AP5" s="19" t="str">
        <f t="shared" si="3"/>
        <v>木</v>
      </c>
      <c r="AQ5" s="19" t="str">
        <f t="shared" si="3"/>
        <v>金</v>
      </c>
      <c r="AR5" s="19" t="str">
        <f t="shared" si="3"/>
        <v>土</v>
      </c>
      <c r="AS5" s="19" t="str">
        <f t="shared" si="3"/>
        <v>日</v>
      </c>
      <c r="AT5" s="19" t="str">
        <f t="shared" si="3"/>
        <v>月</v>
      </c>
      <c r="AU5" s="19" t="str">
        <f t="shared" si="3"/>
        <v>火</v>
      </c>
      <c r="AV5" s="14"/>
    </row>
    <row r="6" spans="1:48" ht="22" customHeight="1">
      <c r="A6" s="18" t="s">
        <v>13</v>
      </c>
      <c r="B6" s="18" t="s">
        <v>14</v>
      </c>
      <c r="C6" s="18" t="s">
        <v>207</v>
      </c>
      <c r="D6" s="18" t="s">
        <v>245</v>
      </c>
      <c r="E6" s="18" t="s">
        <v>208</v>
      </c>
      <c r="F6" s="18" t="s">
        <v>208</v>
      </c>
      <c r="G6" s="18" t="s">
        <v>209</v>
      </c>
      <c r="H6" s="18" t="s">
        <v>210</v>
      </c>
      <c r="I6" s="18" t="s">
        <v>208</v>
      </c>
      <c r="J6" s="18" t="s">
        <v>209</v>
      </c>
      <c r="K6" s="18" t="s">
        <v>3</v>
      </c>
      <c r="L6" s="18" t="s">
        <v>3</v>
      </c>
      <c r="M6" s="18" t="s">
        <v>3</v>
      </c>
      <c r="N6" s="18" t="s">
        <v>3</v>
      </c>
      <c r="O6" s="17">
        <f>'件数(合算）'!P7</f>
        <v>46283</v>
      </c>
      <c r="P6" s="17">
        <f>'件数(合算）'!Q7</f>
        <v>46284</v>
      </c>
      <c r="Q6" s="17">
        <f>'件数(合算）'!R7</f>
        <v>46285</v>
      </c>
      <c r="R6" s="17">
        <f>'件数(合算）'!S7</f>
        <v>46286</v>
      </c>
      <c r="S6" s="17">
        <f>'件数(合算）'!T7</f>
        <v>46287</v>
      </c>
      <c r="T6" s="17">
        <f>'件数(合算）'!U7</f>
        <v>46288</v>
      </c>
      <c r="U6" s="17">
        <f>'件数(合算）'!V7</f>
        <v>46289</v>
      </c>
      <c r="V6" s="17">
        <f>'件数(合算）'!W7</f>
        <v>46290</v>
      </c>
      <c r="W6" s="17">
        <f>'件数(合算）'!X7</f>
        <v>46291</v>
      </c>
      <c r="X6" s="17">
        <f>'件数(合算）'!Y7</f>
        <v>46292</v>
      </c>
      <c r="Y6" s="17">
        <f>'件数(合算）'!Z7</f>
        <v>46293</v>
      </c>
      <c r="Z6" s="17">
        <f>'件数(合算）'!AA7</f>
        <v>46294</v>
      </c>
      <c r="AA6" s="17">
        <f>'件数(合算）'!AB7</f>
        <v>46295</v>
      </c>
      <c r="AB6" s="17">
        <f>'件数(合算）'!AC7</f>
        <v>46296</v>
      </c>
      <c r="AC6" s="17">
        <f>'件数(合算）'!AD7</f>
        <v>46297</v>
      </c>
      <c r="AD6" s="17">
        <f>'件数(合算）'!AE7</f>
        <v>46298</v>
      </c>
      <c r="AE6" s="17">
        <f>'件数(合算）'!AF7</f>
        <v>46299</v>
      </c>
      <c r="AF6" s="17">
        <f>'件数(合算）'!AG7</f>
        <v>46300</v>
      </c>
      <c r="AG6" s="17">
        <f>'件数(合算）'!AH7</f>
        <v>46301</v>
      </c>
      <c r="AH6" s="17">
        <f>'件数(合算）'!AI7</f>
        <v>46302</v>
      </c>
      <c r="AI6" s="17">
        <f>'件数(合算）'!AJ7</f>
        <v>46303</v>
      </c>
      <c r="AJ6" s="17">
        <f>'件数(合算）'!AK7</f>
        <v>46304</v>
      </c>
      <c r="AK6" s="17">
        <f>'件数(合算）'!AL7</f>
        <v>46305</v>
      </c>
      <c r="AL6" s="17">
        <f>'件数(合算）'!AM7</f>
        <v>46306</v>
      </c>
      <c r="AM6" s="17">
        <f>'件数(合算）'!AN7</f>
        <v>46307</v>
      </c>
      <c r="AN6" s="17">
        <f>'件数(合算）'!AO7</f>
        <v>46308</v>
      </c>
      <c r="AO6" s="17">
        <f>'件数(合算）'!AP7</f>
        <v>46309</v>
      </c>
      <c r="AP6" s="17">
        <f>'件数(合算）'!AQ7</f>
        <v>46310</v>
      </c>
      <c r="AQ6" s="17">
        <f>'件数(合算）'!AR7</f>
        <v>46311</v>
      </c>
      <c r="AR6" s="17">
        <f>'件数(合算）'!AS7</f>
        <v>46312</v>
      </c>
      <c r="AS6" s="17">
        <f>'件数(合算）'!AT7</f>
        <v>46313</v>
      </c>
      <c r="AT6" s="17">
        <f>'件数(合算）'!AU7</f>
        <v>46314</v>
      </c>
      <c r="AU6" s="17">
        <f>'件数(合算）'!AV7</f>
        <v>46315</v>
      </c>
      <c r="AV6" s="14" t="s">
        <v>8</v>
      </c>
    </row>
    <row r="7" spans="1:48" ht="22" customHeight="1">
      <c r="A7" s="26">
        <v>250381</v>
      </c>
      <c r="B7" s="27" t="s">
        <v>36</v>
      </c>
      <c r="C7" s="25" t="s">
        <v>212</v>
      </c>
      <c r="D7" s="25" t="s">
        <v>212</v>
      </c>
      <c r="E7" s="5">
        <v>15000</v>
      </c>
      <c r="F7" s="5">
        <f>'件数(合算）'!F8</f>
        <v>15000</v>
      </c>
      <c r="G7" s="5">
        <f>'件数(合算）'!G8</f>
        <v>18000</v>
      </c>
      <c r="K7" s="4">
        <f>'件数(合算）'!K8</f>
        <v>0.58446455505279038</v>
      </c>
      <c r="L7" s="4">
        <f>'件数(合算）'!K8</f>
        <v>0.58446455505279038</v>
      </c>
      <c r="M7" s="4">
        <f>'件数(合算）'!K8</f>
        <v>0.58446455505279038</v>
      </c>
      <c r="N7" s="4">
        <f>'件数(合算）'!K8</f>
        <v>0.58446455505279038</v>
      </c>
      <c r="O7" s="5">
        <f>ROUND('件数(合算）'!P8*'件数(合算）'!K8*$G7,0)</f>
        <v>2083032</v>
      </c>
      <c r="P7" s="5">
        <f>ROUND('件数(合算）'!Q8*'件数(合算）'!K8*$G7,0)</f>
        <v>4029299</v>
      </c>
      <c r="Q7" s="5">
        <f>ROUND('件数(合算）'!R8*'件数(合算）'!K8*$G7,0)</f>
        <v>3482240</v>
      </c>
      <c r="R7" s="5">
        <f>ROUND('件数(合算）'!S8*'件数(合算）'!K8*$G7,0)</f>
        <v>2293439</v>
      </c>
      <c r="S7" s="5">
        <f>ROUND('件数(合算）'!T8*'件数(合算）'!K8*$G7,0)</f>
        <v>2777376</v>
      </c>
      <c r="T7" s="5">
        <f>ROUND('件数(合算）'!U8*'件数(合算）'!K8*$G7,0)</f>
        <v>2398643</v>
      </c>
      <c r="U7" s="5">
        <f>ROUND('件数(合算）'!V8*'件数(合算）'!K8*$G7,0)</f>
        <v>2198756</v>
      </c>
      <c r="V7" s="5">
        <f>ROUND('件数(合算）'!W8*'件数(合算）'!K8*$G7,0)</f>
        <v>1798982</v>
      </c>
      <c r="W7" s="5">
        <f>ROUND('件数(合算）'!X8*'件数(合算）'!K8*$G7,0)</f>
        <v>3471719</v>
      </c>
      <c r="X7" s="5">
        <f>ROUND('件数(合算）'!Y8*'件数(合算）'!K8*$G7,0)</f>
        <v>5712557</v>
      </c>
      <c r="Y7" s="5">
        <f>ROUND('件数(合算）'!Z8*'件数(合算）'!K8*$G7,0)</f>
        <v>2367081</v>
      </c>
      <c r="Z7" s="5">
        <f>ROUND('件数(合算）'!AA8*'件数(合算）'!K8*$F7,0)</f>
        <v>464649</v>
      </c>
      <c r="AA7" s="5">
        <f>ROUND('件数(合算）'!AB8*'件数(合算）'!K8*$F7,0)</f>
        <v>464649</v>
      </c>
      <c r="AB7" s="5">
        <f>ROUND('件数(合算）'!AC8*'件数(合算）'!K8*$F7,0)</f>
        <v>464649</v>
      </c>
      <c r="AC7" s="5">
        <f>ROUND('件数(合算）'!AD8*'件数(合算）'!K8*$F7,0)</f>
        <v>438348</v>
      </c>
      <c r="AD7" s="5">
        <f>ROUND('件数(合算）'!AE8*'件数(合算）'!K8*$F7,0)</f>
        <v>578620</v>
      </c>
      <c r="AE7" s="5">
        <f>ROUND('件数(合算）'!AF8*'件数(合算）'!K8*$F7,0)</f>
        <v>780260</v>
      </c>
      <c r="AF7" s="5">
        <f>ROUND('件数(合算）'!AG8*'件数(合算）'!K8*$E7,0)</f>
        <v>464649</v>
      </c>
      <c r="AG7" s="5">
        <f>ROUND('件数(合算）'!AH8*'件数(合算）'!K8*$E7,0)</f>
        <v>464649</v>
      </c>
      <c r="AH7" s="5">
        <f>ROUND('件数(合算）'!AI8*'件数(合算）'!K8*$E7,0)</f>
        <v>464649</v>
      </c>
      <c r="AI7" s="5">
        <f>ROUND('件数(合算）'!AJ8*'件数(合算）'!K8*$E7,0)</f>
        <v>464649</v>
      </c>
      <c r="AJ7" s="5">
        <f>ROUND('件数(合算）'!AK8*'件数(合算）'!K8*$E7,0)</f>
        <v>438348</v>
      </c>
      <c r="AK7" s="5">
        <f>ROUND('件数(合算）'!AL8*'件数(合算）'!K8*$F7,0)</f>
        <v>578620</v>
      </c>
      <c r="AL7" s="5">
        <f>ROUND('件数(合算）'!AM8*'件数(合算）'!K8*$F7,0)</f>
        <v>666290</v>
      </c>
      <c r="AM7" s="5">
        <f>ROUND('件数(合算）'!AN8*'件数(合算）'!K8*$E7,0)</f>
        <v>727658</v>
      </c>
      <c r="AN7" s="5">
        <f>ROUND('件数(合算）'!AO8*'件数(合算）'!K8*$E7,0)</f>
        <v>473416</v>
      </c>
      <c r="AO7" s="5">
        <f>ROUND('件数(合算）'!AP8*'件数(合算）'!K8*$E7,0)</f>
        <v>473416</v>
      </c>
      <c r="AP7" s="5">
        <f>ROUND('件数(合算）'!AQ8*'件数(合算）'!K8*$E7,0)</f>
        <v>473416</v>
      </c>
      <c r="AQ7" s="5">
        <f>ROUND('件数(合算）'!AR8*'件数(合算）'!K8*$E7,0)</f>
        <v>438348</v>
      </c>
      <c r="AR7" s="5">
        <f>ROUND('件数(合算）'!AS8*'件数(合算）'!K8*$E7,0)</f>
        <v>578620</v>
      </c>
      <c r="AS7" s="5">
        <f>ROUND('件数(合算）'!AT8*'件数(合算）'!K8*$E7,0)</f>
        <v>780260</v>
      </c>
      <c r="AT7" s="5">
        <f>ROUND('件数(合算）'!AU8*'件数(合算）'!K8*$E7,0)</f>
        <v>473416</v>
      </c>
      <c r="AU7" s="5">
        <f>ROUND('件数(合算）'!AV8*'件数(合算）'!K8*$E7,0)</f>
        <v>473416</v>
      </c>
      <c r="AV7" s="12">
        <f t="shared" ref="AV7:AV38" si="4">SUM(O7:AU7)</f>
        <v>44238119</v>
      </c>
    </row>
    <row r="8" spans="1:48" ht="22" customHeight="1">
      <c r="A8" s="34">
        <v>162253</v>
      </c>
      <c r="B8" s="35" t="s">
        <v>40</v>
      </c>
      <c r="C8" s="32" t="s">
        <v>212</v>
      </c>
      <c r="D8" s="32" t="s">
        <v>212</v>
      </c>
      <c r="E8" s="49">
        <v>15000</v>
      </c>
      <c r="F8" s="49">
        <f>'件数(合算）'!F9</f>
        <v>15000</v>
      </c>
      <c r="G8" s="49">
        <f>'件数(合算）'!G9</f>
        <v>19000</v>
      </c>
      <c r="K8" s="37">
        <f>'件数(合算）'!K9</f>
        <v>0.73449131513647647</v>
      </c>
      <c r="L8" s="37">
        <f>'件数(合算）'!K9</f>
        <v>0.73449131513647647</v>
      </c>
      <c r="M8" s="37">
        <f>'件数(合算）'!K9</f>
        <v>0.73449131513647647</v>
      </c>
      <c r="N8" s="37">
        <f>'件数(合算）'!K9</f>
        <v>0.73449131513647647</v>
      </c>
      <c r="O8" s="49">
        <f>ROUND('件数(合算）'!P9*'件数(合算）'!K9*$G8,0)</f>
        <v>1479266</v>
      </c>
      <c r="P8" s="49">
        <f>ROUND('件数(合算）'!Q9*'件数(合算）'!K9*$G8,0)</f>
        <v>2260764</v>
      </c>
      <c r="Q8" s="49">
        <f>ROUND('件数(合算）'!R9*'件数(合算）'!K9*$G8,0)</f>
        <v>2581737</v>
      </c>
      <c r="R8" s="49">
        <f>ROUND('件数(合算）'!S9*'件数(合算）'!K9*$G8,0)</f>
        <v>1367623</v>
      </c>
      <c r="S8" s="49">
        <f>ROUND('件数(合算）'!T9*'件数(合算）'!K9*$G8,0)</f>
        <v>1521132</v>
      </c>
      <c r="T8" s="49">
        <f>ROUND('件数(合算）'!U9*'件数(合算）'!K9*$G8,0)</f>
        <v>1562998</v>
      </c>
      <c r="U8" s="49">
        <f>ROUND('件数(合算）'!V9*'件数(合算）'!K9*$G8,0)</f>
        <v>1311801</v>
      </c>
      <c r="V8" s="49">
        <f>ROUND('件数(合算）'!W9*'件数(合算）'!K9*$G8,0)</f>
        <v>1507176</v>
      </c>
      <c r="W8" s="49">
        <f>ROUND('件数(合算）'!X9*'件数(合算）'!K9*$G8,0)</f>
        <v>1995613</v>
      </c>
      <c r="X8" s="49">
        <f>ROUND('件数(合算）'!Y9*'件数(合算）'!K9*$G8,0)</f>
        <v>3502789</v>
      </c>
      <c r="Y8" s="49">
        <f>ROUND('件数(合算）'!Z9*'件数(合算）'!K9*$G8,0)</f>
        <v>1842104</v>
      </c>
      <c r="Z8" s="49">
        <f>ROUND('件数(合算）'!AA9*'件数(合算）'!K9*$F8,0)</f>
        <v>440695</v>
      </c>
      <c r="AA8" s="49">
        <f>ROUND('件数(合算）'!AB9*'件数(合算）'!K9*$F8,0)</f>
        <v>440695</v>
      </c>
      <c r="AB8" s="49">
        <f>ROUND('件数(合算）'!AC9*'件数(合算）'!K9*$F8,0)</f>
        <v>440695</v>
      </c>
      <c r="AC8" s="49">
        <f>ROUND('件数(合算）'!AD9*'件数(合算）'!K9*$F8,0)</f>
        <v>440695</v>
      </c>
      <c r="AD8" s="49">
        <f>ROUND('件数(合算）'!AE9*'件数(合算）'!K9*$F8,0)</f>
        <v>749181</v>
      </c>
      <c r="AE8" s="49">
        <f>ROUND('件数(合算）'!AF9*'件数(合算）'!K9*$F8,0)</f>
        <v>969529</v>
      </c>
      <c r="AF8" s="49">
        <f>ROUND('件数(合算）'!AG9*'件数(合算）'!K9*$E8,0)</f>
        <v>495782</v>
      </c>
      <c r="AG8" s="49">
        <f>ROUND('件数(合算）'!AH9*'件数(合算）'!K9*$E8,0)</f>
        <v>495782</v>
      </c>
      <c r="AH8" s="49">
        <f>ROUND('件数(合算）'!AI9*'件数(合算）'!K9*$E8,0)</f>
        <v>495782</v>
      </c>
      <c r="AI8" s="49">
        <f>ROUND('件数(合算）'!AJ9*'件数(合算）'!K9*$E8,0)</f>
        <v>495782</v>
      </c>
      <c r="AJ8" s="49">
        <f>ROUND('件数(合算）'!AK9*'件数(合算）'!K9*$E8,0)</f>
        <v>495782</v>
      </c>
      <c r="AK8" s="49">
        <f>ROUND('件数(合算）'!AL9*'件数(合算）'!K9*$F8,0)</f>
        <v>716129</v>
      </c>
      <c r="AL8" s="49">
        <f>ROUND('件数(合算）'!AM9*'件数(合算）'!K9*$F8,0)</f>
        <v>771216</v>
      </c>
      <c r="AM8" s="49">
        <f>ROUND('件数(合算）'!AN9*'件数(合算）'!K9*$E8,0)</f>
        <v>947494</v>
      </c>
      <c r="AN8" s="49">
        <f>ROUND('件数(合算）'!AO9*'件数(合算）'!K9*$E8,0)</f>
        <v>495782</v>
      </c>
      <c r="AO8" s="49">
        <f>ROUND('件数(合算）'!AP9*'件数(合算）'!K9*$E8,0)</f>
        <v>495782</v>
      </c>
      <c r="AP8" s="49">
        <f>ROUND('件数(合算）'!AQ9*'件数(合算）'!K9*$E8,0)</f>
        <v>495782</v>
      </c>
      <c r="AQ8" s="49">
        <f>ROUND('件数(合算）'!AR9*'件数(合算）'!K9*$E8,0)</f>
        <v>495782</v>
      </c>
      <c r="AR8" s="49">
        <f>ROUND('件数(合算）'!AS9*'件数(合算）'!K9*$E8,0)</f>
        <v>826303</v>
      </c>
      <c r="AS8" s="49">
        <f>ROUND('件数(合算）'!AT9*'件数(合算）'!K9*$E8,0)</f>
        <v>969529</v>
      </c>
      <c r="AT8" s="49">
        <f>ROUND('件数(合算）'!AU9*'件数(合算）'!K9*$E8,0)</f>
        <v>495782</v>
      </c>
      <c r="AU8" s="49">
        <f>ROUND('件数(合算）'!AV9*'件数(合算）'!K9*$E8,0)</f>
        <v>495782</v>
      </c>
      <c r="AV8" s="12">
        <f t="shared" si="4"/>
        <v>34098766</v>
      </c>
    </row>
    <row r="9" spans="1:48" ht="22" customHeight="1">
      <c r="A9" s="26">
        <v>391434</v>
      </c>
      <c r="B9" s="27" t="s">
        <v>42</v>
      </c>
      <c r="C9" s="25" t="s">
        <v>212</v>
      </c>
      <c r="D9" s="25" t="s">
        <v>212</v>
      </c>
      <c r="E9" s="5">
        <f>'件数(合算）'!E10</f>
        <v>13000</v>
      </c>
      <c r="F9" s="5">
        <f>'件数(合算）'!F10</f>
        <v>13000</v>
      </c>
      <c r="G9" s="5">
        <f>'件数(合算）'!G10</f>
        <v>21500</v>
      </c>
      <c r="K9" s="4">
        <f>'件数(合算）'!K10</f>
        <v>0.56428571428571428</v>
      </c>
      <c r="L9" s="4">
        <f>'件数(合算）'!K10</f>
        <v>0.56428571428571428</v>
      </c>
      <c r="M9" s="4">
        <f>'件数(合算）'!K10</f>
        <v>0.56428571428571428</v>
      </c>
      <c r="N9" s="4">
        <f>'件数(合算）'!K10</f>
        <v>0.56428571428571428</v>
      </c>
      <c r="O9" s="5">
        <f>ROUND('件数(合算）'!P10*'件数(合算）'!K10*$G9,0)</f>
        <v>4173457</v>
      </c>
      <c r="P9" s="5">
        <f>ROUND('件数(合算）'!Q10*'件数(合算）'!K10*$G9,0)</f>
        <v>8844332</v>
      </c>
      <c r="Q9" s="5">
        <f>ROUND('件数(合算）'!R10*'件数(合算）'!K10*$G9,0)</f>
        <v>8504632</v>
      </c>
      <c r="R9" s="5">
        <f>ROUND('件数(合算）'!S10*'件数(合算）'!K10*$G9,0)</f>
        <v>7145832</v>
      </c>
      <c r="S9" s="5">
        <f>ROUND('件数(合算）'!T10*'件数(合算）'!K10*$G9,0)</f>
        <v>5871957</v>
      </c>
      <c r="T9" s="5">
        <f>ROUND('件数(合算）'!U10*'件数(合算）'!K10*$G9,0)</f>
        <v>6041807</v>
      </c>
      <c r="U9" s="5">
        <f>ROUND('件数(合算）'!V10*'件数(合算）'!K10*$G9,0)</f>
        <v>6260186</v>
      </c>
      <c r="V9" s="5">
        <f>ROUND('件数(合算）'!W10*'件数(合算）'!K10*$G9,0)</f>
        <v>5046971</v>
      </c>
      <c r="W9" s="5">
        <f>ROUND('件数(合算）'!X10*'件数(合算）'!K10*$G9,0)</f>
        <v>11537668</v>
      </c>
      <c r="X9" s="5">
        <f>ROUND('件数(合算）'!Y10*'件数(合算）'!K10*$G9,0)</f>
        <v>15735389</v>
      </c>
      <c r="Y9" s="5">
        <f>ROUND('件数(合算）'!Z10*'件数(合算）'!K10*$G9,0)</f>
        <v>5156161</v>
      </c>
      <c r="Z9" s="5">
        <f>ROUND('件数(合算）'!AA10*'件数(合算）'!K10*$F9,0)</f>
        <v>95364</v>
      </c>
      <c r="AA9" s="5">
        <f>ROUND('件数(合算）'!AB10*'件数(合算）'!K10*$F9,0)</f>
        <v>95364</v>
      </c>
      <c r="AB9" s="5">
        <f>ROUND('件数(合算）'!AC10*'件数(合算）'!K10*$F9,0)</f>
        <v>95364</v>
      </c>
      <c r="AC9" s="5">
        <f>ROUND('件数(合算）'!AD10*'件数(合算）'!K10*$F9,0)</f>
        <v>95364</v>
      </c>
      <c r="AD9" s="5">
        <f>ROUND('件数(合算）'!AE10*'件数(合算）'!K10*$F9,0)</f>
        <v>102700</v>
      </c>
      <c r="AE9" s="5">
        <f>ROUND('件数(合算）'!AF10*'件数(合算）'!K10*$F9,0)</f>
        <v>146714</v>
      </c>
      <c r="AF9" s="5">
        <f>ROUND('件数(合算）'!AG10*'件数(合算）'!K10*$E9,0)</f>
        <v>95364</v>
      </c>
      <c r="AG9" s="5">
        <f>ROUND('件数(合算）'!AH10*'件数(合算）'!K10*$E9,0)</f>
        <v>95364</v>
      </c>
      <c r="AH9" s="5">
        <f>ROUND('件数(合算）'!AI10*'件数(合算）'!K10*$E9,0)</f>
        <v>95364</v>
      </c>
      <c r="AI9" s="5">
        <f>ROUND('件数(合算）'!AJ10*'件数(合算）'!K10*$E9,0)</f>
        <v>95364</v>
      </c>
      <c r="AJ9" s="5">
        <f>ROUND('件数(合算）'!AK10*'件数(合算）'!K10*$E9,0)</f>
        <v>95364</v>
      </c>
      <c r="AK9" s="5">
        <f>ROUND('件数(合算）'!AL10*'件数(合算）'!K10*$F9,0)</f>
        <v>146714</v>
      </c>
      <c r="AL9" s="5">
        <f>ROUND('件数(合算）'!AM10*'件数(合算）'!K10*$F9,0)</f>
        <v>146714</v>
      </c>
      <c r="AM9" s="5">
        <f>ROUND('件数(合算）'!AN10*'件数(合算）'!K10*$E9,0)</f>
        <v>168721</v>
      </c>
      <c r="AN9" s="5">
        <f>ROUND('件数(合算）'!AO10*'件数(合算）'!K10*$E9,0)</f>
        <v>95364</v>
      </c>
      <c r="AO9" s="5">
        <f>ROUND('件数(合算）'!AP10*'件数(合算）'!K10*$E9,0)</f>
        <v>95364</v>
      </c>
      <c r="AP9" s="5">
        <f>ROUND('件数(合算）'!AQ10*'件数(合算）'!K10*$E9,0)</f>
        <v>95364</v>
      </c>
      <c r="AQ9" s="5">
        <f>ROUND('件数(合算）'!AR10*'件数(合算）'!K10*$E9,0)</f>
        <v>95364</v>
      </c>
      <c r="AR9" s="5">
        <f>ROUND('件数(合算）'!AS10*'件数(合算）'!K10*$E9,0)</f>
        <v>102700</v>
      </c>
      <c r="AS9" s="5">
        <f>ROUND('件数(合算）'!AT10*'件数(合算）'!K10*$E9,0)</f>
        <v>146714</v>
      </c>
      <c r="AT9" s="5">
        <f>ROUND('件数(合算）'!AU10*'件数(合算）'!K10*$E9,0)</f>
        <v>95364</v>
      </c>
      <c r="AU9" s="5">
        <f>ROUND('件数(合算）'!AV10*'件数(合算）'!K10*$E9,0)</f>
        <v>95364</v>
      </c>
      <c r="AV9" s="12">
        <f t="shared" si="4"/>
        <v>86709829</v>
      </c>
    </row>
    <row r="10" spans="1:48" ht="22" customHeight="1">
      <c r="A10" s="34">
        <v>374455</v>
      </c>
      <c r="B10" s="35" t="s">
        <v>44</v>
      </c>
      <c r="C10" s="32" t="s">
        <v>212</v>
      </c>
      <c r="D10" s="39"/>
      <c r="E10" s="49">
        <v>12000</v>
      </c>
      <c r="F10" s="49">
        <v>12000</v>
      </c>
      <c r="G10" s="49">
        <f>'件数(合算）'!G11</f>
        <v>15000</v>
      </c>
      <c r="K10" s="37">
        <f>'件数(合算）'!K11</f>
        <v>0.60776942355889729</v>
      </c>
      <c r="L10" s="37">
        <f>'件数(合算）'!K11</f>
        <v>0.60776942355889729</v>
      </c>
      <c r="M10" s="37">
        <f>'件数(合算）'!K11</f>
        <v>0.60776942355889729</v>
      </c>
      <c r="N10" s="37">
        <f>'件数(合算）'!K11</f>
        <v>0.60776942355889729</v>
      </c>
      <c r="O10" s="49">
        <f>ROUND('件数(合算）'!P11*'件数(合算）'!K11*$G10,0)</f>
        <v>382895</v>
      </c>
      <c r="P10" s="49">
        <f>ROUND('件数(合算）'!Q11*'件数(合算）'!K11*$G10,0)</f>
        <v>474060</v>
      </c>
      <c r="Q10" s="49">
        <f>ROUND('件数(合算）'!R11*'件数(合算）'!K11*$G10,0)</f>
        <v>592575</v>
      </c>
      <c r="R10" s="49">
        <f>ROUND('件数(合算）'!S11*'件数(合算）'!K11*$G10,0)</f>
        <v>392011</v>
      </c>
      <c r="S10" s="49">
        <f>ROUND('件数(合算）'!T11*'件数(合算）'!K11*$G10,0)</f>
        <v>474060</v>
      </c>
      <c r="T10" s="49">
        <f>ROUND('件数(合算）'!U11*'件数(合算）'!K11*$G10,0)</f>
        <v>464944</v>
      </c>
      <c r="U10" s="49">
        <f>ROUND('件数(合算）'!V11*'件数(合算）'!K11*$G10,0)</f>
        <v>674624</v>
      </c>
      <c r="V10" s="49">
        <f>ROUND('件数(合算）'!W11*'件数(合算）'!K11*$G10,0)</f>
        <v>392011</v>
      </c>
      <c r="W10" s="49">
        <f>ROUND('件数(合算）'!X11*'件数(合算）'!K11*$G10,0)</f>
        <v>519643</v>
      </c>
      <c r="X10" s="49">
        <f>ROUND('件数(合算）'!Y11*'件数(合算）'!K11*$G10,0)</f>
        <v>1030169</v>
      </c>
      <c r="Y10" s="49">
        <f>ROUND('件数(合算）'!Z11*'件数(合算）'!K11*$G10,0)</f>
        <v>528759</v>
      </c>
      <c r="Z10" s="49">
        <f>ROUND('件数(合算）'!AA11*'件数(合算）'!K11*$F10,0)</f>
        <v>160451</v>
      </c>
      <c r="AA10" s="49">
        <f>ROUND('件数(合算）'!AB11*'件数(合算）'!K11*$F10,0)</f>
        <v>160451</v>
      </c>
      <c r="AB10" s="49">
        <f>ROUND('件数(合算）'!AC11*'件数(合算）'!K11*$F10,0)</f>
        <v>160451</v>
      </c>
      <c r="AC10" s="49">
        <f>ROUND('件数(合算）'!AD11*'件数(合算）'!K11*$F10,0)</f>
        <v>160451</v>
      </c>
      <c r="AD10" s="49">
        <f>ROUND('件数(合算）'!AE11*'件数(合算）'!K11*$F10,0)</f>
        <v>189624</v>
      </c>
      <c r="AE10" s="49">
        <f>ROUND('件数(合算）'!AF11*'件数(合算）'!K11*$F10,0)</f>
        <v>204211</v>
      </c>
      <c r="AF10" s="49">
        <f>ROUND('件数(合算）'!AG11*'件数(合算）'!K11*$E10,0)</f>
        <v>160451</v>
      </c>
      <c r="AG10" s="49">
        <f>ROUND('件数(合算）'!AH11*'件数(合算）'!K11*$E10,0)</f>
        <v>160451</v>
      </c>
      <c r="AH10" s="49">
        <f>ROUND('件数(合算）'!AI11*'件数(合算）'!K11*$E10,0)</f>
        <v>160451</v>
      </c>
      <c r="AI10" s="49">
        <f>ROUND('件数(合算）'!AJ11*'件数(合算）'!K11*$E10,0)</f>
        <v>160451</v>
      </c>
      <c r="AJ10" s="49">
        <f>ROUND('件数(合算）'!AK11*'件数(合算）'!K11*$E10,0)</f>
        <v>160451</v>
      </c>
      <c r="AK10" s="49">
        <f>ROUND('件数(合算）'!AL11*'件数(合算）'!K11*$F10,0)</f>
        <v>175038</v>
      </c>
      <c r="AL10" s="49">
        <f>ROUND('件数(合算）'!AM11*'件数(合算）'!K11*$F10,0)</f>
        <v>175038</v>
      </c>
      <c r="AM10" s="49">
        <f>ROUND('件数(合算）'!AN11*'件数(合算）'!K11*$E10,0)</f>
        <v>175038</v>
      </c>
      <c r="AN10" s="49">
        <f>ROUND('件数(合算）'!AO11*'件数(合算）'!K11*$E10,0)</f>
        <v>160451</v>
      </c>
      <c r="AO10" s="49">
        <f>ROUND('件数(合算）'!AP11*'件数(合算）'!K11*$E10,0)</f>
        <v>160451</v>
      </c>
      <c r="AP10" s="49">
        <f>ROUND('件数(合算）'!AQ11*'件数(合算）'!K11*$E10,0)</f>
        <v>160451</v>
      </c>
      <c r="AQ10" s="49">
        <f>ROUND('件数(合算）'!AR11*'件数(合算）'!K11*$E10,0)</f>
        <v>160451</v>
      </c>
      <c r="AR10" s="49">
        <f>ROUND('件数(合算）'!AS11*'件数(合算）'!K11*$E10,0)</f>
        <v>182331</v>
      </c>
      <c r="AS10" s="49">
        <f>ROUND('件数(合算）'!AT11*'件数(合算）'!K11*$E10,0)</f>
        <v>182331</v>
      </c>
      <c r="AT10" s="49">
        <f>ROUND('件数(合算）'!AU11*'件数(合算）'!K11*$E10,0)</f>
        <v>160451</v>
      </c>
      <c r="AU10" s="49">
        <f>ROUND('件数(合算）'!AV11*'件数(合算）'!K11*$E10,0)</f>
        <v>160451</v>
      </c>
      <c r="AV10" s="12">
        <f t="shared" si="4"/>
        <v>9616127</v>
      </c>
    </row>
    <row r="11" spans="1:48" ht="22" customHeight="1">
      <c r="A11" s="26">
        <v>384209</v>
      </c>
      <c r="B11" s="27" t="s">
        <v>46</v>
      </c>
      <c r="C11" s="25"/>
      <c r="D11" s="9"/>
      <c r="E11" s="5">
        <f>'件数(合算）'!E12</f>
        <v>18000</v>
      </c>
      <c r="F11" s="5">
        <f>'件数(合算）'!F12</f>
        <v>18000</v>
      </c>
      <c r="G11" s="5">
        <f>'件数(合算）'!G12</f>
        <v>18000</v>
      </c>
      <c r="K11" s="4">
        <f>'件数(合算）'!K12</f>
        <v>0.2260397830018083</v>
      </c>
      <c r="L11" s="4">
        <f>'件数(合算）'!K12</f>
        <v>0.2260397830018083</v>
      </c>
      <c r="M11" s="4">
        <f>'件数(合算）'!K12</f>
        <v>0.2260397830018083</v>
      </c>
      <c r="N11" s="4">
        <f>'件数(合算）'!K12</f>
        <v>0.2260397830018083</v>
      </c>
      <c r="O11" s="5">
        <f>ROUND('件数(合算）'!P12*'件数(合算）'!K12*$G11,0)</f>
        <v>52893</v>
      </c>
      <c r="P11" s="5">
        <f>ROUND('件数(合算）'!Q12*'件数(合算）'!K12*$G11,0)</f>
        <v>77306</v>
      </c>
      <c r="Q11" s="5">
        <f>ROUND('件数(合算）'!R12*'件数(合算）'!K12*$G11,0)</f>
        <v>85443</v>
      </c>
      <c r="R11" s="5">
        <f>ROUND('件数(合算）'!S12*'件数(合算）'!K12*$G11,0)</f>
        <v>93580</v>
      </c>
      <c r="S11" s="5">
        <f>ROUND('件数(合算）'!T12*'件数(合算）'!K12*$G11,0)</f>
        <v>89512</v>
      </c>
      <c r="T11" s="5">
        <f>ROUND('件数(合算）'!U12*'件数(合算）'!K12*$G11,0)</f>
        <v>65099</v>
      </c>
      <c r="U11" s="5">
        <f>ROUND('件数(合算）'!V12*'件数(合算）'!K12*$G11,0)</f>
        <v>69168</v>
      </c>
      <c r="V11" s="5">
        <f>ROUND('件数(合算）'!W12*'件数(合算）'!K12*$G11,0)</f>
        <v>77306</v>
      </c>
      <c r="W11" s="5">
        <f>ROUND('件数(合算）'!X12*'件数(合算）'!K12*$G11,0)</f>
        <v>97649</v>
      </c>
      <c r="X11" s="5">
        <f>ROUND('件数(合算）'!Y12*'件数(合算）'!K12*$G11,0)</f>
        <v>109855</v>
      </c>
      <c r="Y11" s="5">
        <f>ROUND('件数(合算）'!Z12*'件数(合算）'!K12*$G11,0)</f>
        <v>77306</v>
      </c>
      <c r="Z11" s="5">
        <f>ROUND('件数(合算）'!AA12*'件数(合算）'!K12*$F11,0)</f>
        <v>61031</v>
      </c>
      <c r="AA11" s="5">
        <f>ROUND('件数(合算）'!AB12*'件数(合算）'!K12*$F11,0)</f>
        <v>61031</v>
      </c>
      <c r="AB11" s="5">
        <f>ROUND('件数(合算）'!AC12*'件数(合算）'!K12*$F11,0)</f>
        <v>61031</v>
      </c>
      <c r="AC11" s="5">
        <f>ROUND('件数(合算）'!AD12*'件数(合算）'!K12*$F11,0)</f>
        <v>61031</v>
      </c>
      <c r="AD11" s="5">
        <f>ROUND('件数(合算）'!AE12*'件数(合算）'!K12*$F11,0)</f>
        <v>73237</v>
      </c>
      <c r="AE11" s="5">
        <f>ROUND('件数(合算）'!AF12*'件数(合算）'!K12*$F11,0)</f>
        <v>81374</v>
      </c>
      <c r="AF11" s="5">
        <f>ROUND('件数(合算）'!AG12*'件数(合算）'!K12*$E11,0)</f>
        <v>61031</v>
      </c>
      <c r="AG11" s="5">
        <f>ROUND('件数(合算）'!AH12*'件数(合算）'!K12*$E11,0)</f>
        <v>61031</v>
      </c>
      <c r="AH11" s="5">
        <f>ROUND('件数(合算）'!AI12*'件数(合算）'!K12*$E11,0)</f>
        <v>61031</v>
      </c>
      <c r="AI11" s="5">
        <f>ROUND('件数(合算）'!AJ12*'件数(合算）'!K12*$E11,0)</f>
        <v>61031</v>
      </c>
      <c r="AJ11" s="5">
        <f>ROUND('件数(合算）'!AK12*'件数(合算）'!K12*$E11,0)</f>
        <v>61031</v>
      </c>
      <c r="AK11" s="5">
        <f>ROUND('件数(合算）'!AL12*'件数(合算）'!K12*$F11,0)</f>
        <v>81374</v>
      </c>
      <c r="AL11" s="5">
        <f>ROUND('件数(合算）'!AM12*'件数(合算）'!K12*$F11,0)</f>
        <v>81374</v>
      </c>
      <c r="AM11" s="5">
        <f>ROUND('件数(合算）'!AN12*'件数(合算）'!K12*$E11,0)</f>
        <v>81374</v>
      </c>
      <c r="AN11" s="5">
        <f>ROUND('件数(合算）'!AO12*'件数(合算）'!K12*$E11,0)</f>
        <v>61031</v>
      </c>
      <c r="AO11" s="5">
        <f>ROUND('件数(合算）'!AP12*'件数(合算）'!K12*$E11,0)</f>
        <v>61031</v>
      </c>
      <c r="AP11" s="5">
        <f>ROUND('件数(合算）'!AQ12*'件数(合算）'!K12*$E11,0)</f>
        <v>61031</v>
      </c>
      <c r="AQ11" s="5">
        <f>ROUND('件数(合算）'!AR12*'件数(合算）'!K12*$E11,0)</f>
        <v>61031</v>
      </c>
      <c r="AR11" s="5">
        <f>ROUND('件数(合算）'!AS12*'件数(合算）'!K12*$E11,0)</f>
        <v>97649</v>
      </c>
      <c r="AS11" s="5">
        <f>ROUND('件数(合算）'!AT12*'件数(合算）'!K12*$E11,0)</f>
        <v>113924</v>
      </c>
      <c r="AT11" s="5">
        <f>ROUND('件数(合算）'!AU12*'件数(合算）'!K12*$E11,0)</f>
        <v>61031</v>
      </c>
      <c r="AU11" s="5">
        <f>ROUND('件数(合算）'!AV12*'件数(合算）'!K12*$E11,0)</f>
        <v>61031</v>
      </c>
      <c r="AV11" s="12">
        <f t="shared" si="4"/>
        <v>2420888</v>
      </c>
    </row>
    <row r="12" spans="1:48" ht="22" customHeight="1">
      <c r="A12" s="34">
        <v>388064</v>
      </c>
      <c r="B12" s="35" t="s">
        <v>49</v>
      </c>
      <c r="C12" s="32" t="s">
        <v>212</v>
      </c>
      <c r="D12" s="32" t="s">
        <v>212</v>
      </c>
      <c r="E12" s="49">
        <f>'件数(合算）'!E13</f>
        <v>14000</v>
      </c>
      <c r="F12" s="49">
        <f>'件数(合算）'!F13</f>
        <v>15000</v>
      </c>
      <c r="G12" s="49">
        <f>'件数(合算）'!G13</f>
        <v>19000</v>
      </c>
      <c r="K12" s="37">
        <f>'件数(合算）'!K13</f>
        <v>0.41410693970420931</v>
      </c>
      <c r="L12" s="37">
        <f>'件数(合算）'!K13</f>
        <v>0.41410693970420931</v>
      </c>
      <c r="M12" s="37">
        <f>'件数(合算）'!K13</f>
        <v>0.41410693970420931</v>
      </c>
      <c r="N12" s="37">
        <f>'件数(合算）'!K13</f>
        <v>0.41410693970420931</v>
      </c>
      <c r="O12" s="49">
        <f>ROUND('件数(合算）'!P13*'件数(合算）'!K13*$G12,0)</f>
        <v>668783</v>
      </c>
      <c r="P12" s="49">
        <f>ROUND('件数(合算）'!Q13*'件数(合算）'!K13*$G12,0)</f>
        <v>1306093</v>
      </c>
      <c r="Q12" s="49">
        <f>ROUND('件数(合算）'!R13*'件数(合算）'!K13*$G12,0)</f>
        <v>1864724</v>
      </c>
      <c r="R12" s="49">
        <f>ROUND('件数(合算）'!S13*'件数(合算）'!K13*$G12,0)</f>
        <v>1180205</v>
      </c>
      <c r="S12" s="49">
        <f>ROUND('件数(合算）'!T13*'件数(合算）'!K13*$G12,0)</f>
        <v>1140865</v>
      </c>
      <c r="T12" s="49">
        <f>ROUND('件数(合算）'!U13*'件数(合算）'!K13*$G12,0)</f>
        <v>1329697</v>
      </c>
      <c r="U12" s="49">
        <f>ROUND('件数(合算）'!V13*'件数(合算）'!K13*$G12,0)</f>
        <v>944164</v>
      </c>
      <c r="V12" s="49">
        <f>ROUND('件数(合算）'!W13*'件数(合算）'!K13*$G12,0)</f>
        <v>944164</v>
      </c>
      <c r="W12" s="49">
        <f>ROUND('件数(合算）'!X13*'件数(合算）'!K13*$G12,0)</f>
        <v>1376906</v>
      </c>
      <c r="X12" s="49">
        <f>ROUND('件数(合算）'!Y13*'件数(合算）'!K13*$G12,0)</f>
        <v>2242389</v>
      </c>
      <c r="Y12" s="49">
        <f>ROUND('件数(合算）'!Z13*'件数(合算）'!K13*$G12,0)</f>
        <v>771067</v>
      </c>
      <c r="Z12" s="49">
        <f>ROUND('件数(合算）'!AA13*'件数(合算）'!K13*$F12,0)</f>
        <v>173925</v>
      </c>
      <c r="AA12" s="49">
        <f>ROUND('件数(合算）'!AB13*'件数(合算）'!K13*$F12,0)</f>
        <v>173925</v>
      </c>
      <c r="AB12" s="49">
        <f>ROUND('件数(合算）'!AC13*'件数(合算）'!K13*$F12,0)</f>
        <v>173925</v>
      </c>
      <c r="AC12" s="49">
        <f>ROUND('件数(合算）'!AD13*'件数(合算）'!K13*$F12,0)</f>
        <v>173925</v>
      </c>
      <c r="AD12" s="49">
        <f>ROUND('件数(合算）'!AE13*'件数(合算）'!K13*$F12,0)</f>
        <v>236041</v>
      </c>
      <c r="AE12" s="49">
        <f>ROUND('件数(合算）'!AF13*'件数(合算）'!K13*$F12,0)</f>
        <v>285734</v>
      </c>
      <c r="AF12" s="49">
        <f>ROUND('件数(合算）'!AG13*'件数(合算）'!K13*$E12,0)</f>
        <v>185520</v>
      </c>
      <c r="AG12" s="49">
        <f>ROUND('件数(合算）'!AH13*'件数(合算）'!K13*$E12,0)</f>
        <v>197115</v>
      </c>
      <c r="AH12" s="49">
        <f>ROUND('件数(合算）'!AI13*'件数(合算）'!K13*$E12,0)</f>
        <v>197115</v>
      </c>
      <c r="AI12" s="49">
        <f>ROUND('件数(合算）'!AJ13*'件数(合算）'!K13*$E12,0)</f>
        <v>197115</v>
      </c>
      <c r="AJ12" s="49">
        <f>ROUND('件数(合算）'!AK13*'件数(合算）'!K13*$E12,0)</f>
        <v>197115</v>
      </c>
      <c r="AK12" s="49">
        <f>ROUND('件数(合算）'!AL13*'件数(合算）'!K13*$F12,0)</f>
        <v>260887</v>
      </c>
      <c r="AL12" s="49">
        <f>ROUND('件数(合算）'!AM13*'件数(合算）'!K13*$F12,0)</f>
        <v>279522</v>
      </c>
      <c r="AM12" s="49">
        <f>ROUND('件数(合算）'!AN13*'件数(合算）'!K13*$E12,0)</f>
        <v>179722</v>
      </c>
      <c r="AN12" s="49">
        <f>ROUND('件数(合算）'!AO13*'件数(合算）'!K13*$E12,0)</f>
        <v>168127</v>
      </c>
      <c r="AO12" s="49">
        <f>ROUND('件数(合算）'!AP13*'件数(合算）'!K13*$E12,0)</f>
        <v>168127</v>
      </c>
      <c r="AP12" s="49">
        <f>ROUND('件数(合算）'!AQ13*'件数(合算）'!K13*$E12,0)</f>
        <v>168127</v>
      </c>
      <c r="AQ12" s="49">
        <f>ROUND('件数(合算）'!AR13*'件数(合算）'!K13*$E12,0)</f>
        <v>168127</v>
      </c>
      <c r="AR12" s="49">
        <f>ROUND('件数(合算）'!AS13*'件数(合算）'!K13*$E12,0)</f>
        <v>226102</v>
      </c>
      <c r="AS12" s="49">
        <f>ROUND('件数(合算）'!AT13*'件数(合算）'!K13*$E12,0)</f>
        <v>243495</v>
      </c>
      <c r="AT12" s="49">
        <f>ROUND('件数(合算）'!AU13*'件数(合算）'!K13*$E12,0)</f>
        <v>168127</v>
      </c>
      <c r="AU12" s="49">
        <f>ROUND('件数(合算）'!AV13*'件数(合算）'!K13*$E12,0)</f>
        <v>168127</v>
      </c>
      <c r="AV12" s="12">
        <f t="shared" si="4"/>
        <v>18159002</v>
      </c>
    </row>
    <row r="13" spans="1:48" ht="22" customHeight="1">
      <c r="A13" s="26">
        <v>390299</v>
      </c>
      <c r="B13" s="27" t="s">
        <v>51</v>
      </c>
      <c r="C13" s="25" t="s">
        <v>212</v>
      </c>
      <c r="D13" s="9"/>
      <c r="E13" s="5">
        <f>'件数(合算）'!E14</f>
        <v>11000</v>
      </c>
      <c r="F13" s="5">
        <f>'件数(合算）'!F14</f>
        <v>12000</v>
      </c>
      <c r="G13" s="5">
        <f>'件数(合算）'!G14</f>
        <v>12000</v>
      </c>
      <c r="K13" s="4">
        <f>'件数(合算）'!K14</f>
        <v>0.51677852348993292</v>
      </c>
      <c r="L13" s="4">
        <f>'件数(合算）'!K14</f>
        <v>0.51677852348993292</v>
      </c>
      <c r="M13" s="4">
        <f>'件数(合算）'!K14</f>
        <v>0.51677852348993292</v>
      </c>
      <c r="N13" s="4">
        <f>'件数(合算）'!K14</f>
        <v>0.51677852348993292</v>
      </c>
      <c r="O13" s="5">
        <f>ROUND('件数(合算）'!P14*'件数(合算）'!K14*$G13,0)</f>
        <v>31007</v>
      </c>
      <c r="P13" s="5">
        <f>ROUND('件数(合算）'!Q14*'件数(合算）'!K14*$G13,0)</f>
        <v>43409</v>
      </c>
      <c r="Q13" s="5">
        <f>ROUND('件数(合算）'!R14*'件数(合算）'!K14*$G13,0)</f>
        <v>62013</v>
      </c>
      <c r="R13" s="5">
        <f>ROUND('件数(合算）'!S14*'件数(合算）'!K14*$G13,0)</f>
        <v>49611</v>
      </c>
      <c r="S13" s="5">
        <f>ROUND('件数(合算）'!T14*'件数(合算）'!K14*$G13,0)</f>
        <v>49611</v>
      </c>
      <c r="T13" s="5">
        <f>ROUND('件数(合算）'!U14*'件数(合算）'!K14*$G13,0)</f>
        <v>49611</v>
      </c>
      <c r="U13" s="5">
        <f>ROUND('件数(合算）'!V14*'件数(合算）'!K14*$G13,0)</f>
        <v>49611</v>
      </c>
      <c r="V13" s="5">
        <f>ROUND('件数(合算）'!W14*'件数(合算）'!K14*$G13,0)</f>
        <v>49611</v>
      </c>
      <c r="W13" s="5">
        <f>ROUND('件数(合算）'!X14*'件数(合算）'!K14*$G13,0)</f>
        <v>49611</v>
      </c>
      <c r="X13" s="5">
        <f>ROUND('件数(合算）'!Y14*'件数(合算）'!K14*$G13,0)</f>
        <v>62013</v>
      </c>
      <c r="Y13" s="5">
        <f>ROUND('件数(合算）'!Z14*'件数(合算）'!K14*$G13,0)</f>
        <v>62013</v>
      </c>
      <c r="Z13" s="5">
        <f>ROUND('件数(合算）'!AA14*'件数(合算）'!K14*$F13,0)</f>
        <v>31007</v>
      </c>
      <c r="AA13" s="5">
        <f>ROUND('件数(合算）'!AB14*'件数(合算）'!K14*$F13,0)</f>
        <v>31007</v>
      </c>
      <c r="AB13" s="5">
        <f>ROUND('件数(合算）'!AC14*'件数(合算）'!K14*$F13,0)</f>
        <v>31007</v>
      </c>
      <c r="AC13" s="5">
        <f>ROUND('件数(合算）'!AD14*'件数(合算）'!K14*$F13,0)</f>
        <v>31007</v>
      </c>
      <c r="AD13" s="5">
        <f>ROUND('件数(合算）'!AE14*'件数(合算）'!K14*$F13,0)</f>
        <v>43409</v>
      </c>
      <c r="AE13" s="5">
        <f>ROUND('件数(合算）'!AF14*'件数(合算）'!K14*$F13,0)</f>
        <v>68215</v>
      </c>
      <c r="AF13" s="5">
        <f>ROUND('件数(合算）'!AG14*'件数(合算）'!K14*$E13,0)</f>
        <v>34107</v>
      </c>
      <c r="AG13" s="5">
        <f>ROUND('件数(合算）'!AH14*'件数(合算）'!K14*$E13,0)</f>
        <v>34107</v>
      </c>
      <c r="AH13" s="5">
        <f>ROUND('件数(合算）'!AI14*'件数(合算）'!K14*$E13,0)</f>
        <v>34107</v>
      </c>
      <c r="AI13" s="5">
        <f>ROUND('件数(合算）'!AJ14*'件数(合算）'!K14*$E13,0)</f>
        <v>34107</v>
      </c>
      <c r="AJ13" s="5">
        <f>ROUND('件数(合算）'!AK14*'件数(合算）'!K14*$E13,0)</f>
        <v>34107</v>
      </c>
      <c r="AK13" s="5">
        <f>ROUND('件数(合算）'!AL14*'件数(合算）'!K14*$F13,0)</f>
        <v>49611</v>
      </c>
      <c r="AL13" s="5">
        <f>ROUND('件数(合算）'!AM14*'件数(合算）'!K14*$F13,0)</f>
        <v>62013</v>
      </c>
      <c r="AM13" s="5">
        <f>ROUND('件数(合算）'!AN14*'件数(合算）'!K14*$E13,0)</f>
        <v>56846</v>
      </c>
      <c r="AN13" s="5">
        <f>ROUND('件数(合算）'!AO14*'件数(合算）'!K14*$E13,0)</f>
        <v>34107</v>
      </c>
      <c r="AO13" s="5">
        <f>ROUND('件数(合算）'!AP14*'件数(合算）'!K14*$E13,0)</f>
        <v>34107</v>
      </c>
      <c r="AP13" s="5">
        <f>ROUND('件数(合算）'!AQ14*'件数(合算）'!K14*$E13,0)</f>
        <v>34107</v>
      </c>
      <c r="AQ13" s="5">
        <f>ROUND('件数(合算）'!AR14*'件数(合算）'!K14*$E13,0)</f>
        <v>34107</v>
      </c>
      <c r="AR13" s="5">
        <f>ROUND('件数(合算）'!AS14*'件数(合算）'!K14*$E13,0)</f>
        <v>45477</v>
      </c>
      <c r="AS13" s="5">
        <f>ROUND('件数(合算）'!AT14*'件数(合算）'!K14*$E13,0)</f>
        <v>56846</v>
      </c>
      <c r="AT13" s="5">
        <f>ROUND('件数(合算）'!AU14*'件数(合算）'!K14*$E13,0)</f>
        <v>34107</v>
      </c>
      <c r="AU13" s="5">
        <f>ROUND('件数(合算）'!AV14*'件数(合算）'!K14*$E13,0)</f>
        <v>34107</v>
      </c>
      <c r="AV13" s="12">
        <f t="shared" si="4"/>
        <v>1439743</v>
      </c>
    </row>
    <row r="14" spans="1:48" ht="22" customHeight="1">
      <c r="A14" s="34">
        <v>139771</v>
      </c>
      <c r="B14" s="35" t="s">
        <v>53</v>
      </c>
      <c r="C14" s="32"/>
      <c r="D14" s="39"/>
      <c r="E14" s="49">
        <f>'件数(合算）'!E15</f>
        <v>8300</v>
      </c>
      <c r="F14" s="49">
        <f>'件数(合算）'!F15</f>
        <v>8300</v>
      </c>
      <c r="G14" s="49">
        <f>'件数(合算）'!G15</f>
        <v>8300</v>
      </c>
      <c r="K14" s="37">
        <f>'件数(合算）'!K15</f>
        <v>0.24175824175824179</v>
      </c>
      <c r="L14" s="37">
        <f>'件数(合算）'!K15</f>
        <v>0.24175824175824179</v>
      </c>
      <c r="M14" s="37">
        <f>'件数(合算）'!K15</f>
        <v>0.24175824175824179</v>
      </c>
      <c r="N14" s="37">
        <f>'件数(合算）'!K15</f>
        <v>0.24175824175824179</v>
      </c>
      <c r="O14" s="49">
        <f>ROUND('件数(合算）'!P15*'件数(合算）'!K15*$G14,0)</f>
        <v>32105</v>
      </c>
      <c r="P14" s="49">
        <f>ROUND('件数(合算）'!Q15*'件数(合算）'!K15*$G14,0)</f>
        <v>38125</v>
      </c>
      <c r="Q14" s="49">
        <f>ROUND('件数(合算）'!R15*'件数(合算）'!K15*$G14,0)</f>
        <v>32105</v>
      </c>
      <c r="R14" s="49">
        <f>ROUND('件数(合算）'!S15*'件数(合算）'!K15*$G14,0)</f>
        <v>28092</v>
      </c>
      <c r="S14" s="49">
        <f>ROUND('件数(合算）'!T15*'件数(合算）'!K15*$G14,0)</f>
        <v>30099</v>
      </c>
      <c r="T14" s="49">
        <f>ROUND('件数(合算）'!U15*'件数(合算）'!K15*$G14,0)</f>
        <v>24079</v>
      </c>
      <c r="U14" s="49">
        <f>ROUND('件数(合算）'!V15*'件数(合算）'!K15*$G14,0)</f>
        <v>18059</v>
      </c>
      <c r="V14" s="49">
        <f>ROUND('件数(合算）'!W15*'件数(合算）'!K15*$G14,0)</f>
        <v>36119</v>
      </c>
      <c r="W14" s="49">
        <f>ROUND('件数(合算）'!X15*'件数(合算）'!K15*$G14,0)</f>
        <v>50165</v>
      </c>
      <c r="X14" s="49">
        <f>ROUND('件数(合算）'!Y15*'件数(合算）'!K15*$G14,0)</f>
        <v>40132</v>
      </c>
      <c r="Y14" s="49">
        <f>ROUND('件数(合算）'!Z15*'件数(合算）'!K15*$G14,0)</f>
        <v>32105</v>
      </c>
      <c r="Z14" s="49">
        <f>ROUND('件数(合算）'!AA15*'件数(合算）'!K15*$F14,0)</f>
        <v>16053</v>
      </c>
      <c r="AA14" s="49">
        <f>ROUND('件数(合算）'!AB15*'件数(合算）'!K15*$F14,0)</f>
        <v>16053</v>
      </c>
      <c r="AB14" s="49">
        <f>ROUND('件数(合算）'!AC15*'件数(合算）'!K15*$F14,0)</f>
        <v>16053</v>
      </c>
      <c r="AC14" s="49">
        <f>ROUND('件数(合算）'!AD15*'件数(合算）'!K15*$F14,0)</f>
        <v>16053</v>
      </c>
      <c r="AD14" s="49">
        <f>ROUND('件数(合算）'!AE15*'件数(合算）'!K15*$F14,0)</f>
        <v>20066</v>
      </c>
      <c r="AE14" s="49">
        <f>ROUND('件数(合算）'!AF15*'件数(合算）'!K15*$F14,0)</f>
        <v>20066</v>
      </c>
      <c r="AF14" s="49">
        <f>ROUND('件数(合算）'!AG15*'件数(合算）'!K15*$E14,0)</f>
        <v>18059</v>
      </c>
      <c r="AG14" s="49">
        <f>ROUND('件数(合算）'!AH15*'件数(合算）'!K15*$E14,0)</f>
        <v>18059</v>
      </c>
      <c r="AH14" s="49">
        <f>ROUND('件数(合算）'!AI15*'件数(合算）'!K15*$E14,0)</f>
        <v>18059</v>
      </c>
      <c r="AI14" s="49">
        <f>ROUND('件数(合算）'!AJ15*'件数(合算）'!K15*$E14,0)</f>
        <v>16053</v>
      </c>
      <c r="AJ14" s="49">
        <f>ROUND('件数(合算）'!AK15*'件数(合算）'!K15*$E14,0)</f>
        <v>16053</v>
      </c>
      <c r="AK14" s="49">
        <f>ROUND('件数(合算）'!AL15*'件数(合算）'!K15*$F14,0)</f>
        <v>20066</v>
      </c>
      <c r="AL14" s="49">
        <f>ROUND('件数(合算）'!AM15*'件数(合算）'!K15*$F14,0)</f>
        <v>18059</v>
      </c>
      <c r="AM14" s="49">
        <f>ROUND('件数(合算）'!AN15*'件数(合算）'!K15*$E14,0)</f>
        <v>16053</v>
      </c>
      <c r="AN14" s="49">
        <f>ROUND('件数(合算）'!AO15*'件数(合算）'!K15*$E14,0)</f>
        <v>20066</v>
      </c>
      <c r="AO14" s="49">
        <f>ROUND('件数(合算）'!AP15*'件数(合算）'!K15*$E14,0)</f>
        <v>20066</v>
      </c>
      <c r="AP14" s="49">
        <f>ROUND('件数(合算）'!AQ15*'件数(合算）'!K15*$E14,0)</f>
        <v>20066</v>
      </c>
      <c r="AQ14" s="49">
        <f>ROUND('件数(合算）'!AR15*'件数(合算）'!K15*$E14,0)</f>
        <v>20066</v>
      </c>
      <c r="AR14" s="49">
        <f>ROUND('件数(合算）'!AS15*'件数(合算）'!K15*$E14,0)</f>
        <v>24079</v>
      </c>
      <c r="AS14" s="49">
        <f>ROUND('件数(合算）'!AT15*'件数(合算）'!K15*$E14,0)</f>
        <v>22073</v>
      </c>
      <c r="AT14" s="49">
        <f>ROUND('件数(合算）'!AU15*'件数(合算）'!K15*$E14,0)</f>
        <v>20066</v>
      </c>
      <c r="AU14" s="49">
        <f>ROUND('件数(合算）'!AV15*'件数(合算）'!K15*$E14,0)</f>
        <v>20066</v>
      </c>
      <c r="AV14" s="12">
        <f t="shared" si="4"/>
        <v>772538</v>
      </c>
    </row>
    <row r="15" spans="1:48" ht="22" customHeight="1">
      <c r="A15" s="26">
        <v>335161</v>
      </c>
      <c r="B15" s="27" t="s">
        <v>55</v>
      </c>
      <c r="C15" s="25" t="s">
        <v>212</v>
      </c>
      <c r="D15" s="9"/>
      <c r="E15" s="5">
        <f>'件数(合算）'!E16</f>
        <v>18000</v>
      </c>
      <c r="F15" s="5">
        <f>'件数(合算）'!F16</f>
        <v>18000</v>
      </c>
      <c r="G15" s="5">
        <f>'件数(合算）'!G16</f>
        <v>18000</v>
      </c>
      <c r="K15" s="4">
        <f>'件数(合算）'!K16</f>
        <v>0.26022304832713761</v>
      </c>
      <c r="L15" s="4">
        <f>'件数(合算）'!K16</f>
        <v>0.26022304832713761</v>
      </c>
      <c r="M15" s="4">
        <f>'件数(合算）'!K16</f>
        <v>0.26022304832713761</v>
      </c>
      <c r="N15" s="4">
        <f>'件数(合算）'!K16</f>
        <v>0.26022304832713761</v>
      </c>
      <c r="O15" s="5">
        <f>ROUND('件数(合算）'!P16*'件数(合算）'!K16*$G15,0)</f>
        <v>37472</v>
      </c>
      <c r="P15" s="5">
        <f>ROUND('件数(合算）'!Q16*'件数(合算）'!K16*$G15,0)</f>
        <v>37472</v>
      </c>
      <c r="Q15" s="5">
        <f>ROUND('件数(合算）'!R16*'件数(合算）'!K16*$G15,0)</f>
        <v>37472</v>
      </c>
      <c r="R15" s="5">
        <f>ROUND('件数(合算）'!S16*'件数(合算）'!K16*$G15,0)</f>
        <v>37472</v>
      </c>
      <c r="S15" s="5">
        <f>ROUND('件数(合算）'!T16*'件数(合算）'!K16*$G15,0)</f>
        <v>37472</v>
      </c>
      <c r="T15" s="5">
        <f>ROUND('件数(合算）'!U16*'件数(合算）'!K16*$G15,0)</f>
        <v>37472</v>
      </c>
      <c r="U15" s="5">
        <f>ROUND('件数(合算）'!V16*'件数(合算）'!K16*$G15,0)</f>
        <v>37472</v>
      </c>
      <c r="V15" s="5">
        <f>ROUND('件数(合算）'!W16*'件数(合算）'!K16*$G15,0)</f>
        <v>37472</v>
      </c>
      <c r="W15" s="5">
        <f>ROUND('件数(合算）'!X16*'件数(合算）'!K16*$G15,0)</f>
        <v>37472</v>
      </c>
      <c r="X15" s="5">
        <f>ROUND('件数(合算）'!Y16*'件数(合算）'!K16*$G15,0)</f>
        <v>46840</v>
      </c>
      <c r="Y15" s="5">
        <f>ROUND('件数(合算）'!Z16*'件数(合算）'!K16*$G15,0)</f>
        <v>37472</v>
      </c>
      <c r="Z15" s="5">
        <f>ROUND('件数(合算）'!AA16*'件数(合算）'!K16*$F15,0)</f>
        <v>32788</v>
      </c>
      <c r="AA15" s="5">
        <f>ROUND('件数(合算）'!AB16*'件数(合算）'!K16*$F15,0)</f>
        <v>32788</v>
      </c>
      <c r="AB15" s="5">
        <f>ROUND('件数(合算）'!AC16*'件数(合算）'!K16*$F15,0)</f>
        <v>32788</v>
      </c>
      <c r="AC15" s="5">
        <f>ROUND('件数(合算）'!AD16*'件数(合算）'!K16*$F15,0)</f>
        <v>32788</v>
      </c>
      <c r="AD15" s="5">
        <f>ROUND('件数(合算）'!AE16*'件数(合算）'!K16*$F15,0)</f>
        <v>37472</v>
      </c>
      <c r="AE15" s="5">
        <f>ROUND('件数(合算）'!AF16*'件数(合算）'!K16*$F15,0)</f>
        <v>42156</v>
      </c>
      <c r="AF15" s="5">
        <f>ROUND('件数(合算）'!AG16*'件数(合算）'!K16*$E15,0)</f>
        <v>32788</v>
      </c>
      <c r="AG15" s="5">
        <f>ROUND('件数(合算）'!AH16*'件数(合算）'!K16*$E15,0)</f>
        <v>32788</v>
      </c>
      <c r="AH15" s="5">
        <f>ROUND('件数(合算）'!AI16*'件数(合算）'!K16*$E15,0)</f>
        <v>32788</v>
      </c>
      <c r="AI15" s="5">
        <f>ROUND('件数(合算）'!AJ16*'件数(合算）'!K16*$E15,0)</f>
        <v>32788</v>
      </c>
      <c r="AJ15" s="5">
        <f>ROUND('件数(合算）'!AK16*'件数(合算）'!K16*$E15,0)</f>
        <v>32788</v>
      </c>
      <c r="AK15" s="5">
        <f>ROUND('件数(合算）'!AL16*'件数(合算）'!K16*$F15,0)</f>
        <v>37472</v>
      </c>
      <c r="AL15" s="5">
        <f>ROUND('件数(合算）'!AM16*'件数(合算）'!K16*$F15,0)</f>
        <v>42156</v>
      </c>
      <c r="AM15" s="5">
        <f>ROUND('件数(合算）'!AN16*'件数(合算）'!K16*$E15,0)</f>
        <v>46840</v>
      </c>
      <c r="AN15" s="5">
        <f>ROUND('件数(合算）'!AO16*'件数(合算）'!K16*$E15,0)</f>
        <v>32788</v>
      </c>
      <c r="AO15" s="5">
        <f>ROUND('件数(合算）'!AP16*'件数(合算）'!K16*$E15,0)</f>
        <v>32788</v>
      </c>
      <c r="AP15" s="5">
        <f>ROUND('件数(合算）'!AQ16*'件数(合算）'!K16*$E15,0)</f>
        <v>32788</v>
      </c>
      <c r="AQ15" s="5">
        <f>ROUND('件数(合算）'!AR16*'件数(合算）'!K16*$E15,0)</f>
        <v>32788</v>
      </c>
      <c r="AR15" s="5">
        <f>ROUND('件数(合算）'!AS16*'件数(合算）'!K16*$E15,0)</f>
        <v>37472</v>
      </c>
      <c r="AS15" s="5">
        <f>ROUND('件数(合算）'!AT16*'件数(合算）'!K16*$E15,0)</f>
        <v>42156</v>
      </c>
      <c r="AT15" s="5">
        <f>ROUND('件数(合算）'!AU16*'件数(合算）'!K16*$E15,0)</f>
        <v>32788</v>
      </c>
      <c r="AU15" s="5">
        <f>ROUND('件数(合算）'!AV16*'件数(合算）'!K16*$E15,0)</f>
        <v>32788</v>
      </c>
      <c r="AV15" s="12">
        <f t="shared" si="4"/>
        <v>1199104</v>
      </c>
    </row>
    <row r="16" spans="1:48" ht="22" customHeight="1">
      <c r="A16" s="34">
        <v>391847</v>
      </c>
      <c r="B16" s="35" t="s">
        <v>57</v>
      </c>
      <c r="C16" s="32" t="s">
        <v>212</v>
      </c>
      <c r="D16" s="39"/>
      <c r="E16" s="49">
        <f>'件数(合算）'!E17</f>
        <v>18000</v>
      </c>
      <c r="F16" s="49">
        <f>'件数(合算）'!F17</f>
        <v>18000</v>
      </c>
      <c r="G16" s="49">
        <f>'件数(合算）'!G17</f>
        <v>18000</v>
      </c>
      <c r="K16" s="37">
        <f>'件数(合算）'!K17</f>
        <v>0.65372168284789645</v>
      </c>
      <c r="L16" s="37">
        <f>'件数(合算）'!K17</f>
        <v>0.65372168284789645</v>
      </c>
      <c r="M16" s="37">
        <f>'件数(合算）'!K17</f>
        <v>0.65372168284789645</v>
      </c>
      <c r="N16" s="37">
        <f>'件数(合算）'!K17</f>
        <v>0.65372168284789645</v>
      </c>
      <c r="O16" s="49">
        <f>ROUND('件数(合算）'!P17*'件数(合算）'!K17*$G16,0)</f>
        <v>94136</v>
      </c>
      <c r="P16" s="49">
        <f>ROUND('件数(合算）'!Q17*'件数(合算）'!K17*$G16,0)</f>
        <v>94136</v>
      </c>
      <c r="Q16" s="49">
        <f>ROUND('件数(合算）'!R17*'件数(合算）'!K17*$G16,0)</f>
        <v>129437</v>
      </c>
      <c r="R16" s="49">
        <f>ROUND('件数(合算）'!S17*'件数(合算）'!K17*$G16,0)</f>
        <v>94136</v>
      </c>
      <c r="S16" s="49">
        <f>ROUND('件数(合算）'!T17*'件数(合算）'!K17*$G16,0)</f>
        <v>94136</v>
      </c>
      <c r="T16" s="49">
        <f>ROUND('件数(合算）'!U17*'件数(合算）'!K17*$G16,0)</f>
        <v>94136</v>
      </c>
      <c r="U16" s="49">
        <f>ROUND('件数(合算）'!V17*'件数(合算）'!K17*$G16,0)</f>
        <v>94136</v>
      </c>
      <c r="V16" s="49">
        <f>ROUND('件数(合算）'!W17*'件数(合算）'!K17*$G16,0)</f>
        <v>94136</v>
      </c>
      <c r="W16" s="49">
        <f>ROUND('件数(合算）'!X17*'件数(合算）'!K17*$G16,0)</f>
        <v>94136</v>
      </c>
      <c r="X16" s="49">
        <f>ROUND('件数(合算）'!Y17*'件数(合算）'!K17*$G16,0)</f>
        <v>200039</v>
      </c>
      <c r="Y16" s="49">
        <f>ROUND('件数(合算）'!Z17*'件数(合算）'!K17*$G16,0)</f>
        <v>152971</v>
      </c>
      <c r="Z16" s="49">
        <f>ROUND('件数(合算）'!AA17*'件数(合算）'!K17*$F16,0)</f>
        <v>82369</v>
      </c>
      <c r="AA16" s="49">
        <f>ROUND('件数(合算）'!AB17*'件数(合算）'!K17*$F16,0)</f>
        <v>82369</v>
      </c>
      <c r="AB16" s="49">
        <f>ROUND('件数(合算）'!AC17*'件数(合算）'!K17*$F16,0)</f>
        <v>82369</v>
      </c>
      <c r="AC16" s="49">
        <f>ROUND('件数(合算）'!AD17*'件数(合算）'!K17*$F16,0)</f>
        <v>82369</v>
      </c>
      <c r="AD16" s="49">
        <f>ROUND('件数(合算）'!AE17*'件数(合算）'!K17*$F16,0)</f>
        <v>94136</v>
      </c>
      <c r="AE16" s="49">
        <f>ROUND('件数(合算）'!AF17*'件数(合算）'!K17*$F16,0)</f>
        <v>105903</v>
      </c>
      <c r="AF16" s="49">
        <f>ROUND('件数(合算）'!AG17*'件数(合算）'!K17*$E16,0)</f>
        <v>82369</v>
      </c>
      <c r="AG16" s="49">
        <f>ROUND('件数(合算）'!AH17*'件数(合算）'!K17*$E16,0)</f>
        <v>82369</v>
      </c>
      <c r="AH16" s="49">
        <f>ROUND('件数(合算）'!AI17*'件数(合算）'!K17*$E16,0)</f>
        <v>82369</v>
      </c>
      <c r="AI16" s="49">
        <f>ROUND('件数(合算）'!AJ17*'件数(合算）'!K17*$E16,0)</f>
        <v>82369</v>
      </c>
      <c r="AJ16" s="49">
        <f>ROUND('件数(合算）'!AK17*'件数(合算）'!K17*$E16,0)</f>
        <v>82369</v>
      </c>
      <c r="AK16" s="49">
        <f>ROUND('件数(合算）'!AL17*'件数(合算）'!K17*$F16,0)</f>
        <v>94136</v>
      </c>
      <c r="AL16" s="49">
        <f>ROUND('件数(合算）'!AM17*'件数(合算）'!K17*$F16,0)</f>
        <v>105903</v>
      </c>
      <c r="AM16" s="49">
        <f>ROUND('件数(合算）'!AN17*'件数(合算）'!K17*$E16,0)</f>
        <v>117670</v>
      </c>
      <c r="AN16" s="49">
        <f>ROUND('件数(合算）'!AO17*'件数(合算）'!K17*$E16,0)</f>
        <v>82369</v>
      </c>
      <c r="AO16" s="49">
        <f>ROUND('件数(合算）'!AP17*'件数(合算）'!K17*$E16,0)</f>
        <v>82369</v>
      </c>
      <c r="AP16" s="49">
        <f>ROUND('件数(合算）'!AQ17*'件数(合算）'!K17*$E16,0)</f>
        <v>82369</v>
      </c>
      <c r="AQ16" s="49">
        <f>ROUND('件数(合算）'!AR17*'件数(合算）'!K17*$E16,0)</f>
        <v>82369</v>
      </c>
      <c r="AR16" s="49">
        <f>ROUND('件数(合算）'!AS17*'件数(合算）'!K17*$E16,0)</f>
        <v>94136</v>
      </c>
      <c r="AS16" s="49">
        <f>ROUND('件数(合算）'!AT17*'件数(合算）'!K17*$E16,0)</f>
        <v>105903</v>
      </c>
      <c r="AT16" s="49">
        <f>ROUND('件数(合算）'!AU17*'件数(合算）'!K17*$E16,0)</f>
        <v>82369</v>
      </c>
      <c r="AU16" s="49">
        <f>ROUND('件数(合算）'!AV17*'件数(合算）'!K17*$E16,0)</f>
        <v>82369</v>
      </c>
      <c r="AV16" s="12">
        <f t="shared" si="4"/>
        <v>3188857</v>
      </c>
    </row>
    <row r="17" spans="1:48" ht="22" customHeight="1">
      <c r="A17" s="26">
        <v>387654</v>
      </c>
      <c r="B17" s="27" t="s">
        <v>59</v>
      </c>
      <c r="C17" s="25" t="s">
        <v>212</v>
      </c>
      <c r="D17" s="9"/>
      <c r="E17" s="5">
        <f>'件数(合算）'!E18</f>
        <v>12000</v>
      </c>
      <c r="F17" s="5">
        <f>'件数(合算）'!F18</f>
        <v>12000</v>
      </c>
      <c r="G17" s="5">
        <f>'件数(合算）'!G18</f>
        <v>14000</v>
      </c>
      <c r="K17" s="4">
        <f>'件数(合算）'!K18</f>
        <v>0.1404761904761905</v>
      </c>
      <c r="L17" s="4">
        <f>'件数(合算）'!K18</f>
        <v>0.1404761904761905</v>
      </c>
      <c r="M17" s="4">
        <f>'件数(合算）'!K18</f>
        <v>0.1404761904761905</v>
      </c>
      <c r="N17" s="4">
        <f>'件数(合算）'!K18</f>
        <v>0.1404761904761905</v>
      </c>
      <c r="O17" s="5">
        <f>ROUND('件数(合算）'!P18*'件数(合算）'!K18*$G17,0)</f>
        <v>43267</v>
      </c>
      <c r="P17" s="5">
        <f>ROUND('件数(合算）'!Q18*'件数(合算）'!K18*$G17,0)</f>
        <v>76700</v>
      </c>
      <c r="Q17" s="5">
        <f>ROUND('件数(合算）'!R18*'件数(合算）'!K18*$G17,0)</f>
        <v>59000</v>
      </c>
      <c r="R17" s="5">
        <f>ROUND('件数(合算）'!S18*'件数(合算）'!K18*$G17,0)</f>
        <v>82600</v>
      </c>
      <c r="S17" s="5">
        <f>ROUND('件数(合算）'!T18*'件数(合算）'!K18*$G17,0)</f>
        <v>110133</v>
      </c>
      <c r="T17" s="5">
        <f>ROUND('件数(合算）'!U18*'件数(合算）'!K18*$G17,0)</f>
        <v>96367</v>
      </c>
      <c r="U17" s="5">
        <f>ROUND('件数(合算）'!V18*'件数(合算）'!K18*$G17,0)</f>
        <v>88500</v>
      </c>
      <c r="V17" s="5">
        <f>ROUND('件数(合算）'!W18*'件数(合算）'!K18*$G17,0)</f>
        <v>78667</v>
      </c>
      <c r="W17" s="5">
        <f>ROUND('件数(合算）'!X18*'件数(合算）'!K18*$G17,0)</f>
        <v>135700</v>
      </c>
      <c r="X17" s="5">
        <f>ROUND('件数(合算）'!Y18*'件数(合算）'!K18*$G17,0)</f>
        <v>159300</v>
      </c>
      <c r="Y17" s="5">
        <f>ROUND('件数(合算）'!Z18*'件数(合算）'!K18*$G17,0)</f>
        <v>53100</v>
      </c>
      <c r="Z17" s="5">
        <f>ROUND('件数(合算）'!AA18*'件数(合算）'!K18*$F17,0)</f>
        <v>15171</v>
      </c>
      <c r="AA17" s="5">
        <f>ROUND('件数(合算）'!AB18*'件数(合算）'!K18*$F17,0)</f>
        <v>15171</v>
      </c>
      <c r="AB17" s="5">
        <f>ROUND('件数(合算）'!AC18*'件数(合算）'!K18*$F17,0)</f>
        <v>15171</v>
      </c>
      <c r="AC17" s="5">
        <f>ROUND('件数(合算）'!AD18*'件数(合算）'!K18*$F17,0)</f>
        <v>15171</v>
      </c>
      <c r="AD17" s="5">
        <f>ROUND('件数(合算）'!AE18*'件数(合算）'!K18*$F17,0)</f>
        <v>16857</v>
      </c>
      <c r="AE17" s="5">
        <f>ROUND('件数(合算）'!AF18*'件数(合算）'!K18*$F17,0)</f>
        <v>25286</v>
      </c>
      <c r="AF17" s="5">
        <f>ROUND('件数(合算）'!AG18*'件数(合算）'!K18*$E17,0)</f>
        <v>15171</v>
      </c>
      <c r="AG17" s="5">
        <f>ROUND('件数(合算）'!AH18*'件数(合算）'!K18*$E17,0)</f>
        <v>15171</v>
      </c>
      <c r="AH17" s="5">
        <f>ROUND('件数(合算）'!AI18*'件数(合算）'!K18*$E17,0)</f>
        <v>15171</v>
      </c>
      <c r="AI17" s="5">
        <f>ROUND('件数(合算）'!AJ18*'件数(合算）'!K18*$E17,0)</f>
        <v>15171</v>
      </c>
      <c r="AJ17" s="5">
        <f>ROUND('件数(合算）'!AK18*'件数(合算）'!K18*$E17,0)</f>
        <v>15171</v>
      </c>
      <c r="AK17" s="5">
        <f>ROUND('件数(合算）'!AL18*'件数(合算）'!K18*$F17,0)</f>
        <v>16857</v>
      </c>
      <c r="AL17" s="5">
        <f>ROUND('件数(合算）'!AM18*'件数(合算）'!K18*$F17,0)</f>
        <v>23600</v>
      </c>
      <c r="AM17" s="5">
        <f>ROUND('件数(合算）'!AN18*'件数(合算）'!K18*$E17,0)</f>
        <v>16857</v>
      </c>
      <c r="AN17" s="5">
        <f>ROUND('件数(合算）'!AO18*'件数(合算）'!K18*$E17,0)</f>
        <v>15171</v>
      </c>
      <c r="AO17" s="5">
        <f>ROUND('件数(合算）'!AP18*'件数(合算）'!K18*$E17,0)</f>
        <v>15171</v>
      </c>
      <c r="AP17" s="5">
        <f>ROUND('件数(合算）'!AQ18*'件数(合算）'!K18*$E17,0)</f>
        <v>15171</v>
      </c>
      <c r="AQ17" s="5">
        <f>ROUND('件数(合算）'!AR18*'件数(合算）'!K18*$E17,0)</f>
        <v>15171</v>
      </c>
      <c r="AR17" s="5">
        <f>ROUND('件数(合算）'!AS18*'件数(合算）'!K18*$E17,0)</f>
        <v>13486</v>
      </c>
      <c r="AS17" s="5">
        <f>ROUND('件数(合算）'!AT18*'件数(合算）'!K18*$E17,0)</f>
        <v>13486</v>
      </c>
      <c r="AT17" s="5">
        <f>ROUND('件数(合算）'!AU18*'件数(合算）'!K18*$E17,0)</f>
        <v>15171</v>
      </c>
      <c r="AU17" s="5">
        <f>ROUND('件数(合算）'!AV18*'件数(合算）'!K18*$E17,0)</f>
        <v>15171</v>
      </c>
      <c r="AV17" s="12">
        <f t="shared" si="4"/>
        <v>1337328</v>
      </c>
    </row>
    <row r="18" spans="1:48" ht="22" customHeight="1">
      <c r="A18" s="34">
        <v>363180</v>
      </c>
      <c r="B18" s="35" t="s">
        <v>61</v>
      </c>
      <c r="C18" s="32"/>
      <c r="D18" s="39"/>
      <c r="E18" s="49">
        <f>'件数(合算）'!E19</f>
        <v>8000</v>
      </c>
      <c r="F18" s="49">
        <f>'件数(合算）'!F19</f>
        <v>8000</v>
      </c>
      <c r="G18" s="49">
        <f>'件数(合算）'!G19</f>
        <v>8000</v>
      </c>
      <c r="K18" s="37">
        <f>'件数(合算）'!K19</f>
        <v>0.12612612612612609</v>
      </c>
      <c r="L18" s="37">
        <f>'件数(合算）'!K19</f>
        <v>0.12612612612612609</v>
      </c>
      <c r="M18" s="37">
        <f>'件数(合算）'!K19</f>
        <v>0.12612612612612609</v>
      </c>
      <c r="N18" s="37">
        <f>'件数(合算）'!K19</f>
        <v>0.12612612612612609</v>
      </c>
      <c r="O18" s="49">
        <f>ROUND('件数(合算）'!P19*'件数(合算）'!K19*$G18,0)</f>
        <v>4036</v>
      </c>
      <c r="P18" s="49">
        <f>ROUND('件数(合算）'!Q19*'件数(合算）'!K19*$G18,0)</f>
        <v>4036</v>
      </c>
      <c r="Q18" s="49">
        <f>ROUND('件数(合算）'!R19*'件数(合算）'!K19*$G18,0)</f>
        <v>4036</v>
      </c>
      <c r="R18" s="49">
        <f>ROUND('件数(合算）'!S19*'件数(合算）'!K19*$G18,0)</f>
        <v>4036</v>
      </c>
      <c r="S18" s="49">
        <f>ROUND('件数(合算）'!T19*'件数(合算）'!K19*$G18,0)</f>
        <v>4036</v>
      </c>
      <c r="T18" s="49">
        <f>ROUND('件数(合算）'!U19*'件数(合算）'!K19*$G18,0)</f>
        <v>4036</v>
      </c>
      <c r="U18" s="49">
        <f>ROUND('件数(合算）'!V19*'件数(合算）'!K19*$G18,0)</f>
        <v>4036</v>
      </c>
      <c r="V18" s="49">
        <f>ROUND('件数(合算）'!W19*'件数(合算）'!K19*$G18,0)</f>
        <v>4036</v>
      </c>
      <c r="W18" s="49">
        <f>ROUND('件数(合算）'!X19*'件数(合算）'!K19*$G18,0)</f>
        <v>4036</v>
      </c>
      <c r="X18" s="49">
        <f>ROUND('件数(合算）'!Y19*'件数(合算）'!K19*$G18,0)</f>
        <v>4036</v>
      </c>
      <c r="Y18" s="49">
        <f>ROUND('件数(合算）'!Z19*'件数(合算）'!K19*$G18,0)</f>
        <v>4036</v>
      </c>
      <c r="Z18" s="49">
        <f>ROUND('件数(合算）'!AA19*'件数(合算）'!K19*$F18,0)</f>
        <v>4036</v>
      </c>
      <c r="AA18" s="49">
        <f>ROUND('件数(合算）'!AB19*'件数(合算）'!K19*$F18,0)</f>
        <v>4036</v>
      </c>
      <c r="AB18" s="49">
        <f>ROUND('件数(合算）'!AC19*'件数(合算）'!K19*$F18,0)</f>
        <v>4036</v>
      </c>
      <c r="AC18" s="49">
        <f>ROUND('件数(合算）'!AD19*'件数(合算）'!K19*$F18,0)</f>
        <v>4036</v>
      </c>
      <c r="AD18" s="49">
        <f>ROUND('件数(合算）'!AE19*'件数(合算）'!K19*$F18,0)</f>
        <v>4036</v>
      </c>
      <c r="AE18" s="49">
        <f>ROUND('件数(合算）'!AF19*'件数(合算）'!K19*$F18,0)</f>
        <v>4036</v>
      </c>
      <c r="AF18" s="49">
        <f>ROUND('件数(合算）'!AG19*'件数(合算）'!K19*$E18,0)</f>
        <v>4036</v>
      </c>
      <c r="AG18" s="49">
        <f>ROUND('件数(合算）'!AH19*'件数(合算）'!K19*$E18,0)</f>
        <v>4036</v>
      </c>
      <c r="AH18" s="49">
        <f>ROUND('件数(合算）'!AI19*'件数(合算）'!K19*$E18,0)</f>
        <v>4036</v>
      </c>
      <c r="AI18" s="49">
        <f>ROUND('件数(合算）'!AJ19*'件数(合算）'!K19*$E18,0)</f>
        <v>4036</v>
      </c>
      <c r="AJ18" s="49">
        <f>ROUND('件数(合算）'!AK19*'件数(合算）'!K19*$E18,0)</f>
        <v>4036</v>
      </c>
      <c r="AK18" s="49">
        <f>ROUND('件数(合算）'!AL19*'件数(合算）'!K19*$F18,0)</f>
        <v>4036</v>
      </c>
      <c r="AL18" s="49">
        <f>ROUND('件数(合算）'!AM19*'件数(合算）'!K19*$F18,0)</f>
        <v>3027</v>
      </c>
      <c r="AM18" s="49">
        <f>ROUND('件数(合算）'!AN19*'件数(合算）'!K19*$E18,0)</f>
        <v>3027</v>
      </c>
      <c r="AN18" s="49">
        <f>ROUND('件数(合算）'!AO19*'件数(合算）'!K19*$E18,0)</f>
        <v>4036</v>
      </c>
      <c r="AO18" s="49">
        <f>ROUND('件数(合算）'!AP19*'件数(合算）'!K19*$E18,0)</f>
        <v>4036</v>
      </c>
      <c r="AP18" s="49">
        <f>ROUND('件数(合算）'!AQ19*'件数(合算）'!K19*$E18,0)</f>
        <v>4036</v>
      </c>
      <c r="AQ18" s="49">
        <f>ROUND('件数(合算）'!AR19*'件数(合算）'!K19*$E18,0)</f>
        <v>4036</v>
      </c>
      <c r="AR18" s="49">
        <f>ROUND('件数(合算）'!AS19*'件数(合算）'!K19*$E18,0)</f>
        <v>4036</v>
      </c>
      <c r="AS18" s="49">
        <f>ROUND('件数(合算）'!AT19*'件数(合算）'!K19*$E18,0)</f>
        <v>4036</v>
      </c>
      <c r="AT18" s="49">
        <f>ROUND('件数(合算）'!AU19*'件数(合算）'!K19*$E18,0)</f>
        <v>4036</v>
      </c>
      <c r="AU18" s="49">
        <f>ROUND('件数(合算）'!AV19*'件数(合算）'!K19*$E18,0)</f>
        <v>4036</v>
      </c>
      <c r="AV18" s="12">
        <f t="shared" si="4"/>
        <v>131170</v>
      </c>
    </row>
    <row r="19" spans="1:48" ht="22" customHeight="1">
      <c r="A19" s="26">
        <v>391702</v>
      </c>
      <c r="B19" s="27" t="s">
        <v>63</v>
      </c>
      <c r="C19" s="25" t="s">
        <v>212</v>
      </c>
      <c r="D19" s="9"/>
      <c r="E19" s="5">
        <f>'件数(合算）'!E20</f>
        <v>1300</v>
      </c>
      <c r="F19" s="5">
        <f>'件数(合算）'!F20</f>
        <v>1300</v>
      </c>
      <c r="G19" s="5">
        <f>'件数(合算）'!G20</f>
        <v>1300</v>
      </c>
      <c r="K19" s="4">
        <f>'件数(合算）'!K20</f>
        <v>0.22222222222222221</v>
      </c>
      <c r="L19" s="4">
        <f>'件数(合算）'!K20</f>
        <v>0.22222222222222221</v>
      </c>
      <c r="M19" s="4">
        <f>'件数(合算）'!K20</f>
        <v>0.22222222222222221</v>
      </c>
      <c r="N19" s="4">
        <f>'件数(合算）'!K20</f>
        <v>0.22222222222222221</v>
      </c>
      <c r="O19" s="5">
        <f>ROUND('件数(合算）'!P20*'件数(合算）'!K20*$G19,0)</f>
        <v>289</v>
      </c>
      <c r="P19" s="5">
        <f>ROUND('件数(合算）'!Q20*'件数(合算）'!K20*$G19,0)</f>
        <v>289</v>
      </c>
      <c r="Q19" s="5">
        <f>ROUND('件数(合算）'!R20*'件数(合算）'!K20*$G19,0)</f>
        <v>289</v>
      </c>
      <c r="R19" s="5">
        <f>ROUND('件数(合算）'!S20*'件数(合算）'!K20*$G19,0)</f>
        <v>289</v>
      </c>
      <c r="S19" s="5">
        <f>ROUND('件数(合算）'!T20*'件数(合算）'!K20*$G19,0)</f>
        <v>289</v>
      </c>
      <c r="T19" s="5">
        <f>ROUND('件数(合算）'!U20*'件数(合算）'!K20*$G19,0)</f>
        <v>289</v>
      </c>
      <c r="U19" s="5">
        <f>ROUND('件数(合算）'!V20*'件数(合算）'!K20*$G19,0)</f>
        <v>289</v>
      </c>
      <c r="V19" s="5">
        <f>ROUND('件数(合算）'!W20*'件数(合算）'!K20*$G19,0)</f>
        <v>289</v>
      </c>
      <c r="W19" s="5">
        <f>ROUND('件数(合算）'!X20*'件数(合算）'!K20*$G19,0)</f>
        <v>289</v>
      </c>
      <c r="X19" s="5">
        <f>ROUND('件数(合算）'!Y20*'件数(合算）'!K20*$G19,0)</f>
        <v>289</v>
      </c>
      <c r="Y19" s="5">
        <f>ROUND('件数(合算）'!Z20*'件数(合算）'!K20*$G19,0)</f>
        <v>289</v>
      </c>
      <c r="Z19" s="5">
        <f>ROUND('件数(合算）'!AA20*'件数(合算）'!K20*$F19,0)</f>
        <v>289</v>
      </c>
      <c r="AA19" s="5">
        <f>ROUND('件数(合算）'!AB20*'件数(合算）'!K20*$F19,0)</f>
        <v>289</v>
      </c>
      <c r="AB19" s="5">
        <f>ROUND('件数(合算）'!AC20*'件数(合算）'!K20*$F19,0)</f>
        <v>289</v>
      </c>
      <c r="AC19" s="5">
        <f>ROUND('件数(合算）'!AD20*'件数(合算）'!K20*$F19,0)</f>
        <v>289</v>
      </c>
      <c r="AD19" s="5">
        <f>ROUND('件数(合算）'!AE20*'件数(合算）'!K20*$F19,0)</f>
        <v>289</v>
      </c>
      <c r="AE19" s="5">
        <f>ROUND('件数(合算）'!AF20*'件数(合算）'!K20*$F19,0)</f>
        <v>289</v>
      </c>
      <c r="AF19" s="5">
        <f>ROUND('件数(合算）'!AG20*'件数(合算）'!K20*$E19,0)</f>
        <v>289</v>
      </c>
      <c r="AG19" s="5">
        <f>ROUND('件数(合算）'!AH20*'件数(合算）'!K20*$E19,0)</f>
        <v>289</v>
      </c>
      <c r="AH19" s="5">
        <f>ROUND('件数(合算）'!AI20*'件数(合算）'!K20*$E19,0)</f>
        <v>289</v>
      </c>
      <c r="AI19" s="5">
        <f>ROUND('件数(合算）'!AJ20*'件数(合算）'!K20*$E19,0)</f>
        <v>289</v>
      </c>
      <c r="AJ19" s="5">
        <f>ROUND('件数(合算）'!AK20*'件数(合算）'!K20*$E19,0)</f>
        <v>289</v>
      </c>
      <c r="AK19" s="5">
        <f>ROUND('件数(合算）'!AL20*'件数(合算）'!K20*$F19,0)</f>
        <v>289</v>
      </c>
      <c r="AL19" s="5">
        <f>ROUND('件数(合算）'!AM20*'件数(合算）'!K20*$F19,0)</f>
        <v>289</v>
      </c>
      <c r="AM19" s="5">
        <f>ROUND('件数(合算）'!AN20*'件数(合算）'!K20*$E19,0)</f>
        <v>289</v>
      </c>
      <c r="AN19" s="5">
        <f>ROUND('件数(合算）'!AO20*'件数(合算）'!K20*$E19,0)</f>
        <v>289</v>
      </c>
      <c r="AO19" s="5">
        <f>ROUND('件数(合算）'!AP20*'件数(合算）'!K20*$E19,0)</f>
        <v>289</v>
      </c>
      <c r="AP19" s="5">
        <f>ROUND('件数(合算）'!AQ20*'件数(合算）'!K20*$E19,0)</f>
        <v>289</v>
      </c>
      <c r="AQ19" s="5">
        <f>ROUND('件数(合算）'!AR20*'件数(合算）'!K20*$E19,0)</f>
        <v>289</v>
      </c>
      <c r="AR19" s="5">
        <f>ROUND('件数(合算）'!AS20*'件数(合算）'!K20*$E19,0)</f>
        <v>289</v>
      </c>
      <c r="AS19" s="5">
        <f>ROUND('件数(合算）'!AT20*'件数(合算）'!K20*$E19,0)</f>
        <v>289</v>
      </c>
      <c r="AT19" s="5">
        <f>ROUND('件数(合算）'!AU20*'件数(合算）'!K20*$E19,0)</f>
        <v>289</v>
      </c>
      <c r="AU19" s="5">
        <f>ROUND('件数(合算）'!AV20*'件数(合算）'!K20*$E19,0)</f>
        <v>289</v>
      </c>
      <c r="AV19" s="12">
        <f t="shared" si="4"/>
        <v>9537</v>
      </c>
    </row>
    <row r="20" spans="1:48" ht="22" customHeight="1">
      <c r="A20" s="34">
        <v>392886</v>
      </c>
      <c r="B20" s="35" t="s">
        <v>65</v>
      </c>
      <c r="C20" s="32" t="s">
        <v>212</v>
      </c>
      <c r="D20" s="39"/>
      <c r="E20" s="49">
        <f>'件数(合算）'!E21</f>
        <v>9000</v>
      </c>
      <c r="F20" s="49">
        <f>'件数(合算）'!F21</f>
        <v>9000</v>
      </c>
      <c r="G20" s="49">
        <f>'件数(合算）'!G21</f>
        <v>13000</v>
      </c>
      <c r="K20" s="37">
        <f>'件数(合算）'!K21</f>
        <v>0.72435897435897434</v>
      </c>
      <c r="L20" s="37">
        <f>'件数(合算）'!K21</f>
        <v>0.72435897435897434</v>
      </c>
      <c r="M20" s="37">
        <f>'件数(合算）'!K21</f>
        <v>0.72435897435897434</v>
      </c>
      <c r="N20" s="37">
        <f>'件数(合算）'!K21</f>
        <v>0.72435897435897434</v>
      </c>
      <c r="O20" s="49">
        <f>ROUND('件数(合算）'!P21*'件数(合算）'!K21*$G20,0)</f>
        <v>94167</v>
      </c>
      <c r="P20" s="49">
        <f>ROUND('件数(合算）'!Q21*'件数(合算）'!K21*$G20,0)</f>
        <v>65917</v>
      </c>
      <c r="Q20" s="49">
        <f>ROUND('件数(合算）'!R21*'件数(合算）'!K21*$G20,0)</f>
        <v>103583</v>
      </c>
      <c r="R20" s="49">
        <f>ROUND('件数(合算）'!S21*'件数(合算）'!K21*$G20,0)</f>
        <v>113000</v>
      </c>
      <c r="S20" s="49">
        <f>ROUND('件数(合算）'!T21*'件数(合算）'!K21*$G20,0)</f>
        <v>113000</v>
      </c>
      <c r="T20" s="49">
        <f>ROUND('件数(合算）'!U21*'件数(合算）'!K21*$G20,0)</f>
        <v>113000</v>
      </c>
      <c r="U20" s="49">
        <f>ROUND('件数(合算）'!V21*'件数(合算）'!K21*$G20,0)</f>
        <v>122417</v>
      </c>
      <c r="V20" s="49">
        <f>ROUND('件数(合算）'!W21*'件数(合算）'!K21*$G20,0)</f>
        <v>131833</v>
      </c>
      <c r="W20" s="49">
        <f>ROUND('件数(合算）'!X21*'件数(合算）'!K21*$G20,0)</f>
        <v>113000</v>
      </c>
      <c r="X20" s="49">
        <f>ROUND('件数(合算）'!Y21*'件数(合算）'!K21*$G20,0)</f>
        <v>75333</v>
      </c>
      <c r="Y20" s="49">
        <f>ROUND('件数(合算）'!Z21*'件数(合算）'!K21*$G20,0)</f>
        <v>84750</v>
      </c>
      <c r="Z20" s="49">
        <f>ROUND('件数(合算）'!AA21*'件数(合算）'!K21*$F20,0)</f>
        <v>19558</v>
      </c>
      <c r="AA20" s="49">
        <f>ROUND('件数(合算）'!AB21*'件数(合算）'!K21*$F20,0)</f>
        <v>19558</v>
      </c>
      <c r="AB20" s="49">
        <f>ROUND('件数(合算）'!AC21*'件数(合算）'!K21*$F20,0)</f>
        <v>19558</v>
      </c>
      <c r="AC20" s="49">
        <f>ROUND('件数(合算）'!AD21*'件数(合算）'!K21*$F20,0)</f>
        <v>19558</v>
      </c>
      <c r="AD20" s="49">
        <f>ROUND('件数(合算）'!AE21*'件数(合算）'!K21*$F20,0)</f>
        <v>45635</v>
      </c>
      <c r="AE20" s="49">
        <f>ROUND('件数(合算）'!AF21*'件数(合算）'!K21*$F20,0)</f>
        <v>45635</v>
      </c>
      <c r="AF20" s="49">
        <f>ROUND('件数(合算）'!AG21*'件数(合算）'!K21*$E20,0)</f>
        <v>26077</v>
      </c>
      <c r="AG20" s="49">
        <f>ROUND('件数(合算）'!AH21*'件数(合算）'!K21*$E20,0)</f>
        <v>26077</v>
      </c>
      <c r="AH20" s="49">
        <f>ROUND('件数(合算）'!AI21*'件数(合算）'!K21*$E20,0)</f>
        <v>26077</v>
      </c>
      <c r="AI20" s="49">
        <f>ROUND('件数(合算）'!AJ21*'件数(合算）'!K21*$E20,0)</f>
        <v>26077</v>
      </c>
      <c r="AJ20" s="49">
        <f>ROUND('件数(合算）'!AK21*'件数(合算）'!K21*$E20,0)</f>
        <v>26077</v>
      </c>
      <c r="AK20" s="49">
        <f>ROUND('件数(合算）'!AL21*'件数(合算）'!K21*$F20,0)</f>
        <v>45635</v>
      </c>
      <c r="AL20" s="49">
        <f>ROUND('件数(合算）'!AM21*'件数(合算）'!K21*$F20,0)</f>
        <v>45635</v>
      </c>
      <c r="AM20" s="49">
        <f>ROUND('件数(合算）'!AN21*'件数(合算）'!K21*$E20,0)</f>
        <v>45635</v>
      </c>
      <c r="AN20" s="49">
        <f>ROUND('件数(合算）'!AO21*'件数(合算）'!K21*$E20,0)</f>
        <v>26077</v>
      </c>
      <c r="AO20" s="49">
        <f>ROUND('件数(合算）'!AP21*'件数(合算）'!K21*$E20,0)</f>
        <v>26077</v>
      </c>
      <c r="AP20" s="49">
        <f>ROUND('件数(合算）'!AQ21*'件数(合算）'!K21*$E20,0)</f>
        <v>26077</v>
      </c>
      <c r="AQ20" s="49">
        <f>ROUND('件数(合算）'!AR21*'件数(合算）'!K21*$E20,0)</f>
        <v>26077</v>
      </c>
      <c r="AR20" s="49">
        <f>ROUND('件数(合算）'!AS21*'件数(合算）'!K21*$E20,0)</f>
        <v>45635</v>
      </c>
      <c r="AS20" s="49">
        <f>ROUND('件数(合算）'!AT21*'件数(合算）'!K21*$E20,0)</f>
        <v>45635</v>
      </c>
      <c r="AT20" s="49">
        <f>ROUND('件数(合算）'!AU21*'件数(合算）'!K21*$E20,0)</f>
        <v>26077</v>
      </c>
      <c r="AU20" s="49">
        <f>ROUND('件数(合算）'!AV21*'件数(合算）'!K21*$E20,0)</f>
        <v>26077</v>
      </c>
      <c r="AV20" s="12">
        <f t="shared" si="4"/>
        <v>1814524</v>
      </c>
    </row>
    <row r="21" spans="1:48" ht="22" customHeight="1">
      <c r="A21" s="26">
        <v>135749</v>
      </c>
      <c r="B21" s="27" t="s">
        <v>67</v>
      </c>
      <c r="C21" s="25" t="s">
        <v>212</v>
      </c>
      <c r="D21" s="9"/>
      <c r="E21" s="5">
        <f>'件数(合算）'!E22</f>
        <v>12000</v>
      </c>
      <c r="F21" s="5">
        <f>'件数(合算）'!F22</f>
        <v>12000</v>
      </c>
      <c r="G21" s="5">
        <f>'件数(合算）'!G22</f>
        <v>12000</v>
      </c>
      <c r="K21" s="4">
        <f>'件数(合算）'!K22</f>
        <v>0.53968253968253965</v>
      </c>
      <c r="L21" s="4">
        <f>'件数(合算）'!K22</f>
        <v>0.53968253968253965</v>
      </c>
      <c r="M21" s="4">
        <f>'件数(合算）'!K22</f>
        <v>0.53968253968253965</v>
      </c>
      <c r="N21" s="4">
        <f>'件数(合算）'!K22</f>
        <v>0.53968253968253965</v>
      </c>
      <c r="O21" s="5">
        <f>ROUND('件数(合算）'!P22*'件数(合算）'!K22*$G21,0)</f>
        <v>64762</v>
      </c>
      <c r="P21" s="5">
        <f>ROUND('件数(合算）'!Q22*'件数(合算）'!K22*$G21,0)</f>
        <v>51810</v>
      </c>
      <c r="Q21" s="5">
        <f>ROUND('件数(合算）'!R22*'件数(合算）'!K22*$G21,0)</f>
        <v>25905</v>
      </c>
      <c r="R21" s="5">
        <f>ROUND('件数(合算）'!S22*'件数(合算）'!K22*$G21,0)</f>
        <v>45333</v>
      </c>
      <c r="S21" s="5">
        <f>ROUND('件数(合算）'!T22*'件数(合算）'!K22*$G21,0)</f>
        <v>45333</v>
      </c>
      <c r="T21" s="5">
        <f>ROUND('件数(合算）'!U22*'件数(合算）'!K22*$G21,0)</f>
        <v>71238</v>
      </c>
      <c r="U21" s="5">
        <f>ROUND('件数(合算）'!V22*'件数(合算）'!K22*$G21,0)</f>
        <v>25905</v>
      </c>
      <c r="V21" s="5">
        <f>ROUND('件数(合算）'!W22*'件数(合算）'!K22*$G21,0)</f>
        <v>64762</v>
      </c>
      <c r="W21" s="5">
        <f>ROUND('件数(合算）'!X22*'件数(合算）'!K22*$G21,0)</f>
        <v>64762</v>
      </c>
      <c r="X21" s="5">
        <f>ROUND('件数(合算）'!Y22*'件数(合算）'!K22*$G21,0)</f>
        <v>71238</v>
      </c>
      <c r="Y21" s="5">
        <f>ROUND('件数(合算）'!Z22*'件数(合算）'!K22*$G21,0)</f>
        <v>51810</v>
      </c>
      <c r="Z21" s="5">
        <f>ROUND('件数(合算）'!AA22*'件数(合算）'!K22*$F21,0)</f>
        <v>45333</v>
      </c>
      <c r="AA21" s="5">
        <f>ROUND('件数(合算）'!AB22*'件数(合算）'!K22*$F21,0)</f>
        <v>45333</v>
      </c>
      <c r="AB21" s="5">
        <f>ROUND('件数(合算）'!AC22*'件数(合算）'!K22*$F21,0)</f>
        <v>45333</v>
      </c>
      <c r="AC21" s="5">
        <f>ROUND('件数(合算）'!AD22*'件数(合算）'!K22*$F21,0)</f>
        <v>45333</v>
      </c>
      <c r="AD21" s="5">
        <f>ROUND('件数(合算）'!AE22*'件数(合算）'!K22*$F21,0)</f>
        <v>51810</v>
      </c>
      <c r="AE21" s="5">
        <f>ROUND('件数(合算）'!AF22*'件数(合算）'!K22*$F21,0)</f>
        <v>58286</v>
      </c>
      <c r="AF21" s="5">
        <f>ROUND('件数(合算）'!AG22*'件数(合算）'!K22*$E21,0)</f>
        <v>45333</v>
      </c>
      <c r="AG21" s="5">
        <f>ROUND('件数(合算）'!AH22*'件数(合算）'!K22*$E21,0)</f>
        <v>45333</v>
      </c>
      <c r="AH21" s="5">
        <f>ROUND('件数(合算）'!AI22*'件数(合算）'!K22*$E21,0)</f>
        <v>45333</v>
      </c>
      <c r="AI21" s="5">
        <f>ROUND('件数(合算）'!AJ22*'件数(合算）'!K22*$E21,0)</f>
        <v>45333</v>
      </c>
      <c r="AJ21" s="5">
        <f>ROUND('件数(合算）'!AK22*'件数(合算）'!K22*$E21,0)</f>
        <v>45333</v>
      </c>
      <c r="AK21" s="5">
        <f>ROUND('件数(合算）'!AL22*'件数(合算）'!K22*$F21,0)</f>
        <v>51810</v>
      </c>
      <c r="AL21" s="5">
        <f>ROUND('件数(合算）'!AM22*'件数(合算）'!K22*$F21,0)</f>
        <v>58286</v>
      </c>
      <c r="AM21" s="5">
        <f>ROUND('件数(合算）'!AN22*'件数(合算）'!K22*$E21,0)</f>
        <v>64762</v>
      </c>
      <c r="AN21" s="5">
        <f>ROUND('件数(合算）'!AO22*'件数(合算）'!K22*$E21,0)</f>
        <v>45333</v>
      </c>
      <c r="AO21" s="5">
        <f>ROUND('件数(合算）'!AP22*'件数(合算）'!K22*$E21,0)</f>
        <v>45333</v>
      </c>
      <c r="AP21" s="5">
        <f>ROUND('件数(合算）'!AQ22*'件数(合算）'!K22*$E21,0)</f>
        <v>45333</v>
      </c>
      <c r="AQ21" s="5">
        <f>ROUND('件数(合算）'!AR22*'件数(合算）'!K22*$E21,0)</f>
        <v>45333</v>
      </c>
      <c r="AR21" s="5">
        <f>ROUND('件数(合算）'!AS22*'件数(合算）'!K22*$E21,0)</f>
        <v>51810</v>
      </c>
      <c r="AS21" s="5">
        <f>ROUND('件数(合算）'!AT22*'件数(合算）'!K22*$E21,0)</f>
        <v>58286</v>
      </c>
      <c r="AT21" s="5">
        <f>ROUND('件数(合算）'!AU22*'件数(合算）'!K22*$E21,0)</f>
        <v>45333</v>
      </c>
      <c r="AU21" s="5">
        <f>ROUND('件数(合算）'!AV22*'件数(合算）'!K22*$E21,0)</f>
        <v>45333</v>
      </c>
      <c r="AV21" s="12">
        <f t="shared" si="4"/>
        <v>1657903</v>
      </c>
    </row>
    <row r="22" spans="1:48" ht="22" customHeight="1">
      <c r="A22" s="34">
        <v>392013</v>
      </c>
      <c r="B22" s="35" t="s">
        <v>69</v>
      </c>
      <c r="C22" s="32"/>
      <c r="D22" s="39"/>
      <c r="E22" s="49">
        <f>'件数(合算）'!E23</f>
        <v>12000</v>
      </c>
      <c r="F22" s="49">
        <f>'件数(合算）'!F23</f>
        <v>12000</v>
      </c>
      <c r="G22" s="49">
        <f>'件数(合算）'!G23</f>
        <v>27000</v>
      </c>
      <c r="K22" s="37">
        <f>'件数(合算）'!K23</f>
        <v>0.2857142857142857</v>
      </c>
      <c r="L22" s="37">
        <f>'件数(合算）'!K23</f>
        <v>0.2857142857142857</v>
      </c>
      <c r="M22" s="37">
        <f>'件数(合算）'!K23</f>
        <v>0.2857142857142857</v>
      </c>
      <c r="N22" s="37">
        <f>'件数(合算）'!K23</f>
        <v>0.2857142857142857</v>
      </c>
      <c r="O22" s="49">
        <f>ROUND('件数(合算）'!P23*'件数(合算）'!K23*$G22,0)</f>
        <v>185143</v>
      </c>
      <c r="P22" s="49">
        <f>ROUND('件数(合算）'!Q23*'件数(合算）'!K23*$G22,0)</f>
        <v>216000</v>
      </c>
      <c r="Q22" s="49">
        <f>ROUND('件数(合算）'!R23*'件数(合算）'!K23*$G22,0)</f>
        <v>246857</v>
      </c>
      <c r="R22" s="49">
        <f>ROUND('件数(合算）'!S23*'件数(合算）'!K23*$G22,0)</f>
        <v>192857</v>
      </c>
      <c r="S22" s="49">
        <f>ROUND('件数(合算）'!T23*'件数(合算）'!K23*$G22,0)</f>
        <v>254571</v>
      </c>
      <c r="T22" s="49">
        <f>ROUND('件数(合算）'!U23*'件数(合算）'!K23*$G22,0)</f>
        <v>293143</v>
      </c>
      <c r="U22" s="49">
        <f>ROUND('件数(合算）'!V23*'件数(合算）'!K23*$G22,0)</f>
        <v>208286</v>
      </c>
      <c r="V22" s="49">
        <f>ROUND('件数(合算）'!W23*'件数(合算）'!K23*$G22,0)</f>
        <v>200571</v>
      </c>
      <c r="W22" s="49">
        <f>ROUND('件数(合算）'!X23*'件数(合算）'!K23*$G22,0)</f>
        <v>208286</v>
      </c>
      <c r="X22" s="49">
        <f>ROUND('件数(合算）'!Y23*'件数(合算）'!K23*$G22,0)</f>
        <v>308571</v>
      </c>
      <c r="Y22" s="49">
        <f>ROUND('件数(合算）'!Z23*'件数(合算）'!K23*$G22,0)</f>
        <v>154286</v>
      </c>
      <c r="Z22" s="49">
        <f>ROUND('件数(合算）'!AA23*'件数(合算）'!K23*$F22,0)</f>
        <v>10286</v>
      </c>
      <c r="AA22" s="49">
        <f>ROUND('件数(合算）'!AB23*'件数(合算）'!K23*$F22,0)</f>
        <v>10286</v>
      </c>
      <c r="AB22" s="49">
        <f>ROUND('件数(合算）'!AC23*'件数(合算）'!K23*$F22,0)</f>
        <v>10286</v>
      </c>
      <c r="AC22" s="49">
        <f>ROUND('件数(合算）'!AD23*'件数(合算）'!K23*$F22,0)</f>
        <v>10286</v>
      </c>
      <c r="AD22" s="49">
        <f>ROUND('件数(合算）'!AE23*'件数(合算）'!K23*$F22,0)</f>
        <v>13714</v>
      </c>
      <c r="AE22" s="49">
        <f>ROUND('件数(合算）'!AF23*'件数(合算）'!K23*$F22,0)</f>
        <v>13714</v>
      </c>
      <c r="AF22" s="49">
        <f>ROUND('件数(合算）'!AG23*'件数(合算）'!K23*$E22,0)</f>
        <v>13714</v>
      </c>
      <c r="AG22" s="49">
        <f>ROUND('件数(合算）'!AH23*'件数(合算）'!K23*$E22,0)</f>
        <v>20571</v>
      </c>
      <c r="AH22" s="49">
        <f>ROUND('件数(合算）'!AI23*'件数(合算）'!K23*$E22,0)</f>
        <v>20571</v>
      </c>
      <c r="AI22" s="49">
        <f>ROUND('件数(合算）'!AJ23*'件数(合算）'!K23*$E22,0)</f>
        <v>17143</v>
      </c>
      <c r="AJ22" s="49">
        <f>ROUND('件数(合算）'!AK23*'件数(合算）'!K23*$E22,0)</f>
        <v>17143</v>
      </c>
      <c r="AK22" s="49">
        <f>ROUND('件数(合算）'!AL23*'件数(合算）'!K23*$F22,0)</f>
        <v>13714</v>
      </c>
      <c r="AL22" s="49">
        <f>ROUND('件数(合算）'!AM23*'件数(合算）'!K23*$F22,0)</f>
        <v>10286</v>
      </c>
      <c r="AM22" s="49">
        <f>ROUND('件数(合算）'!AN23*'件数(合算）'!K23*$E22,0)</f>
        <v>10286</v>
      </c>
      <c r="AN22" s="49">
        <f>ROUND('件数(合算）'!AO23*'件数(合算）'!K23*$E22,0)</f>
        <v>10286</v>
      </c>
      <c r="AO22" s="49">
        <f>ROUND('件数(合算）'!AP23*'件数(合算）'!K23*$E22,0)</f>
        <v>10286</v>
      </c>
      <c r="AP22" s="49">
        <f>ROUND('件数(合算）'!AQ23*'件数(合算）'!K23*$E22,0)</f>
        <v>10286</v>
      </c>
      <c r="AQ22" s="49">
        <f>ROUND('件数(合算）'!AR23*'件数(合算）'!K23*$E22,0)</f>
        <v>10286</v>
      </c>
      <c r="AR22" s="49">
        <f>ROUND('件数(合算）'!AS23*'件数(合算）'!K23*$E22,0)</f>
        <v>13714</v>
      </c>
      <c r="AS22" s="49">
        <f>ROUND('件数(合算）'!AT23*'件数(合算）'!K23*$E22,0)</f>
        <v>10286</v>
      </c>
      <c r="AT22" s="49">
        <f>ROUND('件数(合算）'!AU23*'件数(合算）'!K23*$E22,0)</f>
        <v>10286</v>
      </c>
      <c r="AU22" s="49">
        <f>ROUND('件数(合算）'!AV23*'件数(合算）'!K23*$E22,0)</f>
        <v>10286</v>
      </c>
      <c r="AV22" s="12">
        <f t="shared" si="4"/>
        <v>2746287</v>
      </c>
    </row>
    <row r="23" spans="1:48" ht="22" customHeight="1">
      <c r="A23" s="26">
        <v>355413</v>
      </c>
      <c r="B23" s="27" t="s">
        <v>71</v>
      </c>
      <c r="C23" s="25"/>
      <c r="D23" s="9"/>
      <c r="E23" s="5">
        <f>'件数(合算）'!E24</f>
        <v>4000</v>
      </c>
      <c r="F23" s="5">
        <f>'件数(合算）'!F24</f>
        <v>4000</v>
      </c>
      <c r="G23" s="5">
        <f>'件数(合算）'!G24</f>
        <v>4000</v>
      </c>
      <c r="K23" s="4">
        <f>'件数(合算）'!K24</f>
        <v>8.9743589743589744E-2</v>
      </c>
      <c r="L23" s="4">
        <f>'件数(合算）'!K24</f>
        <v>8.9743589743589744E-2</v>
      </c>
      <c r="M23" s="4">
        <f>'件数(合算）'!K24</f>
        <v>8.9743589743589744E-2</v>
      </c>
      <c r="N23" s="4">
        <f>'件数(合算）'!K24</f>
        <v>8.9743589743589744E-2</v>
      </c>
      <c r="O23" s="5">
        <f>ROUND('件数(合算）'!P24*'件数(合算）'!K24*$G23,0)</f>
        <v>1436</v>
      </c>
      <c r="P23" s="5">
        <f>ROUND('件数(合算）'!Q24*'件数(合算）'!K24*$G23,0)</f>
        <v>1795</v>
      </c>
      <c r="Q23" s="5">
        <f>ROUND('件数(合算）'!R24*'件数(合算）'!K24*$G23,0)</f>
        <v>1077</v>
      </c>
      <c r="R23" s="5">
        <f>ROUND('件数(合算）'!S24*'件数(合算）'!K24*$G23,0)</f>
        <v>1436</v>
      </c>
      <c r="S23" s="5">
        <f>ROUND('件数(合算）'!T24*'件数(合算）'!K24*$G23,0)</f>
        <v>1436</v>
      </c>
      <c r="T23" s="5">
        <f>ROUND('件数(合算）'!U24*'件数(合算）'!K24*$G23,0)</f>
        <v>1436</v>
      </c>
      <c r="U23" s="5">
        <f>ROUND('件数(合算）'!V24*'件数(合算）'!K24*$G23,0)</f>
        <v>1436</v>
      </c>
      <c r="V23" s="5">
        <f>ROUND('件数(合算）'!W24*'件数(合算）'!K24*$G23,0)</f>
        <v>1436</v>
      </c>
      <c r="W23" s="5">
        <f>ROUND('件数(合算）'!X24*'件数(合算）'!K24*$G23,0)</f>
        <v>1795</v>
      </c>
      <c r="X23" s="5">
        <f>ROUND('件数(合算）'!Y24*'件数(合算）'!K24*$G23,0)</f>
        <v>718</v>
      </c>
      <c r="Y23" s="5">
        <f>ROUND('件数(合算）'!Z24*'件数(合算）'!K24*$G23,0)</f>
        <v>718</v>
      </c>
      <c r="Z23" s="5">
        <f>ROUND('件数(合算）'!AA24*'件数(合算）'!K24*$F23,0)</f>
        <v>1436</v>
      </c>
      <c r="AA23" s="5">
        <f>ROUND('件数(合算）'!AB24*'件数(合算）'!K24*$F23,0)</f>
        <v>1436</v>
      </c>
      <c r="AB23" s="5">
        <f>ROUND('件数(合算）'!AC24*'件数(合算）'!K24*$F23,0)</f>
        <v>1436</v>
      </c>
      <c r="AC23" s="5">
        <f>ROUND('件数(合算）'!AD24*'件数(合算）'!K24*$F23,0)</f>
        <v>1436</v>
      </c>
      <c r="AD23" s="5">
        <f>ROUND('件数(合算）'!AE24*'件数(合算）'!K24*$F23,0)</f>
        <v>1795</v>
      </c>
      <c r="AE23" s="5">
        <f>ROUND('件数(合算）'!AF24*'件数(合算）'!K24*$F23,0)</f>
        <v>718</v>
      </c>
      <c r="AF23" s="5">
        <f>ROUND('件数(合算）'!AG24*'件数(合算）'!K24*$E23,0)</f>
        <v>718</v>
      </c>
      <c r="AG23" s="5">
        <f>ROUND('件数(合算）'!AH24*'件数(合算）'!K24*$E23,0)</f>
        <v>359</v>
      </c>
      <c r="AH23" s="5">
        <f>ROUND('件数(合算）'!AI24*'件数(合算）'!K24*$E23,0)</f>
        <v>359</v>
      </c>
      <c r="AI23" s="5">
        <f>ROUND('件数(合算）'!AJ24*'件数(合算）'!K24*$E23,0)</f>
        <v>359</v>
      </c>
      <c r="AJ23" s="5">
        <f>ROUND('件数(合算）'!AK24*'件数(合算）'!K24*$E23,0)</f>
        <v>359</v>
      </c>
      <c r="AK23" s="5">
        <f>ROUND('件数(合算）'!AL24*'件数(合算）'!K24*$F23,0)</f>
        <v>718</v>
      </c>
      <c r="AL23" s="5">
        <f>ROUND('件数(合算）'!AM24*'件数(合算）'!K24*$F23,0)</f>
        <v>359</v>
      </c>
      <c r="AM23" s="5">
        <f>ROUND('件数(合算）'!AN24*'件数(合算）'!K24*$E23,0)</f>
        <v>718</v>
      </c>
      <c r="AN23" s="5">
        <f>ROUND('件数(合算）'!AO24*'件数(合算）'!K24*$E23,0)</f>
        <v>1077</v>
      </c>
      <c r="AO23" s="5">
        <f>ROUND('件数(合算）'!AP24*'件数(合算）'!K24*$E23,0)</f>
        <v>1077</v>
      </c>
      <c r="AP23" s="5">
        <f>ROUND('件数(合算）'!AQ24*'件数(合算）'!K24*$E23,0)</f>
        <v>1077</v>
      </c>
      <c r="AQ23" s="5">
        <f>ROUND('件数(合算）'!AR24*'件数(合算）'!K24*$E23,0)</f>
        <v>1077</v>
      </c>
      <c r="AR23" s="5">
        <f>ROUND('件数(合算）'!AS24*'件数(合算）'!K24*$E23,0)</f>
        <v>1436</v>
      </c>
      <c r="AS23" s="5">
        <f>ROUND('件数(合算）'!AT24*'件数(合算）'!K24*$E23,0)</f>
        <v>718</v>
      </c>
      <c r="AT23" s="5">
        <f>ROUND('件数(合算）'!AU24*'件数(合算）'!K24*$E23,0)</f>
        <v>1077</v>
      </c>
      <c r="AU23" s="5">
        <f>ROUND('件数(合算）'!AV24*'件数(合算）'!K24*$E23,0)</f>
        <v>1077</v>
      </c>
      <c r="AV23" s="12">
        <f t="shared" si="4"/>
        <v>35541</v>
      </c>
    </row>
    <row r="24" spans="1:48" ht="22" customHeight="1">
      <c r="A24" s="34">
        <v>379186</v>
      </c>
      <c r="B24" s="35" t="s">
        <v>73</v>
      </c>
      <c r="C24" s="32"/>
      <c r="D24" s="39"/>
      <c r="E24" s="49">
        <f>'件数(合算）'!E25</f>
        <v>18000</v>
      </c>
      <c r="F24" s="49">
        <f>'件数(合算）'!F25</f>
        <v>18000</v>
      </c>
      <c r="G24" s="49">
        <f>'件数(合算）'!G25</f>
        <v>18000</v>
      </c>
      <c r="K24" s="37">
        <f>'件数(合算）'!K25</f>
        <v>0.23809523809523811</v>
      </c>
      <c r="L24" s="37">
        <f>'件数(合算）'!K25</f>
        <v>0.23809523809523811</v>
      </c>
      <c r="M24" s="37">
        <f>'件数(合算）'!K25</f>
        <v>0.23809523809523811</v>
      </c>
      <c r="N24" s="37">
        <f>'件数(合算）'!K25</f>
        <v>0.23809523809523811</v>
      </c>
      <c r="O24" s="49">
        <f>ROUND('件数(合算）'!P25*'件数(合算）'!K25*$G24,0)</f>
        <v>8571</v>
      </c>
      <c r="P24" s="49">
        <f>ROUND('件数(合算）'!Q25*'件数(合算）'!K25*$G24,0)</f>
        <v>8571</v>
      </c>
      <c r="Q24" s="49">
        <f>ROUND('件数(合算）'!R25*'件数(合算）'!K25*$G24,0)</f>
        <v>12857</v>
      </c>
      <c r="R24" s="49">
        <f>ROUND('件数(合算）'!S25*'件数(合算）'!K25*$G24,0)</f>
        <v>8571</v>
      </c>
      <c r="S24" s="49">
        <f>ROUND('件数(合算）'!T25*'件数(合算）'!K25*$G24,0)</f>
        <v>8571</v>
      </c>
      <c r="T24" s="49">
        <f>ROUND('件数(合算）'!U25*'件数(合算）'!K25*$G24,0)</f>
        <v>8571</v>
      </c>
      <c r="U24" s="49">
        <f>ROUND('件数(合算）'!V25*'件数(合算）'!K25*$G24,0)</f>
        <v>8571</v>
      </c>
      <c r="V24" s="49">
        <f>ROUND('件数(合算）'!W25*'件数(合算）'!K25*$G24,0)</f>
        <v>8571</v>
      </c>
      <c r="W24" s="49">
        <f>ROUND('件数(合算）'!X25*'件数(合算）'!K25*$G24,0)</f>
        <v>8571</v>
      </c>
      <c r="X24" s="49">
        <f>ROUND('件数(合算）'!Y25*'件数(合算）'!K25*$G24,0)</f>
        <v>12857</v>
      </c>
      <c r="Y24" s="49">
        <f>ROUND('件数(合算）'!Z25*'件数(合算）'!K25*$G24,0)</f>
        <v>8571</v>
      </c>
      <c r="Z24" s="49">
        <f>ROUND('件数(合算）'!AA25*'件数(合算）'!K25*$F24,0)</f>
        <v>8571</v>
      </c>
      <c r="AA24" s="49">
        <f>ROUND('件数(合算）'!AB25*'件数(合算）'!K25*$F24,0)</f>
        <v>8571</v>
      </c>
      <c r="AB24" s="49">
        <f>ROUND('件数(合算）'!AC25*'件数(合算）'!K25*$F24,0)</f>
        <v>8571</v>
      </c>
      <c r="AC24" s="49">
        <f>ROUND('件数(合算）'!AD25*'件数(合算）'!K25*$F24,0)</f>
        <v>8571</v>
      </c>
      <c r="AD24" s="49">
        <f>ROUND('件数(合算）'!AE25*'件数(合算）'!K25*$F24,0)</f>
        <v>8571</v>
      </c>
      <c r="AE24" s="49">
        <f>ROUND('件数(合算）'!AF25*'件数(合算）'!K25*$F24,0)</f>
        <v>12857</v>
      </c>
      <c r="AF24" s="49">
        <f>ROUND('件数(合算）'!AG25*'件数(合算）'!K25*$E24,0)</f>
        <v>8571</v>
      </c>
      <c r="AG24" s="49">
        <f>ROUND('件数(合算）'!AH25*'件数(合算）'!K25*$E24,0)</f>
        <v>12857</v>
      </c>
      <c r="AH24" s="49">
        <f>ROUND('件数(合算）'!AI25*'件数(合算）'!K25*$E24,0)</f>
        <v>12857</v>
      </c>
      <c r="AI24" s="49">
        <f>ROUND('件数(合算）'!AJ25*'件数(合算）'!K25*$E24,0)</f>
        <v>12857</v>
      </c>
      <c r="AJ24" s="49">
        <f>ROUND('件数(合算）'!AK25*'件数(合算）'!K25*$E24,0)</f>
        <v>12857</v>
      </c>
      <c r="AK24" s="49">
        <f>ROUND('件数(合算）'!AL25*'件数(合算）'!K25*$F24,0)</f>
        <v>4286</v>
      </c>
      <c r="AL24" s="49">
        <f>ROUND('件数(合算）'!AM25*'件数(合算）'!K25*$F24,0)</f>
        <v>8571</v>
      </c>
      <c r="AM24" s="49">
        <f>ROUND('件数(合算）'!AN25*'件数(合算）'!K25*$E24,0)</f>
        <v>4286</v>
      </c>
      <c r="AN24" s="49">
        <f>ROUND('件数(合算）'!AO25*'件数(合算）'!K25*$E24,0)</f>
        <v>17143</v>
      </c>
      <c r="AO24" s="49">
        <f>ROUND('件数(合算）'!AP25*'件数(合算）'!K25*$E24,0)</f>
        <v>17143</v>
      </c>
      <c r="AP24" s="49">
        <f>ROUND('件数(合算）'!AQ25*'件数(合算）'!K25*$E24,0)</f>
        <v>17143</v>
      </c>
      <c r="AQ24" s="49">
        <f>ROUND('件数(合算）'!AR25*'件数(合算）'!K25*$E24,0)</f>
        <v>17143</v>
      </c>
      <c r="AR24" s="49">
        <f>ROUND('件数(合算）'!AS25*'件数(合算）'!K25*$E24,0)</f>
        <v>12857</v>
      </c>
      <c r="AS24" s="49">
        <f>ROUND('件数(合算）'!AT25*'件数(合算）'!K25*$E24,0)</f>
        <v>21429</v>
      </c>
      <c r="AT24" s="49">
        <f>ROUND('件数(合算）'!AU25*'件数(合算）'!K25*$E24,0)</f>
        <v>17143</v>
      </c>
      <c r="AU24" s="49">
        <f>ROUND('件数(合算）'!AV25*'件数(合算）'!K25*$E24,0)</f>
        <v>17143</v>
      </c>
      <c r="AV24" s="12">
        <f t="shared" si="4"/>
        <v>372851</v>
      </c>
    </row>
    <row r="25" spans="1:48" ht="22" customHeight="1">
      <c r="A25" s="26">
        <v>129217</v>
      </c>
      <c r="B25" s="27" t="s">
        <v>75</v>
      </c>
      <c r="C25" s="25"/>
      <c r="D25" s="9"/>
      <c r="E25" s="5">
        <f>'件数(合算）'!E26</f>
        <v>14000</v>
      </c>
      <c r="F25" s="5">
        <f>'件数(合算）'!F26</f>
        <v>14000</v>
      </c>
      <c r="G25" s="5">
        <f>'件数(合算）'!G26</f>
        <v>14000</v>
      </c>
      <c r="K25" s="4">
        <f>'件数(合算）'!K26</f>
        <v>0.33750000000000002</v>
      </c>
      <c r="L25" s="4">
        <f>'件数(合算）'!K26</f>
        <v>0.33750000000000002</v>
      </c>
      <c r="M25" s="4">
        <f>'件数(合算）'!K26</f>
        <v>0.33750000000000002</v>
      </c>
      <c r="N25" s="4">
        <f>'件数(合算）'!K26</f>
        <v>0.33750000000000002</v>
      </c>
      <c r="O25" s="5">
        <f>ROUND('件数(合算）'!P26*'件数(合算）'!K26*$G25,0)</f>
        <v>18900</v>
      </c>
      <c r="P25" s="5">
        <f>ROUND('件数(合算）'!Q26*'件数(合算）'!K26*$G25,0)</f>
        <v>4725</v>
      </c>
      <c r="Q25" s="5">
        <f>ROUND('件数(合算）'!R26*'件数(合算）'!K26*$G25,0)</f>
        <v>9450</v>
      </c>
      <c r="R25" s="5">
        <f>ROUND('件数(合算）'!S26*'件数(合算）'!K26*$G25,0)</f>
        <v>18900</v>
      </c>
      <c r="S25" s="5">
        <f>ROUND('件数(合算）'!T26*'件数(合算）'!K26*$G25,0)</f>
        <v>18900</v>
      </c>
      <c r="T25" s="5">
        <f>ROUND('件数(合算）'!U26*'件数(合算）'!K26*$G25,0)</f>
        <v>18900</v>
      </c>
      <c r="U25" s="5">
        <f>ROUND('件数(合算）'!V26*'件数(合算）'!K26*$G25,0)</f>
        <v>18900</v>
      </c>
      <c r="V25" s="5">
        <f>ROUND('件数(合算）'!W26*'件数(合算）'!K26*$G25,0)</f>
        <v>18900</v>
      </c>
      <c r="W25" s="5">
        <f>ROUND('件数(合算）'!X26*'件数(合算）'!K26*$G25,0)</f>
        <v>4725</v>
      </c>
      <c r="X25" s="5">
        <f>ROUND('件数(合算）'!Y26*'件数(合算）'!K26*$G25,0)</f>
        <v>4725</v>
      </c>
      <c r="Y25" s="5">
        <f>ROUND('件数(合算）'!Z26*'件数(合算）'!K26*$G25,0)</f>
        <v>14175</v>
      </c>
      <c r="Z25" s="5">
        <f>ROUND('件数(合算）'!AA26*'件数(合算）'!K26*$F25,0)</f>
        <v>18900</v>
      </c>
      <c r="AA25" s="5">
        <f>ROUND('件数(合算）'!AB26*'件数(合算）'!K26*$F25,0)</f>
        <v>18900</v>
      </c>
      <c r="AB25" s="5">
        <f>ROUND('件数(合算）'!AC26*'件数(合算）'!K26*$F25,0)</f>
        <v>18900</v>
      </c>
      <c r="AC25" s="5">
        <f>ROUND('件数(合算）'!AD26*'件数(合算）'!K26*$F25,0)</f>
        <v>18900</v>
      </c>
      <c r="AD25" s="5">
        <f>ROUND('件数(合算）'!AE26*'件数(合算）'!K26*$F25,0)</f>
        <v>4725</v>
      </c>
      <c r="AE25" s="5">
        <f>ROUND('件数(合算）'!AF26*'件数(合算）'!K26*$F25,0)</f>
        <v>4725</v>
      </c>
      <c r="AF25" s="5">
        <f>ROUND('件数(合算）'!AG26*'件数(合算）'!K26*$E25,0)</f>
        <v>14175</v>
      </c>
      <c r="AG25" s="5">
        <f>ROUND('件数(合算）'!AH26*'件数(合算）'!K26*$E25,0)</f>
        <v>18900</v>
      </c>
      <c r="AH25" s="5">
        <f>ROUND('件数(合算）'!AI26*'件数(合算）'!K26*$E25,0)</f>
        <v>18900</v>
      </c>
      <c r="AI25" s="5">
        <f>ROUND('件数(合算）'!AJ26*'件数(合算）'!K26*$E25,0)</f>
        <v>18900</v>
      </c>
      <c r="AJ25" s="5">
        <f>ROUND('件数(合算）'!AK26*'件数(合算）'!K26*$E25,0)</f>
        <v>18900</v>
      </c>
      <c r="AK25" s="5">
        <f>ROUND('件数(合算）'!AL26*'件数(合算）'!K26*$F25,0)</f>
        <v>4725</v>
      </c>
      <c r="AL25" s="5">
        <f>ROUND('件数(合算）'!AM26*'件数(合算）'!K26*$F25,0)</f>
        <v>4725</v>
      </c>
      <c r="AM25" s="5">
        <f>ROUND('件数(合算）'!AN26*'件数(合算）'!K26*$E25,0)</f>
        <v>14175</v>
      </c>
      <c r="AN25" s="5">
        <f>ROUND('件数(合算）'!AO26*'件数(合算）'!K26*$E25,0)</f>
        <v>14175</v>
      </c>
      <c r="AO25" s="5">
        <f>ROUND('件数(合算）'!AP26*'件数(合算）'!K26*$E25,0)</f>
        <v>9450</v>
      </c>
      <c r="AP25" s="5">
        <f>ROUND('件数(合算）'!AQ26*'件数(合算）'!K26*$E25,0)</f>
        <v>9450</v>
      </c>
      <c r="AQ25" s="5">
        <f>ROUND('件数(合算）'!AR26*'件数(合算）'!K26*$E25,0)</f>
        <v>9450</v>
      </c>
      <c r="AR25" s="5">
        <f>ROUND('件数(合算）'!AS26*'件数(合算）'!K26*$E25,0)</f>
        <v>0</v>
      </c>
      <c r="AS25" s="5">
        <f>ROUND('件数(合算）'!AT26*'件数(合算）'!K26*$E25,0)</f>
        <v>0</v>
      </c>
      <c r="AT25" s="5">
        <f>ROUND('件数(合算）'!AU26*'件数(合算）'!K26*$E25,0)</f>
        <v>9450</v>
      </c>
      <c r="AU25" s="5">
        <f>ROUND('件数(合算）'!AV26*'件数(合算）'!K26*$E25,0)</f>
        <v>9450</v>
      </c>
      <c r="AV25" s="12">
        <f t="shared" si="4"/>
        <v>411075</v>
      </c>
    </row>
    <row r="26" spans="1:48" ht="22" customHeight="1">
      <c r="A26" s="34">
        <v>391206</v>
      </c>
      <c r="B26" s="35" t="s">
        <v>77</v>
      </c>
      <c r="C26" s="32" t="s">
        <v>212</v>
      </c>
      <c r="D26" s="39"/>
      <c r="E26" s="49">
        <f>'件数(合算）'!E27</f>
        <v>4000</v>
      </c>
      <c r="F26" s="49">
        <f>'件数(合算）'!F27</f>
        <v>4000</v>
      </c>
      <c r="G26" s="49">
        <f>'件数(合算）'!G27</f>
        <v>17000</v>
      </c>
      <c r="K26" s="37">
        <f>'件数(合算）'!K27</f>
        <v>9.0909090909090912E-2</v>
      </c>
      <c r="L26" s="37">
        <f>'件数(合算）'!K27</f>
        <v>9.0909090909090912E-2</v>
      </c>
      <c r="M26" s="37">
        <f>'件数(合算）'!K27</f>
        <v>9.0909090909090912E-2</v>
      </c>
      <c r="N26" s="37">
        <f>'件数(合算）'!K27</f>
        <v>9.0909090909090912E-2</v>
      </c>
      <c r="O26" s="49">
        <f>ROUND('件数(合算）'!P27*'件数(合算）'!K27*$G26,0)</f>
        <v>12364</v>
      </c>
      <c r="P26" s="49">
        <f>ROUND('件数(合算）'!Q27*'件数(合算）'!K27*$G26,0)</f>
        <v>12364</v>
      </c>
      <c r="Q26" s="49">
        <f>ROUND('件数(合算）'!R27*'件数(合算）'!K27*$G26,0)</f>
        <v>12364</v>
      </c>
      <c r="R26" s="49">
        <f>ROUND('件数(合算）'!S27*'件数(合算）'!K27*$G26,0)</f>
        <v>12364</v>
      </c>
      <c r="S26" s="49">
        <f>ROUND('件数(合算）'!T27*'件数(合算）'!K27*$G26,0)</f>
        <v>12364</v>
      </c>
      <c r="T26" s="49">
        <f>ROUND('件数(合算）'!U27*'件数(合算）'!K27*$G26,0)</f>
        <v>12364</v>
      </c>
      <c r="U26" s="49">
        <f>ROUND('件数(合算）'!V27*'件数(合算）'!K27*$G26,0)</f>
        <v>12364</v>
      </c>
      <c r="V26" s="49">
        <f>ROUND('件数(合算）'!W27*'件数(合算）'!K27*$G26,0)</f>
        <v>12364</v>
      </c>
      <c r="W26" s="49">
        <f>ROUND('件数(合算）'!X27*'件数(合算）'!K27*$G26,0)</f>
        <v>12364</v>
      </c>
      <c r="X26" s="49">
        <f>ROUND('件数(合算）'!Y27*'件数(合算）'!K27*$G26,0)</f>
        <v>13909</v>
      </c>
      <c r="Y26" s="49">
        <f>ROUND('件数(合算）'!Z27*'件数(合算）'!K27*$G26,0)</f>
        <v>15455</v>
      </c>
      <c r="Z26" s="49">
        <f>ROUND('件数(合算）'!AA27*'件数(合算）'!K27*$F26,0)</f>
        <v>1091</v>
      </c>
      <c r="AA26" s="49">
        <f>ROUND('件数(合算）'!AB27*'件数(合算）'!K27*$F26,0)</f>
        <v>1091</v>
      </c>
      <c r="AB26" s="49">
        <f>ROUND('件数(合算）'!AC27*'件数(合算）'!K27*$F26,0)</f>
        <v>1091</v>
      </c>
      <c r="AC26" s="49">
        <f>ROUND('件数(合算）'!AD27*'件数(合算）'!K27*$F26,0)</f>
        <v>1091</v>
      </c>
      <c r="AD26" s="49">
        <f>ROUND('件数(合算）'!AE27*'件数(合算）'!K27*$F26,0)</f>
        <v>2545</v>
      </c>
      <c r="AE26" s="49">
        <f>ROUND('件数(合算）'!AF27*'件数(合算）'!K27*$F26,0)</f>
        <v>2545</v>
      </c>
      <c r="AF26" s="49">
        <f>ROUND('件数(合算）'!AG27*'件数(合算）'!K27*$E26,0)</f>
        <v>1455</v>
      </c>
      <c r="AG26" s="49">
        <f>ROUND('件数(合算）'!AH27*'件数(合算）'!K27*$E26,0)</f>
        <v>1455</v>
      </c>
      <c r="AH26" s="49">
        <f>ROUND('件数(合算）'!AI27*'件数(合算）'!K27*$E26,0)</f>
        <v>1455</v>
      </c>
      <c r="AI26" s="49">
        <f>ROUND('件数(合算）'!AJ27*'件数(合算）'!K27*$E26,0)</f>
        <v>1455</v>
      </c>
      <c r="AJ26" s="49">
        <f>ROUND('件数(合算）'!AK27*'件数(合算）'!K27*$E26,0)</f>
        <v>1455</v>
      </c>
      <c r="AK26" s="49">
        <f>ROUND('件数(合算）'!AL27*'件数(合算）'!K27*$F26,0)</f>
        <v>2545</v>
      </c>
      <c r="AL26" s="49">
        <f>ROUND('件数(合算）'!AM27*'件数(合算）'!K27*$F26,0)</f>
        <v>2545</v>
      </c>
      <c r="AM26" s="49">
        <f>ROUND('件数(合算）'!AN27*'件数(合算）'!K27*$E26,0)</f>
        <v>2545</v>
      </c>
      <c r="AN26" s="49">
        <f>ROUND('件数(合算）'!AO27*'件数(合算）'!K27*$E26,0)</f>
        <v>1455</v>
      </c>
      <c r="AO26" s="49">
        <f>ROUND('件数(合算）'!AP27*'件数(合算）'!K27*$E26,0)</f>
        <v>1455</v>
      </c>
      <c r="AP26" s="49">
        <f>ROUND('件数(合算）'!AQ27*'件数(合算）'!K27*$E26,0)</f>
        <v>1455</v>
      </c>
      <c r="AQ26" s="49">
        <f>ROUND('件数(合算）'!AR27*'件数(合算）'!K27*$E26,0)</f>
        <v>1455</v>
      </c>
      <c r="AR26" s="49">
        <f>ROUND('件数(合算）'!AS27*'件数(合算）'!K27*$E26,0)</f>
        <v>2545</v>
      </c>
      <c r="AS26" s="49">
        <f>ROUND('件数(合算）'!AT27*'件数(合算）'!K27*$E26,0)</f>
        <v>2545</v>
      </c>
      <c r="AT26" s="49">
        <f>ROUND('件数(合算）'!AU27*'件数(合算）'!K27*$E26,0)</f>
        <v>1455</v>
      </c>
      <c r="AU26" s="49">
        <f>ROUND('件数(合算）'!AV27*'件数(合算）'!K27*$E26,0)</f>
        <v>1455</v>
      </c>
      <c r="AV26" s="12">
        <f t="shared" si="4"/>
        <v>178824</v>
      </c>
    </row>
    <row r="27" spans="1:48" ht="22" customHeight="1">
      <c r="A27" s="26">
        <v>386941</v>
      </c>
      <c r="B27" s="27" t="s">
        <v>79</v>
      </c>
      <c r="C27" s="25" t="s">
        <v>212</v>
      </c>
      <c r="D27" s="9"/>
      <c r="E27" s="5">
        <f>'件数(合算）'!E28</f>
        <v>8200</v>
      </c>
      <c r="F27" s="5">
        <f>'件数(合算）'!F28</f>
        <v>8200</v>
      </c>
      <c r="G27" s="5">
        <f>'件数(合算）'!G28</f>
        <v>8200</v>
      </c>
      <c r="K27" s="4">
        <f>'件数(合算）'!K28</f>
        <v>0.3923076923076923</v>
      </c>
      <c r="L27" s="4">
        <f>'件数(合算）'!K28</f>
        <v>0.3923076923076923</v>
      </c>
      <c r="M27" s="4">
        <f>'件数(合算）'!K28</f>
        <v>0.3923076923076923</v>
      </c>
      <c r="N27" s="4">
        <f>'件数(合算）'!K28</f>
        <v>0.3923076923076923</v>
      </c>
      <c r="O27" s="5">
        <f>ROUND('件数(合算）'!P28*'件数(合算）'!K28*$G27,0)</f>
        <v>22518</v>
      </c>
      <c r="P27" s="5">
        <f>ROUND('件数(合算）'!Q28*'件数(合算）'!K28*$G27,0)</f>
        <v>25735</v>
      </c>
      <c r="Q27" s="5">
        <f>ROUND('件数(合算）'!R28*'件数(合算）'!K28*$G27,0)</f>
        <v>28952</v>
      </c>
      <c r="R27" s="5">
        <f>ROUND('件数(合算）'!S28*'件数(合算）'!K28*$G27,0)</f>
        <v>22518</v>
      </c>
      <c r="S27" s="5">
        <f>ROUND('件数(合算）'!T28*'件数(合算）'!K28*$G27,0)</f>
        <v>22518</v>
      </c>
      <c r="T27" s="5">
        <f>ROUND('件数(合算）'!U28*'件数(合算）'!K28*$G27,0)</f>
        <v>22518</v>
      </c>
      <c r="U27" s="5">
        <f>ROUND('件数(合算）'!V28*'件数(合算）'!K28*$G27,0)</f>
        <v>22518</v>
      </c>
      <c r="V27" s="5">
        <f>ROUND('件数(合算）'!W28*'件数(合算）'!K28*$G27,0)</f>
        <v>19302</v>
      </c>
      <c r="W27" s="5">
        <f>ROUND('件数(合算）'!X28*'件数(合算）'!K28*$G27,0)</f>
        <v>22518</v>
      </c>
      <c r="X27" s="5">
        <f>ROUND('件数(合算）'!Y28*'件数(合算）'!K28*$G27,0)</f>
        <v>9651</v>
      </c>
      <c r="Y27" s="5">
        <f>ROUND('件数(合算）'!Z28*'件数(合算）'!K28*$G27,0)</f>
        <v>6434</v>
      </c>
      <c r="Z27" s="5">
        <f>ROUND('件数(合算）'!AA28*'件数(合算）'!K28*$F27,0)</f>
        <v>6434</v>
      </c>
      <c r="AA27" s="5">
        <f>ROUND('件数(合算）'!AB28*'件数(合算）'!K28*$F27,0)</f>
        <v>6434</v>
      </c>
      <c r="AB27" s="5">
        <f>ROUND('件数(合算）'!AC28*'件数(合算）'!K28*$F27,0)</f>
        <v>6434</v>
      </c>
      <c r="AC27" s="5">
        <f>ROUND('件数(合算）'!AD28*'件数(合算）'!K28*$F27,0)</f>
        <v>6434</v>
      </c>
      <c r="AD27" s="5">
        <f>ROUND('件数(合算）'!AE28*'件数(合算）'!K28*$F27,0)</f>
        <v>6434</v>
      </c>
      <c r="AE27" s="5">
        <f>ROUND('件数(合算）'!AF28*'件数(合算）'!K28*$F27,0)</f>
        <v>9651</v>
      </c>
      <c r="AF27" s="5">
        <f>ROUND('件数(合算）'!AG28*'件数(合算）'!K28*$E27,0)</f>
        <v>6434</v>
      </c>
      <c r="AG27" s="5">
        <f>ROUND('件数(合算）'!AH28*'件数(合算）'!K28*$E27,0)</f>
        <v>9651</v>
      </c>
      <c r="AH27" s="5">
        <f>ROUND('件数(合算）'!AI28*'件数(合算）'!K28*$E27,0)</f>
        <v>9651</v>
      </c>
      <c r="AI27" s="5">
        <f>ROUND('件数(合算）'!AJ28*'件数(合算）'!K28*$E27,0)</f>
        <v>9651</v>
      </c>
      <c r="AJ27" s="5">
        <f>ROUND('件数(合算）'!AK28*'件数(合算）'!K28*$E27,0)</f>
        <v>9651</v>
      </c>
      <c r="AK27" s="5">
        <f>ROUND('件数(合算）'!AL28*'件数(合算）'!K28*$F27,0)</f>
        <v>3217</v>
      </c>
      <c r="AL27" s="5">
        <f>ROUND('件数(合算）'!AM28*'件数(合算）'!K28*$F27,0)</f>
        <v>6434</v>
      </c>
      <c r="AM27" s="5">
        <f>ROUND('件数(合算）'!AN28*'件数(合算）'!K28*$E27,0)</f>
        <v>3217</v>
      </c>
      <c r="AN27" s="5">
        <f>ROUND('件数(合算）'!AO28*'件数(合算）'!K28*$E27,0)</f>
        <v>12868</v>
      </c>
      <c r="AO27" s="5">
        <f>ROUND('件数(合算）'!AP28*'件数(合算）'!K28*$E27,0)</f>
        <v>12868</v>
      </c>
      <c r="AP27" s="5">
        <f>ROUND('件数(合算）'!AQ28*'件数(合算）'!K28*$E27,0)</f>
        <v>12868</v>
      </c>
      <c r="AQ27" s="5">
        <f>ROUND('件数(合算）'!AR28*'件数(合算）'!K28*$E27,0)</f>
        <v>12868</v>
      </c>
      <c r="AR27" s="5">
        <f>ROUND('件数(合算）'!AS28*'件数(合算）'!K28*$E27,0)</f>
        <v>9651</v>
      </c>
      <c r="AS27" s="5">
        <f>ROUND('件数(合算）'!AT28*'件数(合算）'!K28*$E27,0)</f>
        <v>16085</v>
      </c>
      <c r="AT27" s="5">
        <f>ROUND('件数(合算）'!AU28*'件数(合算）'!K28*$E27,0)</f>
        <v>12868</v>
      </c>
      <c r="AU27" s="5">
        <f>ROUND('件数(合算）'!AV28*'件数(合算）'!K28*$E27,0)</f>
        <v>12868</v>
      </c>
      <c r="AV27" s="12">
        <f t="shared" si="4"/>
        <v>427853</v>
      </c>
    </row>
    <row r="28" spans="1:48" ht="22" customHeight="1">
      <c r="A28" s="34">
        <v>370582</v>
      </c>
      <c r="B28" s="35" t="s">
        <v>81</v>
      </c>
      <c r="C28" s="32"/>
      <c r="D28" s="39"/>
      <c r="E28" s="49">
        <f>'件数(合算）'!E29</f>
        <v>17000</v>
      </c>
      <c r="F28" s="49">
        <f>'件数(合算）'!F29</f>
        <v>17000</v>
      </c>
      <c r="G28" s="49">
        <f>'件数(合算）'!G29</f>
        <v>1300</v>
      </c>
      <c r="K28" s="37">
        <f>'件数(合算）'!K29</f>
        <v>0.19626168224299059</v>
      </c>
      <c r="L28" s="37">
        <f>'件数(合算）'!K29</f>
        <v>0.19626168224299059</v>
      </c>
      <c r="M28" s="37">
        <f>'件数(合算）'!K29</f>
        <v>0.19626168224299059</v>
      </c>
      <c r="N28" s="37">
        <f>'件数(合算）'!K29</f>
        <v>0.19626168224299059</v>
      </c>
      <c r="O28" s="49">
        <f>ROUND('件数(合算）'!P29*'件数(合算）'!K29*$G28,0)</f>
        <v>1276</v>
      </c>
      <c r="P28" s="49">
        <f>ROUND('件数(合算）'!Q29*'件数(合算）'!K29*$G28,0)</f>
        <v>1021</v>
      </c>
      <c r="Q28" s="49">
        <f>ROUND('件数(合算）'!R29*'件数(合算）'!K29*$G28,0)</f>
        <v>1276</v>
      </c>
      <c r="R28" s="49">
        <f>ROUND('件数(合算）'!S29*'件数(合算）'!K29*$G28,0)</f>
        <v>1276</v>
      </c>
      <c r="S28" s="49">
        <f>ROUND('件数(合算）'!T29*'件数(合算）'!K29*$G28,0)</f>
        <v>1276</v>
      </c>
      <c r="T28" s="49">
        <f>ROUND('件数(合算）'!U29*'件数(合算）'!K29*$G28,0)</f>
        <v>1276</v>
      </c>
      <c r="U28" s="49">
        <f>ROUND('件数(合算）'!V29*'件数(合算）'!K29*$G28,0)</f>
        <v>1276</v>
      </c>
      <c r="V28" s="49">
        <f>ROUND('件数(合算）'!W29*'件数(合算）'!K29*$G28,0)</f>
        <v>1276</v>
      </c>
      <c r="W28" s="49">
        <f>ROUND('件数(合算）'!X29*'件数(合算）'!K29*$G28,0)</f>
        <v>1021</v>
      </c>
      <c r="X28" s="49">
        <f>ROUND('件数(合算）'!Y29*'件数(合算）'!K29*$G28,0)</f>
        <v>1021</v>
      </c>
      <c r="Y28" s="49">
        <f>ROUND('件数(合算）'!Z29*'件数(合算）'!K29*$G28,0)</f>
        <v>1021</v>
      </c>
      <c r="Z28" s="49">
        <f>ROUND('件数(合算）'!AA29*'件数(合算）'!K29*$F28,0)</f>
        <v>6673</v>
      </c>
      <c r="AA28" s="49">
        <f>ROUND('件数(合算）'!AB29*'件数(合算）'!K29*$F28,0)</f>
        <v>6673</v>
      </c>
      <c r="AB28" s="49">
        <f>ROUND('件数(合算）'!AC29*'件数(合算）'!K29*$F28,0)</f>
        <v>6673</v>
      </c>
      <c r="AC28" s="49">
        <f>ROUND('件数(合算）'!AD29*'件数(合算）'!K29*$F28,0)</f>
        <v>6673</v>
      </c>
      <c r="AD28" s="49">
        <f>ROUND('件数(合算）'!AE29*'件数(合算）'!K29*$F28,0)</f>
        <v>10009</v>
      </c>
      <c r="AE28" s="49">
        <f>ROUND('件数(合算）'!AF29*'件数(合算）'!K29*$F28,0)</f>
        <v>10009</v>
      </c>
      <c r="AF28" s="49">
        <f>ROUND('件数(合算）'!AG29*'件数(合算）'!K29*$E28,0)</f>
        <v>6673</v>
      </c>
      <c r="AG28" s="49">
        <f>ROUND('件数(合算）'!AH29*'件数(合算）'!K29*$E28,0)</f>
        <v>6673</v>
      </c>
      <c r="AH28" s="49">
        <f>ROUND('件数(合算）'!AI29*'件数(合算）'!K29*$E28,0)</f>
        <v>6673</v>
      </c>
      <c r="AI28" s="49">
        <f>ROUND('件数(合算）'!AJ29*'件数(合算）'!K29*$E28,0)</f>
        <v>6673</v>
      </c>
      <c r="AJ28" s="49">
        <f>ROUND('件数(合算）'!AK29*'件数(合算）'!K29*$E28,0)</f>
        <v>6673</v>
      </c>
      <c r="AK28" s="49">
        <f>ROUND('件数(合算）'!AL29*'件数(合算）'!K29*$F28,0)</f>
        <v>10009</v>
      </c>
      <c r="AL28" s="49">
        <f>ROUND('件数(合算）'!AM29*'件数(合算）'!K29*$F28,0)</f>
        <v>10009</v>
      </c>
      <c r="AM28" s="49">
        <f>ROUND('件数(合算）'!AN29*'件数(合算）'!K29*$E28,0)</f>
        <v>10009</v>
      </c>
      <c r="AN28" s="49">
        <f>ROUND('件数(合算）'!AO29*'件数(合算）'!K29*$E28,0)</f>
        <v>6673</v>
      </c>
      <c r="AO28" s="49">
        <f>ROUND('件数(合算）'!AP29*'件数(合算）'!K29*$E28,0)</f>
        <v>6673</v>
      </c>
      <c r="AP28" s="49">
        <f>ROUND('件数(合算）'!AQ29*'件数(合算）'!K29*$E28,0)</f>
        <v>6673</v>
      </c>
      <c r="AQ28" s="49">
        <f>ROUND('件数(合算）'!AR29*'件数(合算）'!K29*$E28,0)</f>
        <v>6673</v>
      </c>
      <c r="AR28" s="49">
        <f>ROUND('件数(合算）'!AS29*'件数(合算）'!K29*$E28,0)</f>
        <v>10009</v>
      </c>
      <c r="AS28" s="49">
        <f>ROUND('件数(合算）'!AT29*'件数(合算）'!K29*$E28,0)</f>
        <v>13346</v>
      </c>
      <c r="AT28" s="49">
        <f>ROUND('件数(合算）'!AU29*'件数(合算）'!K29*$E28,0)</f>
        <v>6673</v>
      </c>
      <c r="AU28" s="49">
        <f>ROUND('件数(合算）'!AV29*'件数(合算）'!K29*$E28,0)</f>
        <v>6673</v>
      </c>
      <c r="AV28" s="12">
        <f t="shared" si="4"/>
        <v>186511</v>
      </c>
    </row>
    <row r="29" spans="1:48" ht="22" customHeight="1">
      <c r="A29" s="26">
        <v>346991</v>
      </c>
      <c r="B29" s="27" t="s">
        <v>83</v>
      </c>
      <c r="C29" s="25" t="s">
        <v>212</v>
      </c>
      <c r="D29" s="9"/>
      <c r="E29" s="5">
        <f>'件数(合算）'!E30</f>
        <v>11000</v>
      </c>
      <c r="F29" s="5">
        <f>'件数(合算）'!F30</f>
        <v>11000</v>
      </c>
      <c r="G29" s="5">
        <f>'件数(合算）'!G30</f>
        <v>12000</v>
      </c>
      <c r="K29" s="4">
        <f>'件数(合算）'!K30</f>
        <v>0.40136054421768708</v>
      </c>
      <c r="L29" s="4">
        <f>'件数(合算）'!K30</f>
        <v>0.40136054421768708</v>
      </c>
      <c r="M29" s="4">
        <f>'件数(合算）'!K30</f>
        <v>0.40136054421768708</v>
      </c>
      <c r="N29" s="4">
        <f>'件数(合算）'!K30</f>
        <v>0.40136054421768708</v>
      </c>
      <c r="O29" s="5">
        <f>ROUND('件数(合算）'!P30*'件数(合算）'!K30*$G29,0)</f>
        <v>28898</v>
      </c>
      <c r="P29" s="5">
        <f>ROUND('件数(合算）'!Q30*'件数(合算）'!K30*$G29,0)</f>
        <v>38531</v>
      </c>
      <c r="Q29" s="5">
        <f>ROUND('件数(合算）'!R30*'件数(合算）'!K30*$G29,0)</f>
        <v>38531</v>
      </c>
      <c r="R29" s="5">
        <f>ROUND('件数(合算）'!S30*'件数(合算）'!K30*$G29,0)</f>
        <v>33714</v>
      </c>
      <c r="S29" s="5">
        <f>ROUND('件数(合算）'!T30*'件数(合算）'!K30*$G29,0)</f>
        <v>33714</v>
      </c>
      <c r="T29" s="5">
        <f>ROUND('件数(合算）'!U30*'件数(合算）'!K30*$G29,0)</f>
        <v>38531</v>
      </c>
      <c r="U29" s="5">
        <f>ROUND('件数(合算）'!V30*'件数(合算）'!K30*$G29,0)</f>
        <v>38531</v>
      </c>
      <c r="V29" s="5">
        <f>ROUND('件数(合算）'!W30*'件数(合算）'!K30*$G29,0)</f>
        <v>28898</v>
      </c>
      <c r="W29" s="5">
        <f>ROUND('件数(合算）'!X30*'件数(合算）'!K30*$G29,0)</f>
        <v>38531</v>
      </c>
      <c r="X29" s="5">
        <f>ROUND('件数(合算）'!Y30*'件数(合算）'!K30*$G29,0)</f>
        <v>38531</v>
      </c>
      <c r="Y29" s="5">
        <f>ROUND('件数(合算）'!Z30*'件数(合算）'!K30*$G29,0)</f>
        <v>28898</v>
      </c>
      <c r="Z29" s="5">
        <f>ROUND('件数(合算）'!AA30*'件数(合算）'!K30*$F29,0)</f>
        <v>17660</v>
      </c>
      <c r="AA29" s="5">
        <f>ROUND('件数(合算）'!AB30*'件数(合算）'!K30*$F29,0)</f>
        <v>17660</v>
      </c>
      <c r="AB29" s="5">
        <f>ROUND('件数(合算）'!AC30*'件数(合算）'!K30*$F29,0)</f>
        <v>17660</v>
      </c>
      <c r="AC29" s="5">
        <f>ROUND('件数(合算）'!AD30*'件数(合算）'!K30*$F29,0)</f>
        <v>17660</v>
      </c>
      <c r="AD29" s="5">
        <f>ROUND('件数(合算）'!AE30*'件数(合算）'!K30*$F29,0)</f>
        <v>22075</v>
      </c>
      <c r="AE29" s="5">
        <f>ROUND('件数(合算）'!AF30*'件数(合算）'!K30*$F29,0)</f>
        <v>26490</v>
      </c>
      <c r="AF29" s="5">
        <f>ROUND('件数(合算）'!AG30*'件数(合算）'!K30*$E29,0)</f>
        <v>17660</v>
      </c>
      <c r="AG29" s="5">
        <f>ROUND('件数(合算）'!AH30*'件数(合算）'!K30*$E29,0)</f>
        <v>17660</v>
      </c>
      <c r="AH29" s="5">
        <f>ROUND('件数(合算）'!AI30*'件数(合算）'!K30*$E29,0)</f>
        <v>17660</v>
      </c>
      <c r="AI29" s="5">
        <f>ROUND('件数(合算）'!AJ30*'件数(合算）'!K30*$E29,0)</f>
        <v>17660</v>
      </c>
      <c r="AJ29" s="5">
        <f>ROUND('件数(合算）'!AK30*'件数(合算）'!K30*$E29,0)</f>
        <v>17660</v>
      </c>
      <c r="AK29" s="5">
        <f>ROUND('件数(合算）'!AL30*'件数(合算）'!K30*$F29,0)</f>
        <v>22075</v>
      </c>
      <c r="AL29" s="5">
        <f>ROUND('件数(合算）'!AM30*'件数(合算）'!K30*$F29,0)</f>
        <v>26490</v>
      </c>
      <c r="AM29" s="5">
        <f>ROUND('件数(合算）'!AN30*'件数(合算）'!K30*$E29,0)</f>
        <v>26490</v>
      </c>
      <c r="AN29" s="5">
        <f>ROUND('件数(合算）'!AO30*'件数(合算）'!K30*$E29,0)</f>
        <v>17660</v>
      </c>
      <c r="AO29" s="5">
        <f>ROUND('件数(合算）'!AP30*'件数(合算）'!K30*$E29,0)</f>
        <v>17660</v>
      </c>
      <c r="AP29" s="5">
        <f>ROUND('件数(合算）'!AQ30*'件数(合算）'!K30*$E29,0)</f>
        <v>17660</v>
      </c>
      <c r="AQ29" s="5">
        <f>ROUND('件数(合算）'!AR30*'件数(合算）'!K30*$E29,0)</f>
        <v>17660</v>
      </c>
      <c r="AR29" s="5">
        <f>ROUND('件数(合算）'!AS30*'件数(合算）'!K30*$E29,0)</f>
        <v>22075</v>
      </c>
      <c r="AS29" s="5">
        <f>ROUND('件数(合算）'!AT30*'件数(合算）'!K30*$E29,0)</f>
        <v>26490</v>
      </c>
      <c r="AT29" s="5">
        <f>ROUND('件数(合算）'!AU30*'件数(合算）'!K30*$E29,0)</f>
        <v>17660</v>
      </c>
      <c r="AU29" s="5">
        <f>ROUND('件数(合算）'!AV30*'件数(合算）'!K30*$E29,0)</f>
        <v>17660</v>
      </c>
      <c r="AV29" s="12">
        <f t="shared" si="4"/>
        <v>822393</v>
      </c>
    </row>
    <row r="30" spans="1:48" ht="22" customHeight="1">
      <c r="A30" s="34">
        <v>33077</v>
      </c>
      <c r="B30" s="35" t="s">
        <v>85</v>
      </c>
      <c r="C30" s="32" t="s">
        <v>212</v>
      </c>
      <c r="D30" s="39"/>
      <c r="E30" s="49">
        <f>'件数(合算）'!E31</f>
        <v>9000</v>
      </c>
      <c r="F30" s="49">
        <f>'件数(合算）'!F31</f>
        <v>9000</v>
      </c>
      <c r="G30" s="49">
        <f>'件数(合算）'!G31</f>
        <v>13000</v>
      </c>
      <c r="K30" s="37">
        <f>'件数(合算）'!K31</f>
        <v>0.50909090909090904</v>
      </c>
      <c r="L30" s="37">
        <f>'件数(合算）'!K31</f>
        <v>0.50909090909090904</v>
      </c>
      <c r="M30" s="37">
        <f>'件数(合算）'!K31</f>
        <v>0.50909090909090904</v>
      </c>
      <c r="N30" s="37">
        <f>'件数(合算）'!K31</f>
        <v>0.50909090909090904</v>
      </c>
      <c r="O30" s="49">
        <f>ROUND('件数(合算）'!P31*'件数(合算）'!K31*$G30,0)</f>
        <v>19855</v>
      </c>
      <c r="P30" s="49">
        <f>ROUND('件数(合算）'!Q31*'件数(合算）'!K31*$G30,0)</f>
        <v>19855</v>
      </c>
      <c r="Q30" s="49">
        <f>ROUND('件数(合算）'!R31*'件数(合算）'!K31*$G30,0)</f>
        <v>19855</v>
      </c>
      <c r="R30" s="49">
        <f>ROUND('件数(合算）'!S31*'件数(合算）'!K31*$G30,0)</f>
        <v>19855</v>
      </c>
      <c r="S30" s="49">
        <f>ROUND('件数(合算）'!T31*'件数(合算）'!K31*$G30,0)</f>
        <v>19855</v>
      </c>
      <c r="T30" s="49">
        <f>ROUND('件数(合算）'!U31*'件数(合算）'!K31*$G30,0)</f>
        <v>19855</v>
      </c>
      <c r="U30" s="49">
        <f>ROUND('件数(合算）'!V31*'件数(合算）'!K31*$G30,0)</f>
        <v>19855</v>
      </c>
      <c r="V30" s="49">
        <f>ROUND('件数(合算）'!W31*'件数(合算）'!K31*$G30,0)</f>
        <v>19855</v>
      </c>
      <c r="W30" s="49">
        <f>ROUND('件数(合算）'!X31*'件数(合算）'!K31*$G30,0)</f>
        <v>19855</v>
      </c>
      <c r="X30" s="49">
        <f>ROUND('件数(合算）'!Y31*'件数(合算）'!K31*$G30,0)</f>
        <v>19855</v>
      </c>
      <c r="Y30" s="49">
        <f>ROUND('件数(合算）'!Z31*'件数(合算）'!K31*$G30,0)</f>
        <v>19855</v>
      </c>
      <c r="Z30" s="49">
        <f>ROUND('件数(合算）'!AA31*'件数(合算）'!K31*$F30,0)</f>
        <v>4582</v>
      </c>
      <c r="AA30" s="49">
        <f>ROUND('件数(合算）'!AB31*'件数(合算）'!K31*$F30,0)</f>
        <v>4582</v>
      </c>
      <c r="AB30" s="49">
        <f>ROUND('件数(合算）'!AC31*'件数(合算）'!K31*$F30,0)</f>
        <v>4582</v>
      </c>
      <c r="AC30" s="49">
        <f>ROUND('件数(合算）'!AD31*'件数(合算）'!K31*$F30,0)</f>
        <v>4582</v>
      </c>
      <c r="AD30" s="49">
        <f>ROUND('件数(合算）'!AE31*'件数(合算）'!K31*$F30,0)</f>
        <v>4582</v>
      </c>
      <c r="AE30" s="49">
        <f>ROUND('件数(合算）'!AF31*'件数(合算）'!K31*$F30,0)</f>
        <v>4582</v>
      </c>
      <c r="AF30" s="49">
        <f>ROUND('件数(合算）'!AG31*'件数(合算）'!K31*$E30,0)</f>
        <v>4582</v>
      </c>
      <c r="AG30" s="49">
        <f>ROUND('件数(合算）'!AH31*'件数(合算）'!K31*$E30,0)</f>
        <v>4582</v>
      </c>
      <c r="AH30" s="49">
        <f>ROUND('件数(合算）'!AI31*'件数(合算）'!K31*$E30,0)</f>
        <v>4582</v>
      </c>
      <c r="AI30" s="49">
        <f>ROUND('件数(合算）'!AJ31*'件数(合算）'!K31*$E30,0)</f>
        <v>4582</v>
      </c>
      <c r="AJ30" s="49">
        <f>ROUND('件数(合算）'!AK31*'件数(合算）'!K31*$E30,0)</f>
        <v>4582</v>
      </c>
      <c r="AK30" s="49">
        <f>ROUND('件数(合算）'!AL31*'件数(合算）'!K31*$F30,0)</f>
        <v>4582</v>
      </c>
      <c r="AL30" s="49">
        <f>ROUND('件数(合算）'!AM31*'件数(合算）'!K31*$F30,0)</f>
        <v>4582</v>
      </c>
      <c r="AM30" s="49">
        <f>ROUND('件数(合算）'!AN31*'件数(合算）'!K31*$E30,0)</f>
        <v>4582</v>
      </c>
      <c r="AN30" s="49">
        <f>ROUND('件数(合算）'!AO31*'件数(合算）'!K31*$E30,0)</f>
        <v>4582</v>
      </c>
      <c r="AO30" s="49">
        <f>ROUND('件数(合算）'!AP31*'件数(合算）'!K31*$E30,0)</f>
        <v>4582</v>
      </c>
      <c r="AP30" s="49">
        <f>ROUND('件数(合算）'!AQ31*'件数(合算）'!K31*$E30,0)</f>
        <v>4582</v>
      </c>
      <c r="AQ30" s="49">
        <f>ROUND('件数(合算）'!AR31*'件数(合算）'!K31*$E30,0)</f>
        <v>4582</v>
      </c>
      <c r="AR30" s="49">
        <f>ROUND('件数(合算）'!AS31*'件数(合算）'!K31*$E30,0)</f>
        <v>4582</v>
      </c>
      <c r="AS30" s="49">
        <f>ROUND('件数(合算）'!AT31*'件数(合算）'!K31*$E30,0)</f>
        <v>4582</v>
      </c>
      <c r="AT30" s="49">
        <f>ROUND('件数(合算）'!AU31*'件数(合算）'!K31*$E30,0)</f>
        <v>4582</v>
      </c>
      <c r="AU30" s="49">
        <f>ROUND('件数(合算）'!AV31*'件数(合算）'!K31*$E30,0)</f>
        <v>4582</v>
      </c>
      <c r="AV30" s="12">
        <f t="shared" si="4"/>
        <v>319209</v>
      </c>
    </row>
    <row r="31" spans="1:48" ht="22" customHeight="1">
      <c r="A31" s="26">
        <v>374919</v>
      </c>
      <c r="B31" s="27" t="s">
        <v>87</v>
      </c>
      <c r="C31" s="25"/>
      <c r="D31" s="9"/>
      <c r="E31" s="5">
        <f>'件数(合算）'!E32</f>
        <v>6000</v>
      </c>
      <c r="F31" s="5">
        <f>'件数(合算）'!F32</f>
        <v>6000</v>
      </c>
      <c r="G31" s="5">
        <f>'件数(合算）'!G32</f>
        <v>5500</v>
      </c>
      <c r="K31" s="4">
        <f>'件数(合算）'!K32</f>
        <v>0.2068965517241379</v>
      </c>
      <c r="L31" s="4">
        <f>'件数(合算）'!K32</f>
        <v>0.2068965517241379</v>
      </c>
      <c r="M31" s="4">
        <f>'件数(合算）'!K32</f>
        <v>0.2068965517241379</v>
      </c>
      <c r="N31" s="4">
        <f>'件数(合算）'!K32</f>
        <v>0.2068965517241379</v>
      </c>
      <c r="O31" s="5">
        <f>ROUND('件数(合算）'!P32*'件数(合算）'!K32*$G31,0)</f>
        <v>5690</v>
      </c>
      <c r="P31" s="5">
        <f>ROUND('件数(合算）'!Q32*'件数(合算）'!K32*$G31,0)</f>
        <v>5690</v>
      </c>
      <c r="Q31" s="5">
        <f>ROUND('件数(合算）'!R32*'件数(合算）'!K32*$G31,0)</f>
        <v>5690</v>
      </c>
      <c r="R31" s="5">
        <f>ROUND('件数(合算）'!S32*'件数(合算）'!K32*$G31,0)</f>
        <v>5690</v>
      </c>
      <c r="S31" s="5">
        <f>ROUND('件数(合算）'!T32*'件数(合算）'!K32*$G31,0)</f>
        <v>5690</v>
      </c>
      <c r="T31" s="5">
        <f>ROUND('件数(合算）'!U32*'件数(合算）'!K32*$G31,0)</f>
        <v>5690</v>
      </c>
      <c r="U31" s="5">
        <f>ROUND('件数(合算）'!V32*'件数(合算）'!K32*$G31,0)</f>
        <v>5690</v>
      </c>
      <c r="V31" s="5">
        <f>ROUND('件数(合算）'!W32*'件数(合算）'!K32*$G31,0)</f>
        <v>5690</v>
      </c>
      <c r="W31" s="5">
        <f>ROUND('件数(合算）'!X32*'件数(合算）'!K32*$G31,0)</f>
        <v>5690</v>
      </c>
      <c r="X31" s="5">
        <f>ROUND('件数(合算）'!Y32*'件数(合算）'!K32*$G31,0)</f>
        <v>5690</v>
      </c>
      <c r="Y31" s="5">
        <f>ROUND('件数(合算）'!Z32*'件数(合算）'!K32*$G31,0)</f>
        <v>5690</v>
      </c>
      <c r="Z31" s="5">
        <f>ROUND('件数(合算）'!AA32*'件数(合算）'!K32*$F31,0)</f>
        <v>1241</v>
      </c>
      <c r="AA31" s="5">
        <f>ROUND('件数(合算）'!AB32*'件数(合算）'!K32*$F31,0)</f>
        <v>1241</v>
      </c>
      <c r="AB31" s="5">
        <f>ROUND('件数(合算）'!AC32*'件数(合算）'!K32*$F31,0)</f>
        <v>1241</v>
      </c>
      <c r="AC31" s="5">
        <f>ROUND('件数(合算）'!AD32*'件数(合算）'!K32*$F31,0)</f>
        <v>1241</v>
      </c>
      <c r="AD31" s="5">
        <f>ROUND('件数(合算）'!AE32*'件数(合算）'!K32*$F31,0)</f>
        <v>3724</v>
      </c>
      <c r="AE31" s="5">
        <f>ROUND('件数(合算）'!AF32*'件数(合算）'!K32*$F31,0)</f>
        <v>3724</v>
      </c>
      <c r="AF31" s="5">
        <f>ROUND('件数(合算）'!AG32*'件数(合算）'!K32*$E31,0)</f>
        <v>2483</v>
      </c>
      <c r="AG31" s="5">
        <f>ROUND('件数(合算）'!AH32*'件数(合算）'!K32*$E31,0)</f>
        <v>2483</v>
      </c>
      <c r="AH31" s="5">
        <f>ROUND('件数(合算）'!AI32*'件数(合算）'!K32*$E31,0)</f>
        <v>2483</v>
      </c>
      <c r="AI31" s="5">
        <f>ROUND('件数(合算）'!AJ32*'件数(合算）'!K32*$E31,0)</f>
        <v>2483</v>
      </c>
      <c r="AJ31" s="5">
        <f>ROUND('件数(合算）'!AK32*'件数(合算）'!K32*$E31,0)</f>
        <v>1241</v>
      </c>
      <c r="AK31" s="5">
        <f>ROUND('件数(合算）'!AL32*'件数(合算）'!K32*$F31,0)</f>
        <v>3724</v>
      </c>
      <c r="AL31" s="5">
        <f>ROUND('件数(合算）'!AM32*'件数(合算）'!K32*$F31,0)</f>
        <v>3724</v>
      </c>
      <c r="AM31" s="5">
        <f>ROUND('件数(合算）'!AN32*'件数(合算）'!K32*$E31,0)</f>
        <v>2483</v>
      </c>
      <c r="AN31" s="5">
        <f>ROUND('件数(合算）'!AO32*'件数(合算）'!K32*$E31,0)</f>
        <v>1241</v>
      </c>
      <c r="AO31" s="5">
        <f>ROUND('件数(合算）'!AP32*'件数(合算）'!K32*$E31,0)</f>
        <v>1241</v>
      </c>
      <c r="AP31" s="5">
        <f>ROUND('件数(合算）'!AQ32*'件数(合算）'!K32*$E31,0)</f>
        <v>1241</v>
      </c>
      <c r="AQ31" s="5">
        <f>ROUND('件数(合算）'!AR32*'件数(合算）'!K32*$E31,0)</f>
        <v>1241</v>
      </c>
      <c r="AR31" s="5">
        <f>ROUND('件数(合算）'!AS32*'件数(合算）'!K32*$E31,0)</f>
        <v>2483</v>
      </c>
      <c r="AS31" s="5">
        <f>ROUND('件数(合算）'!AT32*'件数(合算）'!K32*$E31,0)</f>
        <v>3724</v>
      </c>
      <c r="AT31" s="5">
        <f>ROUND('件数(合算）'!AU32*'件数(合算）'!K32*$E31,0)</f>
        <v>1241</v>
      </c>
      <c r="AU31" s="5">
        <f>ROUND('件数(合算）'!AV32*'件数(合算）'!K32*$E31,0)</f>
        <v>1241</v>
      </c>
      <c r="AV31" s="12">
        <f t="shared" si="4"/>
        <v>109759</v>
      </c>
    </row>
    <row r="32" spans="1:48" ht="22" customHeight="1">
      <c r="A32" s="34">
        <v>385218</v>
      </c>
      <c r="B32" s="35" t="s">
        <v>89</v>
      </c>
      <c r="C32" s="32"/>
      <c r="D32" s="39"/>
      <c r="E32" s="49">
        <f>'件数(合算）'!E33</f>
        <v>15000</v>
      </c>
      <c r="F32" s="49">
        <f>'件数(合算）'!F33</f>
        <v>15000</v>
      </c>
      <c r="G32" s="49">
        <f>'件数(合算）'!G33</f>
        <v>1300</v>
      </c>
      <c r="K32" s="37">
        <f>'件数(合算）'!K33</f>
        <v>0.1176470588235294</v>
      </c>
      <c r="L32" s="37">
        <f>'件数(合算）'!K33</f>
        <v>0.1176470588235294</v>
      </c>
      <c r="M32" s="37">
        <f>'件数(合算）'!K33</f>
        <v>0.1176470588235294</v>
      </c>
      <c r="N32" s="37">
        <f>'件数(合算）'!K33</f>
        <v>0.1176470588235294</v>
      </c>
      <c r="O32" s="49">
        <f>ROUND('件数(合算）'!P33*'件数(合算）'!K33*$G32,0)</f>
        <v>153</v>
      </c>
      <c r="P32" s="49">
        <f>ROUND('件数(合算）'!Q33*'件数(合算）'!K33*$G32,0)</f>
        <v>153</v>
      </c>
      <c r="Q32" s="49">
        <f>ROUND('件数(合算）'!R33*'件数(合算）'!K33*$G32,0)</f>
        <v>153</v>
      </c>
      <c r="R32" s="49">
        <f>ROUND('件数(合算）'!S33*'件数(合算）'!K33*$G32,0)</f>
        <v>153</v>
      </c>
      <c r="S32" s="49">
        <f>ROUND('件数(合算）'!T33*'件数(合算）'!K33*$G32,0)</f>
        <v>153</v>
      </c>
      <c r="T32" s="49">
        <f>ROUND('件数(合算）'!U33*'件数(合算）'!K33*$G32,0)</f>
        <v>153</v>
      </c>
      <c r="U32" s="49">
        <f>ROUND('件数(合算）'!V33*'件数(合算）'!K33*$G32,0)</f>
        <v>153</v>
      </c>
      <c r="V32" s="49">
        <f>ROUND('件数(合算）'!W33*'件数(合算）'!K33*$G32,0)</f>
        <v>153</v>
      </c>
      <c r="W32" s="49">
        <f>ROUND('件数(合算）'!X33*'件数(合算）'!K33*$G32,0)</f>
        <v>153</v>
      </c>
      <c r="X32" s="49">
        <f>ROUND('件数(合算）'!Y33*'件数(合算）'!K33*$G32,0)</f>
        <v>153</v>
      </c>
      <c r="Y32" s="49">
        <f>ROUND('件数(合算）'!Z33*'件数(合算）'!K33*$G32,0)</f>
        <v>153</v>
      </c>
      <c r="Z32" s="49">
        <f>ROUND('件数(合算）'!AA33*'件数(合算）'!K33*$F32,0)</f>
        <v>1765</v>
      </c>
      <c r="AA32" s="49">
        <f>ROUND('件数(合算）'!AB33*'件数(合算）'!K33*$F32,0)</f>
        <v>1765</v>
      </c>
      <c r="AB32" s="49">
        <f>ROUND('件数(合算）'!AC33*'件数(合算）'!K33*$F32,0)</f>
        <v>1765</v>
      </c>
      <c r="AC32" s="49">
        <f>ROUND('件数(合算）'!AD33*'件数(合算）'!K33*$F32,0)</f>
        <v>1765</v>
      </c>
      <c r="AD32" s="49">
        <f>ROUND('件数(合算）'!AE33*'件数(合算）'!K33*$F32,0)</f>
        <v>1765</v>
      </c>
      <c r="AE32" s="49">
        <f>ROUND('件数(合算）'!AF33*'件数(合算）'!K33*$F32,0)</f>
        <v>1765</v>
      </c>
      <c r="AF32" s="49">
        <f>ROUND('件数(合算）'!AG33*'件数(合算）'!K33*$E32,0)</f>
        <v>1765</v>
      </c>
      <c r="AG32" s="49">
        <f>ROUND('件数(合算）'!AH33*'件数(合算）'!K33*$E32,0)</f>
        <v>1765</v>
      </c>
      <c r="AH32" s="49">
        <f>ROUND('件数(合算）'!AI33*'件数(合算）'!K33*$E32,0)</f>
        <v>0</v>
      </c>
      <c r="AI32" s="49">
        <f>ROUND('件数(合算）'!AJ33*'件数(合算）'!K33*$E32,0)</f>
        <v>0</v>
      </c>
      <c r="AJ32" s="49">
        <f>ROUND('件数(合算）'!AK33*'件数(合算）'!K33*$E32,0)</f>
        <v>0</v>
      </c>
      <c r="AK32" s="49">
        <f>ROUND('件数(合算）'!AL33*'件数(合算）'!K33*$F32,0)</f>
        <v>0</v>
      </c>
      <c r="AL32" s="49">
        <f>ROUND('件数(合算）'!AM33*'件数(合算）'!K33*$F32,0)</f>
        <v>0</v>
      </c>
      <c r="AM32" s="49">
        <f>ROUND('件数(合算）'!AN33*'件数(合算）'!K33*$E32,0)</f>
        <v>0</v>
      </c>
      <c r="AN32" s="49">
        <f>ROUND('件数(合算）'!AO33*'件数(合算）'!K33*$E32,0)</f>
        <v>1765</v>
      </c>
      <c r="AO32" s="49">
        <f>ROUND('件数(合算）'!AP33*'件数(合算）'!K33*$E32,0)</f>
        <v>1765</v>
      </c>
      <c r="AP32" s="49">
        <f>ROUND('件数(合算）'!AQ33*'件数(合算）'!K33*$E32,0)</f>
        <v>1765</v>
      </c>
      <c r="AQ32" s="49">
        <f>ROUND('件数(合算）'!AR33*'件数(合算）'!K33*$E32,0)</f>
        <v>1765</v>
      </c>
      <c r="AR32" s="49">
        <f>ROUND('件数(合算）'!AS33*'件数(合算）'!K33*$E32,0)</f>
        <v>0</v>
      </c>
      <c r="AS32" s="49">
        <f>ROUND('件数(合算）'!AT33*'件数(合算）'!K33*$E32,0)</f>
        <v>0</v>
      </c>
      <c r="AT32" s="49">
        <f>ROUND('件数(合算）'!AU33*'件数(合算）'!K33*$E32,0)</f>
        <v>1765</v>
      </c>
      <c r="AU32" s="49">
        <f>ROUND('件数(合算）'!AV33*'件数(合算）'!K33*$E32,0)</f>
        <v>1765</v>
      </c>
      <c r="AV32" s="12">
        <f t="shared" si="4"/>
        <v>26393</v>
      </c>
    </row>
    <row r="33" spans="1:48" ht="22" customHeight="1">
      <c r="A33" s="26">
        <v>369103</v>
      </c>
      <c r="B33" s="27" t="s">
        <v>91</v>
      </c>
      <c r="C33" s="25"/>
      <c r="D33" s="9"/>
      <c r="E33" s="5">
        <f>'件数(合算）'!E34</f>
        <v>5000</v>
      </c>
      <c r="F33" s="5">
        <f>'件数(合算）'!F34</f>
        <v>5000</v>
      </c>
      <c r="G33" s="5">
        <f>'件数(合算）'!G34</f>
        <v>5000</v>
      </c>
      <c r="K33" s="4">
        <f>'件数(合算）'!K34</f>
        <v>0.6</v>
      </c>
      <c r="L33" s="4">
        <f>'件数(合算）'!K34</f>
        <v>0.6</v>
      </c>
      <c r="M33" s="4">
        <f>'件数(合算）'!K34</f>
        <v>0.6</v>
      </c>
      <c r="N33" s="4">
        <f>'件数(合算）'!K34</f>
        <v>0.6</v>
      </c>
      <c r="O33" s="5">
        <f>ROUND('件数(合算）'!P34*'件数(合算）'!K34*$G33,0)</f>
        <v>3000</v>
      </c>
      <c r="P33" s="5">
        <f>ROUND('件数(合算）'!Q34*'件数(合算）'!K34*$G33,0)</f>
        <v>3000</v>
      </c>
      <c r="Q33" s="5">
        <f>ROUND('件数(合算）'!R34*'件数(合算）'!K34*$G33,0)</f>
        <v>3000</v>
      </c>
      <c r="R33" s="5">
        <f>ROUND('件数(合算）'!S34*'件数(合算）'!K34*$G33,0)</f>
        <v>3000</v>
      </c>
      <c r="S33" s="5">
        <f>ROUND('件数(合算）'!T34*'件数(合算）'!K34*$G33,0)</f>
        <v>3000</v>
      </c>
      <c r="T33" s="5">
        <f>ROUND('件数(合算）'!U34*'件数(合算）'!K34*$G33,0)</f>
        <v>3000</v>
      </c>
      <c r="U33" s="5">
        <f>ROUND('件数(合算）'!V34*'件数(合算）'!K34*$G33,0)</f>
        <v>3000</v>
      </c>
      <c r="V33" s="5">
        <f>ROUND('件数(合算）'!W34*'件数(合算）'!K34*$G33,0)</f>
        <v>3000</v>
      </c>
      <c r="W33" s="5">
        <f>ROUND('件数(合算）'!X34*'件数(合算）'!K34*$G33,0)</f>
        <v>3000</v>
      </c>
      <c r="X33" s="5">
        <f>ROUND('件数(合算）'!Y34*'件数(合算）'!K34*$G33,0)</f>
        <v>3000</v>
      </c>
      <c r="Y33" s="5">
        <f>ROUND('件数(合算）'!Z34*'件数(合算）'!K34*$G33,0)</f>
        <v>0</v>
      </c>
      <c r="Z33" s="5">
        <f>ROUND('件数(合算）'!AA34*'件数(合算）'!K34*$F33,0)</f>
        <v>3000</v>
      </c>
      <c r="AA33" s="5">
        <f>ROUND('件数(合算）'!AB34*'件数(合算）'!K34*$F33,0)</f>
        <v>3000</v>
      </c>
      <c r="AB33" s="5">
        <f>ROUND('件数(合算）'!AC34*'件数(合算）'!K34*$F33,0)</f>
        <v>3000</v>
      </c>
      <c r="AC33" s="5">
        <f>ROUND('件数(合算）'!AD34*'件数(合算）'!K34*$F33,0)</f>
        <v>3000</v>
      </c>
      <c r="AD33" s="5">
        <f>ROUND('件数(合算）'!AE34*'件数(合算）'!K34*$F33,0)</f>
        <v>9000</v>
      </c>
      <c r="AE33" s="5">
        <f>ROUND('件数(合算）'!AF34*'件数(合算）'!K34*$F33,0)</f>
        <v>9000</v>
      </c>
      <c r="AF33" s="5">
        <f>ROUND('件数(合算）'!AG34*'件数(合算）'!K34*$E33,0)</f>
        <v>6000</v>
      </c>
      <c r="AG33" s="5">
        <f>ROUND('件数(合算）'!AH34*'件数(合算）'!K34*$E33,0)</f>
        <v>6000</v>
      </c>
      <c r="AH33" s="5">
        <f>ROUND('件数(合算）'!AI34*'件数(合算）'!K34*$E33,0)</f>
        <v>6000</v>
      </c>
      <c r="AI33" s="5">
        <f>ROUND('件数(合算）'!AJ34*'件数(合算）'!K34*$E33,0)</f>
        <v>6000</v>
      </c>
      <c r="AJ33" s="5">
        <f>ROUND('件数(合算）'!AK34*'件数(合算）'!K34*$E33,0)</f>
        <v>3000</v>
      </c>
      <c r="AK33" s="5">
        <f>ROUND('件数(合算）'!AL34*'件数(合算）'!K34*$F33,0)</f>
        <v>9000</v>
      </c>
      <c r="AL33" s="5">
        <f>ROUND('件数(合算）'!AM34*'件数(合算）'!K34*$F33,0)</f>
        <v>9000</v>
      </c>
      <c r="AM33" s="5">
        <f>ROUND('件数(合算）'!AN34*'件数(合算）'!K34*$E33,0)</f>
        <v>6000</v>
      </c>
      <c r="AN33" s="5">
        <f>ROUND('件数(合算）'!AO34*'件数(合算）'!K34*$E33,0)</f>
        <v>3000</v>
      </c>
      <c r="AO33" s="5">
        <f>ROUND('件数(合算）'!AP34*'件数(合算）'!K34*$E33,0)</f>
        <v>3000</v>
      </c>
      <c r="AP33" s="5">
        <f>ROUND('件数(合算）'!AQ34*'件数(合算）'!K34*$E33,0)</f>
        <v>3000</v>
      </c>
      <c r="AQ33" s="5">
        <f>ROUND('件数(合算）'!AR34*'件数(合算）'!K34*$E33,0)</f>
        <v>3000</v>
      </c>
      <c r="AR33" s="5">
        <f>ROUND('件数(合算）'!AS34*'件数(合算）'!K34*$E33,0)</f>
        <v>6000</v>
      </c>
      <c r="AS33" s="5">
        <f>ROUND('件数(合算）'!AT34*'件数(合算）'!K34*$E33,0)</f>
        <v>9000</v>
      </c>
      <c r="AT33" s="5">
        <f>ROUND('件数(合算）'!AU34*'件数(合算）'!K34*$E33,0)</f>
        <v>3000</v>
      </c>
      <c r="AU33" s="5">
        <f>ROUND('件数(合算）'!AV34*'件数(合算）'!K34*$E33,0)</f>
        <v>3000</v>
      </c>
      <c r="AV33" s="12">
        <f t="shared" si="4"/>
        <v>144000</v>
      </c>
    </row>
    <row r="34" spans="1:48" ht="22" customHeight="1">
      <c r="A34" s="34">
        <v>391527</v>
      </c>
      <c r="B34" s="35" t="s">
        <v>93</v>
      </c>
      <c r="C34" s="32"/>
      <c r="D34" s="39"/>
      <c r="E34" s="49">
        <f>'件数(合算）'!E35</f>
        <v>5000</v>
      </c>
      <c r="F34" s="49">
        <f>'件数(合算）'!F35</f>
        <v>5000</v>
      </c>
      <c r="G34" s="49">
        <f>'件数(合算）'!G35</f>
        <v>5000</v>
      </c>
      <c r="K34" s="37">
        <f>'件数(合算）'!K35</f>
        <v>0</v>
      </c>
      <c r="L34" s="37">
        <f>'件数(合算）'!K35</f>
        <v>0</v>
      </c>
      <c r="M34" s="37">
        <f>'件数(合算）'!K35</f>
        <v>0</v>
      </c>
      <c r="N34" s="37">
        <f>'件数(合算）'!K35</f>
        <v>0</v>
      </c>
      <c r="O34" s="49">
        <f>ROUND('件数(合算）'!P35*'件数(合算）'!K35*$G34,0)</f>
        <v>0</v>
      </c>
      <c r="P34" s="49">
        <f>ROUND('件数(合算）'!Q35*'件数(合算）'!K35*$G34,0)</f>
        <v>0</v>
      </c>
      <c r="Q34" s="49">
        <f>ROUND('件数(合算）'!R35*'件数(合算）'!K35*$G34,0)</f>
        <v>0</v>
      </c>
      <c r="R34" s="49">
        <f>ROUND('件数(合算）'!S35*'件数(合算）'!K35*$G34,0)</f>
        <v>0</v>
      </c>
      <c r="S34" s="49">
        <f>ROUND('件数(合算）'!T35*'件数(合算）'!K35*$G34,0)</f>
        <v>0</v>
      </c>
      <c r="T34" s="49">
        <f>ROUND('件数(合算）'!U35*'件数(合算）'!K35*$G34,0)</f>
        <v>0</v>
      </c>
      <c r="U34" s="49">
        <f>ROUND('件数(合算）'!V35*'件数(合算）'!K35*$G34,0)</f>
        <v>0</v>
      </c>
      <c r="V34" s="49">
        <f>ROUND('件数(合算）'!W35*'件数(合算）'!K35*$G34,0)</f>
        <v>0</v>
      </c>
      <c r="W34" s="49">
        <f>ROUND('件数(合算）'!X35*'件数(合算）'!K35*$G34,0)</f>
        <v>0</v>
      </c>
      <c r="X34" s="49">
        <f>ROUND('件数(合算）'!Y35*'件数(合算）'!K35*$G34,0)</f>
        <v>0</v>
      </c>
      <c r="Y34" s="49">
        <f>ROUND('件数(合算）'!Z35*'件数(合算）'!K35*$G34,0)</f>
        <v>0</v>
      </c>
      <c r="Z34" s="49">
        <f>ROUND('件数(合算）'!AA35*'件数(合算）'!K35*$F34,0)</f>
        <v>0</v>
      </c>
      <c r="AA34" s="49">
        <f>ROUND('件数(合算）'!AB35*'件数(合算）'!K35*$F34,0)</f>
        <v>0</v>
      </c>
      <c r="AB34" s="49">
        <f>ROUND('件数(合算）'!AC35*'件数(合算）'!K35*$F34,0)</f>
        <v>0</v>
      </c>
      <c r="AC34" s="49">
        <f>ROUND('件数(合算）'!AD35*'件数(合算）'!K35*$F34,0)</f>
        <v>0</v>
      </c>
      <c r="AD34" s="49">
        <f>ROUND('件数(合算）'!AE35*'件数(合算）'!K35*$F34,0)</f>
        <v>0</v>
      </c>
      <c r="AE34" s="49">
        <f>ROUND('件数(合算）'!AF35*'件数(合算）'!K35*$F34,0)</f>
        <v>0</v>
      </c>
      <c r="AF34" s="49">
        <f>ROUND('件数(合算）'!AG35*'件数(合算）'!K35*$E34,0)</f>
        <v>0</v>
      </c>
      <c r="AG34" s="49">
        <f>ROUND('件数(合算）'!AH35*'件数(合算）'!K35*$E34,0)</f>
        <v>0</v>
      </c>
      <c r="AH34" s="49">
        <f>ROUND('件数(合算）'!AI35*'件数(合算）'!K35*$E34,0)</f>
        <v>0</v>
      </c>
      <c r="AI34" s="49">
        <f>ROUND('件数(合算）'!AJ35*'件数(合算）'!K35*$E34,0)</f>
        <v>0</v>
      </c>
      <c r="AJ34" s="49">
        <f>ROUND('件数(合算）'!AK35*'件数(合算）'!K35*$E34,0)</f>
        <v>0</v>
      </c>
      <c r="AK34" s="49">
        <f>ROUND('件数(合算）'!AL35*'件数(合算）'!K35*$F34,0)</f>
        <v>0</v>
      </c>
      <c r="AL34" s="49">
        <f>ROUND('件数(合算）'!AM35*'件数(合算）'!K35*$F34,0)</f>
        <v>0</v>
      </c>
      <c r="AM34" s="49">
        <f>ROUND('件数(合算）'!AN35*'件数(合算）'!K35*$E34,0)</f>
        <v>0</v>
      </c>
      <c r="AN34" s="49">
        <f>ROUND('件数(合算）'!AO35*'件数(合算）'!K35*$E34,0)</f>
        <v>0</v>
      </c>
      <c r="AO34" s="49">
        <f>ROUND('件数(合算）'!AP35*'件数(合算）'!K35*$E34,0)</f>
        <v>0</v>
      </c>
      <c r="AP34" s="49">
        <f>ROUND('件数(合算）'!AQ35*'件数(合算）'!K35*$E34,0)</f>
        <v>0</v>
      </c>
      <c r="AQ34" s="49">
        <f>ROUND('件数(合算）'!AR35*'件数(合算）'!K35*$E34,0)</f>
        <v>0</v>
      </c>
      <c r="AR34" s="49">
        <f>ROUND('件数(合算）'!AS35*'件数(合算）'!K35*$E34,0)</f>
        <v>0</v>
      </c>
      <c r="AS34" s="49">
        <f>ROUND('件数(合算）'!AT35*'件数(合算）'!K35*$E34,0)</f>
        <v>0</v>
      </c>
      <c r="AT34" s="49">
        <f>ROUND('件数(合算）'!AU35*'件数(合算）'!K35*$E34,0)</f>
        <v>0</v>
      </c>
      <c r="AU34" s="49">
        <f>ROUND('件数(合算）'!AV35*'件数(合算）'!K35*$E34,0)</f>
        <v>0</v>
      </c>
      <c r="AV34" s="12">
        <f t="shared" si="4"/>
        <v>0</v>
      </c>
    </row>
    <row r="35" spans="1:48" ht="22" customHeight="1">
      <c r="A35" s="26">
        <v>1695</v>
      </c>
      <c r="B35" s="27" t="s">
        <v>95</v>
      </c>
      <c r="C35" s="25" t="s">
        <v>212</v>
      </c>
      <c r="D35" s="9"/>
      <c r="E35" s="5">
        <f>'件数(合算）'!E36</f>
        <v>2400</v>
      </c>
      <c r="F35" s="5">
        <f>'件数(合算）'!F36</f>
        <v>2400</v>
      </c>
      <c r="G35" s="5">
        <f>'件数(合算）'!G36</f>
        <v>11000</v>
      </c>
      <c r="K35" s="4">
        <f>'件数(合算）'!K36</f>
        <v>0.59090909090909094</v>
      </c>
      <c r="L35" s="4">
        <f>'件数(合算）'!K36</f>
        <v>0.59090909090909094</v>
      </c>
      <c r="M35" s="4">
        <f>'件数(合算）'!K36</f>
        <v>0.59090909090909094</v>
      </c>
      <c r="N35" s="4">
        <f>'件数(合算）'!K36</f>
        <v>0.59090909090909094</v>
      </c>
      <c r="O35" s="5">
        <f>ROUND('件数(合算）'!P36*'件数(合算）'!K36*$G35,0)</f>
        <v>13000</v>
      </c>
      <c r="P35" s="5">
        <f>ROUND('件数(合算）'!Q36*'件数(合算）'!K36*$G35,0)</f>
        <v>19500</v>
      </c>
      <c r="Q35" s="5">
        <f>ROUND('件数(合算）'!R36*'件数(合算）'!K36*$G35,0)</f>
        <v>13000</v>
      </c>
      <c r="R35" s="5">
        <f>ROUND('件数(合算）'!S36*'件数(合算）'!K36*$G35,0)</f>
        <v>13000</v>
      </c>
      <c r="S35" s="5">
        <f>ROUND('件数(合算）'!T36*'件数(合算）'!K36*$G35,0)</f>
        <v>13000</v>
      </c>
      <c r="T35" s="5">
        <f>ROUND('件数(合算）'!U36*'件数(合算）'!K36*$G35,0)</f>
        <v>13000</v>
      </c>
      <c r="U35" s="5">
        <f>ROUND('件数(合算）'!V36*'件数(合算）'!K36*$G35,0)</f>
        <v>13000</v>
      </c>
      <c r="V35" s="5">
        <f>ROUND('件数(合算）'!W36*'件数(合算）'!K36*$G35,0)</f>
        <v>13000</v>
      </c>
      <c r="W35" s="5">
        <f>ROUND('件数(合算）'!X36*'件数(合算）'!K36*$G35,0)</f>
        <v>19500</v>
      </c>
      <c r="X35" s="5">
        <f>ROUND('件数(合算）'!Y36*'件数(合算）'!K36*$G35,0)</f>
        <v>13000</v>
      </c>
      <c r="Y35" s="5">
        <f>ROUND('件数(合算）'!Z36*'件数(合算）'!K36*$G35,0)</f>
        <v>6500</v>
      </c>
      <c r="Z35" s="5">
        <f>ROUND('件数(合算）'!AA36*'件数(合算）'!K36*$F35,0)</f>
        <v>0</v>
      </c>
      <c r="AA35" s="5">
        <f>ROUND('件数(合算）'!AB36*'件数(合算）'!K36*$F35,0)</f>
        <v>0</v>
      </c>
      <c r="AB35" s="5">
        <f>ROUND('件数(合算）'!AC36*'件数(合算）'!K36*$F35,0)</f>
        <v>0</v>
      </c>
      <c r="AC35" s="5">
        <f>ROUND('件数(合算）'!AD36*'件数(合算）'!K36*$F35,0)</f>
        <v>0</v>
      </c>
      <c r="AD35" s="5">
        <f>ROUND('件数(合算）'!AE36*'件数(合算）'!K36*$F35,0)</f>
        <v>1418</v>
      </c>
      <c r="AE35" s="5">
        <f>ROUND('件数(合算）'!AF36*'件数(合算）'!K36*$F35,0)</f>
        <v>1418</v>
      </c>
      <c r="AF35" s="5">
        <f>ROUND('件数(合算）'!AG36*'件数(合算）'!K36*$E35,0)</f>
        <v>0</v>
      </c>
      <c r="AG35" s="5">
        <f>ROUND('件数(合算）'!AH36*'件数(合算）'!K36*$E35,0)</f>
        <v>0</v>
      </c>
      <c r="AH35" s="5">
        <f>ROUND('件数(合算）'!AI36*'件数(合算）'!K36*$E35,0)</f>
        <v>0</v>
      </c>
      <c r="AI35" s="5">
        <f>ROUND('件数(合算）'!AJ36*'件数(合算）'!K36*$E35,0)</f>
        <v>0</v>
      </c>
      <c r="AJ35" s="5">
        <f>ROUND('件数(合算）'!AK36*'件数(合算）'!K36*$E35,0)</f>
        <v>0</v>
      </c>
      <c r="AK35" s="5">
        <f>ROUND('件数(合算）'!AL36*'件数(合算）'!K36*$F35,0)</f>
        <v>1418</v>
      </c>
      <c r="AL35" s="5">
        <f>ROUND('件数(合算）'!AM36*'件数(合算）'!K36*$F35,0)</f>
        <v>1418</v>
      </c>
      <c r="AM35" s="5">
        <f>ROUND('件数(合算）'!AN36*'件数(合算）'!K36*$E35,0)</f>
        <v>1418</v>
      </c>
      <c r="AN35" s="5">
        <f>ROUND('件数(合算）'!AO36*'件数(合算）'!K36*$E35,0)</f>
        <v>0</v>
      </c>
      <c r="AO35" s="5">
        <f>ROUND('件数(合算）'!AP36*'件数(合算）'!K36*$E35,0)</f>
        <v>0</v>
      </c>
      <c r="AP35" s="5">
        <f>ROUND('件数(合算）'!AQ36*'件数(合算）'!K36*$E35,0)</f>
        <v>0</v>
      </c>
      <c r="AQ35" s="5">
        <f>ROUND('件数(合算）'!AR36*'件数(合算）'!K36*$E35,0)</f>
        <v>0</v>
      </c>
      <c r="AR35" s="5">
        <f>ROUND('件数(合算）'!AS36*'件数(合算）'!K36*$E35,0)</f>
        <v>1418</v>
      </c>
      <c r="AS35" s="5">
        <f>ROUND('件数(合算）'!AT36*'件数(合算）'!K36*$E35,0)</f>
        <v>1418</v>
      </c>
      <c r="AT35" s="5">
        <f>ROUND('件数(合算）'!AU36*'件数(合算）'!K36*$E35,0)</f>
        <v>0</v>
      </c>
      <c r="AU35" s="5">
        <f>ROUND('件数(合算）'!AV36*'件数(合算）'!K36*$E35,0)</f>
        <v>0</v>
      </c>
      <c r="AV35" s="12">
        <f t="shared" si="4"/>
        <v>159426</v>
      </c>
    </row>
    <row r="36" spans="1:48" ht="22" customHeight="1">
      <c r="A36" s="34">
        <v>74401</v>
      </c>
      <c r="B36" s="35" t="s">
        <v>97</v>
      </c>
      <c r="C36" s="32" t="s">
        <v>212</v>
      </c>
      <c r="D36" s="39"/>
      <c r="E36" s="49">
        <f>'件数(合算）'!E37</f>
        <v>10000</v>
      </c>
      <c r="F36" s="49">
        <f>'件数(合算）'!F37</f>
        <v>11000</v>
      </c>
      <c r="G36" s="49">
        <f>'件数(合算）'!G37</f>
        <v>13000</v>
      </c>
      <c r="K36" s="37">
        <f>'件数(合算）'!K37</f>
        <v>0.46875</v>
      </c>
      <c r="L36" s="37">
        <f>'件数(合算）'!K37</f>
        <v>0.46875</v>
      </c>
      <c r="M36" s="37">
        <f>'件数(合算）'!K37</f>
        <v>0.46875</v>
      </c>
      <c r="N36" s="37">
        <f>'件数(合算）'!K37</f>
        <v>0.46875</v>
      </c>
      <c r="O36" s="49">
        <f>ROUND('件数(合算）'!P37*'件数(合算）'!K37*$G36,0)</f>
        <v>6094</v>
      </c>
      <c r="P36" s="49">
        <f>ROUND('件数(合算）'!Q37*'件数(合算）'!K37*$G36,0)</f>
        <v>6094</v>
      </c>
      <c r="Q36" s="49">
        <f>ROUND('件数(合算）'!R37*'件数(合算）'!K37*$G36,0)</f>
        <v>6094</v>
      </c>
      <c r="R36" s="49">
        <f>ROUND('件数(合算）'!S37*'件数(合算）'!K37*$G36,0)</f>
        <v>6094</v>
      </c>
      <c r="S36" s="49">
        <f>ROUND('件数(合算）'!T37*'件数(合算）'!K37*$G36,0)</f>
        <v>6094</v>
      </c>
      <c r="T36" s="49">
        <f>ROUND('件数(合算）'!U37*'件数(合算）'!K37*$G36,0)</f>
        <v>6094</v>
      </c>
      <c r="U36" s="49">
        <f>ROUND('件数(合算）'!V37*'件数(合算）'!K37*$G36,0)</f>
        <v>6094</v>
      </c>
      <c r="V36" s="49">
        <f>ROUND('件数(合算）'!W37*'件数(合算）'!K37*$G36,0)</f>
        <v>6094</v>
      </c>
      <c r="W36" s="49">
        <f>ROUND('件数(合算）'!X37*'件数(合算）'!K37*$G36,0)</f>
        <v>30469</v>
      </c>
      <c r="X36" s="49">
        <f>ROUND('件数(合算）'!Y37*'件数(合算）'!K37*$G36,0)</f>
        <v>36563</v>
      </c>
      <c r="Y36" s="49">
        <f>ROUND('件数(合算）'!Z37*'件数(合算）'!K37*$G36,0)</f>
        <v>6094</v>
      </c>
      <c r="Z36" s="49">
        <f>ROUND('件数(合算）'!AA37*'件数(合算）'!K37*$F36,0)</f>
        <v>5156</v>
      </c>
      <c r="AA36" s="49">
        <f>ROUND('件数(合算）'!AB37*'件数(合算）'!K37*$F36,0)</f>
        <v>5156</v>
      </c>
      <c r="AB36" s="49">
        <f>ROUND('件数(合算）'!AC37*'件数(合算）'!K37*$F36,0)</f>
        <v>5156</v>
      </c>
      <c r="AC36" s="49">
        <f>ROUND('件数(合算）'!AD37*'件数(合算）'!K37*$F36,0)</f>
        <v>5156</v>
      </c>
      <c r="AD36" s="49">
        <f>ROUND('件数(合算）'!AE37*'件数(合算）'!K37*$F36,0)</f>
        <v>10313</v>
      </c>
      <c r="AE36" s="49">
        <f>ROUND('件数(合算）'!AF37*'件数(合算）'!K37*$F36,0)</f>
        <v>10313</v>
      </c>
      <c r="AF36" s="49">
        <f>ROUND('件数(合算）'!AG37*'件数(合算）'!K37*$E36,0)</f>
        <v>4688</v>
      </c>
      <c r="AG36" s="49">
        <f>ROUND('件数(合算）'!AH37*'件数(合算）'!K37*$E36,0)</f>
        <v>4688</v>
      </c>
      <c r="AH36" s="49">
        <f>ROUND('件数(合算）'!AI37*'件数(合算）'!K37*$E36,0)</f>
        <v>4688</v>
      </c>
      <c r="AI36" s="49">
        <f>ROUND('件数(合算）'!AJ37*'件数(合算）'!K37*$E36,0)</f>
        <v>4688</v>
      </c>
      <c r="AJ36" s="49">
        <f>ROUND('件数(合算）'!AK37*'件数(合算）'!K37*$E36,0)</f>
        <v>4688</v>
      </c>
      <c r="AK36" s="49">
        <f>ROUND('件数(合算）'!AL37*'件数(合算）'!K37*$F36,0)</f>
        <v>10313</v>
      </c>
      <c r="AL36" s="49">
        <f>ROUND('件数(合算）'!AM37*'件数(合算）'!K37*$F36,0)</f>
        <v>10313</v>
      </c>
      <c r="AM36" s="49">
        <f>ROUND('件数(合算）'!AN37*'件数(合算）'!K37*$E36,0)</f>
        <v>9375</v>
      </c>
      <c r="AN36" s="49">
        <f>ROUND('件数(合算）'!AO37*'件数(合算）'!K37*$E36,0)</f>
        <v>4688</v>
      </c>
      <c r="AO36" s="49">
        <f>ROUND('件数(合算）'!AP37*'件数(合算）'!K37*$E36,0)</f>
        <v>4688</v>
      </c>
      <c r="AP36" s="49">
        <f>ROUND('件数(合算）'!AQ37*'件数(合算）'!K37*$E36,0)</f>
        <v>4688</v>
      </c>
      <c r="AQ36" s="49">
        <f>ROUND('件数(合算）'!AR37*'件数(合算）'!K37*$E36,0)</f>
        <v>4688</v>
      </c>
      <c r="AR36" s="49">
        <f>ROUND('件数(合算）'!AS37*'件数(合算）'!K37*$E36,0)</f>
        <v>9375</v>
      </c>
      <c r="AS36" s="49">
        <f>ROUND('件数(合算）'!AT37*'件数(合算）'!K37*$E36,0)</f>
        <v>9375</v>
      </c>
      <c r="AT36" s="49">
        <f>ROUND('件数(合算）'!AU37*'件数(合算）'!K37*$E36,0)</f>
        <v>4688</v>
      </c>
      <c r="AU36" s="49">
        <f>ROUND('件数(合算）'!AV37*'件数(合算）'!K37*$E36,0)</f>
        <v>4688</v>
      </c>
      <c r="AV36" s="12">
        <f t="shared" si="4"/>
        <v>263447</v>
      </c>
    </row>
    <row r="37" spans="1:48" ht="22" customHeight="1">
      <c r="A37" s="26">
        <v>391152</v>
      </c>
      <c r="B37" s="27" t="s">
        <v>99</v>
      </c>
      <c r="C37" s="25"/>
      <c r="D37" s="9"/>
      <c r="E37" s="5">
        <f>'件数(合算）'!E38</f>
        <v>5000</v>
      </c>
      <c r="F37" s="5">
        <f>'件数(合算）'!F38</f>
        <v>5000</v>
      </c>
      <c r="G37" s="5">
        <f>'件数(合算）'!G38</f>
        <v>5000</v>
      </c>
      <c r="K37" s="4">
        <f>'件数(合算）'!K38</f>
        <v>0.1875</v>
      </c>
      <c r="L37" s="4">
        <f>'件数(合算）'!K38</f>
        <v>0.1875</v>
      </c>
      <c r="M37" s="4">
        <f>'件数(合算）'!K38</f>
        <v>0.1875</v>
      </c>
      <c r="N37" s="4">
        <f>'件数(合算）'!K38</f>
        <v>0.1875</v>
      </c>
      <c r="O37" s="5">
        <f>ROUND('件数(合算）'!P38*'件数(合算）'!K38*$G37,0)</f>
        <v>938</v>
      </c>
      <c r="P37" s="5">
        <f>ROUND('件数(合算）'!Q38*'件数(合算）'!K38*$G37,0)</f>
        <v>938</v>
      </c>
      <c r="Q37" s="5">
        <f>ROUND('件数(合算）'!R38*'件数(合算）'!K38*$G37,0)</f>
        <v>938</v>
      </c>
      <c r="R37" s="5">
        <f>ROUND('件数(合算）'!S38*'件数(合算）'!K38*$G37,0)</f>
        <v>938</v>
      </c>
      <c r="S37" s="5">
        <f>ROUND('件数(合算）'!T38*'件数(合算）'!K38*$G37,0)</f>
        <v>938</v>
      </c>
      <c r="T37" s="5">
        <f>ROUND('件数(合算）'!U38*'件数(合算）'!K38*$G37,0)</f>
        <v>938</v>
      </c>
      <c r="U37" s="5">
        <f>ROUND('件数(合算）'!V38*'件数(合算）'!K38*$G37,0)</f>
        <v>938</v>
      </c>
      <c r="V37" s="5">
        <f>ROUND('件数(合算）'!W38*'件数(合算）'!K38*$G37,0)</f>
        <v>938</v>
      </c>
      <c r="W37" s="5">
        <f>ROUND('件数(合算）'!X38*'件数(合算）'!K38*$G37,0)</f>
        <v>938</v>
      </c>
      <c r="X37" s="5">
        <f>ROUND('件数(合算）'!Y38*'件数(合算）'!K38*$G37,0)</f>
        <v>938</v>
      </c>
      <c r="Y37" s="5">
        <f>ROUND('件数(合算）'!Z38*'件数(合算）'!K38*$G37,0)</f>
        <v>938</v>
      </c>
      <c r="Z37" s="5">
        <f>ROUND('件数(合算）'!AA38*'件数(合算）'!K38*$F37,0)</f>
        <v>938</v>
      </c>
      <c r="AA37" s="5">
        <f>ROUND('件数(合算）'!AB38*'件数(合算）'!K38*$F37,0)</f>
        <v>938</v>
      </c>
      <c r="AB37" s="5">
        <f>ROUND('件数(合算）'!AC38*'件数(合算）'!K38*$F37,0)</f>
        <v>938</v>
      </c>
      <c r="AC37" s="5">
        <f>ROUND('件数(合算）'!AD38*'件数(合算）'!K38*$F37,0)</f>
        <v>938</v>
      </c>
      <c r="AD37" s="5">
        <f>ROUND('件数(合算）'!AE38*'件数(合算）'!K38*$F37,0)</f>
        <v>938</v>
      </c>
      <c r="AE37" s="5">
        <f>ROUND('件数(合算）'!AF38*'件数(合算）'!K38*$F37,0)</f>
        <v>938</v>
      </c>
      <c r="AF37" s="5">
        <f>ROUND('件数(合算）'!AG38*'件数(合算）'!K38*$E37,0)</f>
        <v>938</v>
      </c>
      <c r="AG37" s="5">
        <f>ROUND('件数(合算）'!AH38*'件数(合算）'!K38*$E37,0)</f>
        <v>938</v>
      </c>
      <c r="AH37" s="5">
        <f>ROUND('件数(合算）'!AI38*'件数(合算）'!K38*$E37,0)</f>
        <v>0</v>
      </c>
      <c r="AI37" s="5">
        <f>ROUND('件数(合算）'!AJ38*'件数(合算）'!K38*$E37,0)</f>
        <v>0</v>
      </c>
      <c r="AJ37" s="5">
        <f>ROUND('件数(合算）'!AK38*'件数(合算）'!K38*$E37,0)</f>
        <v>0</v>
      </c>
      <c r="AK37" s="5">
        <f>ROUND('件数(合算）'!AL38*'件数(合算）'!K38*$F37,0)</f>
        <v>0</v>
      </c>
      <c r="AL37" s="5">
        <f>ROUND('件数(合算）'!AM38*'件数(合算）'!K38*$F37,0)</f>
        <v>0</v>
      </c>
      <c r="AM37" s="5">
        <f>ROUND('件数(合算）'!AN38*'件数(合算）'!K38*$E37,0)</f>
        <v>0</v>
      </c>
      <c r="AN37" s="5">
        <f>ROUND('件数(合算）'!AO38*'件数(合算）'!K38*$E37,0)</f>
        <v>938</v>
      </c>
      <c r="AO37" s="5">
        <f>ROUND('件数(合算）'!AP38*'件数(合算）'!K38*$E37,0)</f>
        <v>938</v>
      </c>
      <c r="AP37" s="5">
        <f>ROUND('件数(合算）'!AQ38*'件数(合算）'!K38*$E37,0)</f>
        <v>938</v>
      </c>
      <c r="AQ37" s="5">
        <f>ROUND('件数(合算）'!AR38*'件数(合算）'!K38*$E37,0)</f>
        <v>938</v>
      </c>
      <c r="AR37" s="5">
        <f>ROUND('件数(合算）'!AS38*'件数(合算）'!K38*$E37,0)</f>
        <v>0</v>
      </c>
      <c r="AS37" s="5">
        <f>ROUND('件数(合算）'!AT38*'件数(合算）'!K38*$E37,0)</f>
        <v>0</v>
      </c>
      <c r="AT37" s="5">
        <f>ROUND('件数(合算）'!AU38*'件数(合算）'!K38*$E37,0)</f>
        <v>938</v>
      </c>
      <c r="AU37" s="5">
        <f>ROUND('件数(合算）'!AV38*'件数(合算）'!K38*$E37,0)</f>
        <v>938</v>
      </c>
      <c r="AV37" s="12">
        <f t="shared" si="4"/>
        <v>23450</v>
      </c>
    </row>
    <row r="38" spans="1:48" ht="22" customHeight="1">
      <c r="A38" s="34">
        <v>368894</v>
      </c>
      <c r="B38" s="35" t="s">
        <v>101</v>
      </c>
      <c r="C38" s="32" t="s">
        <v>212</v>
      </c>
      <c r="D38" s="39"/>
      <c r="E38" s="49">
        <f>'件数(合算）'!E39</f>
        <v>9000</v>
      </c>
      <c r="F38" s="49">
        <f>'件数(合算）'!F39</f>
        <v>9000</v>
      </c>
      <c r="G38" s="49">
        <f>'件数(合算）'!G39</f>
        <v>13000</v>
      </c>
      <c r="K38" s="37">
        <f>'件数(合算）'!K39</f>
        <v>0.4</v>
      </c>
      <c r="L38" s="37">
        <f>'件数(合算）'!K39</f>
        <v>0.4</v>
      </c>
      <c r="M38" s="37">
        <f>'件数(合算）'!K39</f>
        <v>0.4</v>
      </c>
      <c r="N38" s="37">
        <f>'件数(合算）'!K39</f>
        <v>0.4</v>
      </c>
      <c r="O38" s="49">
        <f>ROUND('件数(合算）'!P39*'件数(合算）'!K39*$G38,0)</f>
        <v>20800</v>
      </c>
      <c r="P38" s="49">
        <f>ROUND('件数(合算）'!Q39*'件数(合算）'!K39*$G38,0)</f>
        <v>20800</v>
      </c>
      <c r="Q38" s="49">
        <f>ROUND('件数(合算）'!R39*'件数(合算）'!K39*$G38,0)</f>
        <v>20800</v>
      </c>
      <c r="R38" s="49">
        <f>ROUND('件数(合算）'!S39*'件数(合算）'!K39*$G38,0)</f>
        <v>20800</v>
      </c>
      <c r="S38" s="49">
        <f>ROUND('件数(合算）'!T39*'件数(合算）'!K39*$G38,0)</f>
        <v>20800</v>
      </c>
      <c r="T38" s="49">
        <f>ROUND('件数(合算）'!U39*'件数(合算）'!K39*$G38,0)</f>
        <v>20800</v>
      </c>
      <c r="U38" s="49">
        <f>ROUND('件数(合算）'!V39*'件数(合算）'!K39*$G38,0)</f>
        <v>20800</v>
      </c>
      <c r="V38" s="49">
        <f>ROUND('件数(合算）'!W39*'件数(合算）'!K39*$G38,0)</f>
        <v>20800</v>
      </c>
      <c r="W38" s="49">
        <f>ROUND('件数(合算）'!X39*'件数(合算）'!K39*$G38,0)</f>
        <v>20800</v>
      </c>
      <c r="X38" s="49">
        <f>ROUND('件数(合算）'!Y39*'件数(合算）'!K39*$G38,0)</f>
        <v>20800</v>
      </c>
      <c r="Y38" s="49">
        <f>ROUND('件数(合算）'!Z39*'件数(合算）'!K39*$G38,0)</f>
        <v>20800</v>
      </c>
      <c r="Z38" s="49">
        <f>ROUND('件数(合算）'!AA39*'件数(合算）'!K39*$F38,0)</f>
        <v>3600</v>
      </c>
      <c r="AA38" s="49">
        <f>ROUND('件数(合算）'!AB39*'件数(合算）'!K39*$F38,0)</f>
        <v>3600</v>
      </c>
      <c r="AB38" s="49">
        <f>ROUND('件数(合算）'!AC39*'件数(合算）'!K39*$F38,0)</f>
        <v>3600</v>
      </c>
      <c r="AC38" s="49">
        <f>ROUND('件数(合算）'!AD39*'件数(合算）'!K39*$F38,0)</f>
        <v>3600</v>
      </c>
      <c r="AD38" s="49">
        <f>ROUND('件数(合算）'!AE39*'件数(合算）'!K39*$F38,0)</f>
        <v>7200</v>
      </c>
      <c r="AE38" s="49">
        <f>ROUND('件数(合算）'!AF39*'件数(合算）'!K39*$F38,0)</f>
        <v>7200</v>
      </c>
      <c r="AF38" s="49">
        <f>ROUND('件数(合算）'!AG39*'件数(合算）'!K39*$E38,0)</f>
        <v>3600</v>
      </c>
      <c r="AG38" s="49">
        <f>ROUND('件数(合算）'!AH39*'件数(合算）'!K39*$E38,0)</f>
        <v>3600</v>
      </c>
      <c r="AH38" s="49">
        <f>ROUND('件数(合算）'!AI39*'件数(合算）'!K39*$E38,0)</f>
        <v>3600</v>
      </c>
      <c r="AI38" s="49">
        <f>ROUND('件数(合算）'!AJ39*'件数(合算）'!K39*$E38,0)</f>
        <v>3600</v>
      </c>
      <c r="AJ38" s="49">
        <f>ROUND('件数(合算）'!AK39*'件数(合算）'!K39*$E38,0)</f>
        <v>3600</v>
      </c>
      <c r="AK38" s="49">
        <f>ROUND('件数(合算）'!AL39*'件数(合算）'!K39*$F38,0)</f>
        <v>7200</v>
      </c>
      <c r="AL38" s="49">
        <f>ROUND('件数(合算）'!AM39*'件数(合算）'!K39*$F38,0)</f>
        <v>7200</v>
      </c>
      <c r="AM38" s="49">
        <f>ROUND('件数(合算）'!AN39*'件数(合算）'!K39*$E38,0)</f>
        <v>7200</v>
      </c>
      <c r="AN38" s="49">
        <f>ROUND('件数(合算）'!AO39*'件数(合算）'!K39*$E38,0)</f>
        <v>7200</v>
      </c>
      <c r="AO38" s="49">
        <f>ROUND('件数(合算）'!AP39*'件数(合算）'!K39*$E38,0)</f>
        <v>3600</v>
      </c>
      <c r="AP38" s="49">
        <f>ROUND('件数(合算）'!AQ39*'件数(合算）'!K39*$E38,0)</f>
        <v>3600</v>
      </c>
      <c r="AQ38" s="49">
        <f>ROUND('件数(合算）'!AR39*'件数(合算）'!K39*$E38,0)</f>
        <v>3600</v>
      </c>
      <c r="AR38" s="49">
        <f>ROUND('件数(合算）'!AS39*'件数(合算）'!K39*$E38,0)</f>
        <v>7200</v>
      </c>
      <c r="AS38" s="49">
        <f>ROUND('件数(合算）'!AT39*'件数(合算）'!K39*$E38,0)</f>
        <v>7200</v>
      </c>
      <c r="AT38" s="49">
        <f>ROUND('件数(合算）'!AU39*'件数(合算）'!K39*$E38,0)</f>
        <v>3600</v>
      </c>
      <c r="AU38" s="49">
        <f>ROUND('件数(合算）'!AV39*'件数(合算）'!K39*$E38,0)</f>
        <v>3600</v>
      </c>
      <c r="AV38" s="12">
        <f t="shared" si="4"/>
        <v>336800</v>
      </c>
    </row>
    <row r="39" spans="1:48" ht="22" customHeight="1">
      <c r="A39" s="26">
        <v>388297</v>
      </c>
      <c r="B39" s="27" t="s">
        <v>103</v>
      </c>
      <c r="C39" s="25"/>
      <c r="D39" s="9"/>
      <c r="E39" s="5">
        <f>'件数(合算）'!E40</f>
        <v>11000</v>
      </c>
      <c r="F39" s="5">
        <f>'件数(合算）'!F40</f>
        <v>11000</v>
      </c>
      <c r="G39" s="5">
        <f>'件数(合算）'!G40</f>
        <v>13000</v>
      </c>
      <c r="K39" s="4">
        <f>'件数(合算）'!K40</f>
        <v>0.21917808219178081</v>
      </c>
      <c r="L39" s="4">
        <f>'件数(合算）'!K40</f>
        <v>0.21917808219178081</v>
      </c>
      <c r="M39" s="4">
        <f>'件数(合算）'!K40</f>
        <v>0.21917808219178081</v>
      </c>
      <c r="N39" s="4">
        <f>'件数(合算）'!K40</f>
        <v>0.21917808219178081</v>
      </c>
      <c r="O39" s="5">
        <f>ROUND('件数(合算）'!P40*'件数(合算）'!K40*$G39,0)</f>
        <v>14247</v>
      </c>
      <c r="P39" s="5">
        <f>ROUND('件数(合算）'!Q40*'件数(合算）'!K40*$G39,0)</f>
        <v>14247</v>
      </c>
      <c r="Q39" s="5">
        <f>ROUND('件数(合算）'!R40*'件数(合算）'!K40*$G39,0)</f>
        <v>14247</v>
      </c>
      <c r="R39" s="5">
        <f>ROUND('件数(合算）'!S40*'件数(合算）'!K40*$G39,0)</f>
        <v>14247</v>
      </c>
      <c r="S39" s="5">
        <f>ROUND('件数(合算）'!T40*'件数(合算）'!K40*$G39,0)</f>
        <v>14247</v>
      </c>
      <c r="T39" s="5">
        <f>ROUND('件数(合算）'!U40*'件数(合算）'!K40*$G39,0)</f>
        <v>14247</v>
      </c>
      <c r="U39" s="5">
        <f>ROUND('件数(合算）'!V40*'件数(合算）'!K40*$G39,0)</f>
        <v>14247</v>
      </c>
      <c r="V39" s="5">
        <f>ROUND('件数(合算）'!W40*'件数(合算）'!K40*$G39,0)</f>
        <v>14247</v>
      </c>
      <c r="W39" s="5">
        <f>ROUND('件数(合算）'!X40*'件数(合算）'!K40*$G39,0)</f>
        <v>14247</v>
      </c>
      <c r="X39" s="5">
        <f>ROUND('件数(合算）'!Y40*'件数(合算）'!K40*$G39,0)</f>
        <v>14247</v>
      </c>
      <c r="Y39" s="5">
        <f>ROUND('件数(合算）'!Z40*'件数(合算）'!K40*$G39,0)</f>
        <v>14247</v>
      </c>
      <c r="Z39" s="5">
        <f>ROUND('件数(合算）'!AA40*'件数(合算）'!K40*$F39,0)</f>
        <v>2411</v>
      </c>
      <c r="AA39" s="5">
        <f>ROUND('件数(合算）'!AB40*'件数(合算）'!K40*$F39,0)</f>
        <v>2411</v>
      </c>
      <c r="AB39" s="5">
        <f>ROUND('件数(合算）'!AC40*'件数(合算）'!K40*$F39,0)</f>
        <v>2411</v>
      </c>
      <c r="AC39" s="5">
        <f>ROUND('件数(合算）'!AD40*'件数(合算）'!K40*$F39,0)</f>
        <v>2411</v>
      </c>
      <c r="AD39" s="5">
        <f>ROUND('件数(合算）'!AE40*'件数(合算）'!K40*$F39,0)</f>
        <v>4822</v>
      </c>
      <c r="AE39" s="5">
        <f>ROUND('件数(合算）'!AF40*'件数(合算）'!K40*$F39,0)</f>
        <v>4822</v>
      </c>
      <c r="AF39" s="5">
        <f>ROUND('件数(合算）'!AG40*'件数(合算）'!K40*$E39,0)</f>
        <v>2411</v>
      </c>
      <c r="AG39" s="5">
        <f>ROUND('件数(合算）'!AH40*'件数(合算）'!K40*$E39,0)</f>
        <v>2411</v>
      </c>
      <c r="AH39" s="5">
        <f>ROUND('件数(合算）'!AI40*'件数(合算）'!K40*$E39,0)</f>
        <v>2411</v>
      </c>
      <c r="AI39" s="5">
        <f>ROUND('件数(合算）'!AJ40*'件数(合算）'!K40*$E39,0)</f>
        <v>2411</v>
      </c>
      <c r="AJ39" s="5">
        <f>ROUND('件数(合算）'!AK40*'件数(合算）'!K40*$E39,0)</f>
        <v>2411</v>
      </c>
      <c r="AK39" s="5">
        <f>ROUND('件数(合算）'!AL40*'件数(合算）'!K40*$F39,0)</f>
        <v>4822</v>
      </c>
      <c r="AL39" s="5">
        <f>ROUND('件数(合算）'!AM40*'件数(合算）'!K40*$F39,0)</f>
        <v>4822</v>
      </c>
      <c r="AM39" s="5">
        <f>ROUND('件数(合算）'!AN40*'件数(合算）'!K40*$E39,0)</f>
        <v>4822</v>
      </c>
      <c r="AN39" s="5">
        <f>ROUND('件数(合算）'!AO40*'件数(合算）'!K40*$E39,0)</f>
        <v>4822</v>
      </c>
      <c r="AO39" s="5">
        <f>ROUND('件数(合算）'!AP40*'件数(合算）'!K40*$E39,0)</f>
        <v>2411</v>
      </c>
      <c r="AP39" s="5">
        <f>ROUND('件数(合算）'!AQ40*'件数(合算）'!K40*$E39,0)</f>
        <v>2411</v>
      </c>
      <c r="AQ39" s="5">
        <f>ROUND('件数(合算）'!AR40*'件数(合算）'!K40*$E39,0)</f>
        <v>2411</v>
      </c>
      <c r="AR39" s="5">
        <f>ROUND('件数(合算）'!AS40*'件数(合算）'!K40*$E39,0)</f>
        <v>4822</v>
      </c>
      <c r="AS39" s="5">
        <f>ROUND('件数(合算）'!AT40*'件数(合算）'!K40*$E39,0)</f>
        <v>4822</v>
      </c>
      <c r="AT39" s="5">
        <f>ROUND('件数(合算）'!AU40*'件数(合算）'!K40*$E39,0)</f>
        <v>2411</v>
      </c>
      <c r="AU39" s="5">
        <f>ROUND('件数(合算）'!AV40*'件数(合算）'!K40*$E39,0)</f>
        <v>2411</v>
      </c>
      <c r="AV39" s="12">
        <f t="shared" ref="AV39:AV70" si="5">SUM(O39:AU39)</f>
        <v>229047</v>
      </c>
    </row>
    <row r="40" spans="1:48" ht="22" customHeight="1">
      <c r="A40" s="34">
        <v>392708</v>
      </c>
      <c r="B40" s="35" t="s">
        <v>105</v>
      </c>
      <c r="C40" s="32"/>
      <c r="D40" s="39"/>
      <c r="E40" s="49">
        <f>'件数(合算）'!E41</f>
        <v>18000</v>
      </c>
      <c r="F40" s="49">
        <f>'件数(合算）'!F41</f>
        <v>18000</v>
      </c>
      <c r="G40" s="49">
        <f>'件数(合算）'!G41</f>
        <v>18000</v>
      </c>
      <c r="K40" s="37">
        <f>'件数(合算）'!K41</f>
        <v>7.3529411764705885E-2</v>
      </c>
      <c r="L40" s="37">
        <f>'件数(合算）'!K41</f>
        <v>7.3529411764705885E-2</v>
      </c>
      <c r="M40" s="37">
        <f>'件数(合算）'!K41</f>
        <v>7.3529411764705885E-2</v>
      </c>
      <c r="N40" s="37">
        <f>'件数(合算）'!K41</f>
        <v>7.3529411764705885E-2</v>
      </c>
      <c r="O40" s="49">
        <f>ROUND('件数(合算）'!P41*'件数(合算）'!K41*$G40,0)</f>
        <v>2647</v>
      </c>
      <c r="P40" s="49">
        <f>ROUND('件数(合算）'!Q41*'件数(合算）'!K41*$G40,0)</f>
        <v>1324</v>
      </c>
      <c r="Q40" s="49">
        <f>ROUND('件数(合算）'!R41*'件数(合算）'!K41*$G40,0)</f>
        <v>1324</v>
      </c>
      <c r="R40" s="49">
        <f>ROUND('件数(合算）'!S41*'件数(合算）'!K41*$G40,0)</f>
        <v>2647</v>
      </c>
      <c r="S40" s="49">
        <f>ROUND('件数(合算）'!T41*'件数(合算）'!K41*$G40,0)</f>
        <v>2647</v>
      </c>
      <c r="T40" s="49">
        <f>ROUND('件数(合算）'!U41*'件数(合算）'!K41*$G40,0)</f>
        <v>2647</v>
      </c>
      <c r="U40" s="49">
        <f>ROUND('件数(合算）'!V41*'件数(合算）'!K41*$G40,0)</f>
        <v>2647</v>
      </c>
      <c r="V40" s="49">
        <f>ROUND('件数(合算）'!W41*'件数(合算）'!K41*$G40,0)</f>
        <v>2647</v>
      </c>
      <c r="W40" s="49">
        <f>ROUND('件数(合算）'!X41*'件数(合算）'!K41*$G40,0)</f>
        <v>1324</v>
      </c>
      <c r="X40" s="49">
        <f>ROUND('件数(合算）'!Y41*'件数(合算）'!K41*$G40,0)</f>
        <v>1324</v>
      </c>
      <c r="Y40" s="49">
        <f>ROUND('件数(合算）'!Z41*'件数(合算）'!K41*$G40,0)</f>
        <v>1324</v>
      </c>
      <c r="Z40" s="49">
        <f>ROUND('件数(合算）'!AA41*'件数(合算）'!K41*$F40,0)</f>
        <v>1324</v>
      </c>
      <c r="AA40" s="49">
        <f>ROUND('件数(合算）'!AB41*'件数(合算）'!K41*$F40,0)</f>
        <v>1324</v>
      </c>
      <c r="AB40" s="49">
        <f>ROUND('件数(合算）'!AC41*'件数(合算）'!K41*$F40,0)</f>
        <v>1324</v>
      </c>
      <c r="AC40" s="49">
        <f>ROUND('件数(合算）'!AD41*'件数(合算）'!K41*$F40,0)</f>
        <v>1324</v>
      </c>
      <c r="AD40" s="49">
        <f>ROUND('件数(合算）'!AE41*'件数(合算）'!K41*$F40,0)</f>
        <v>1324</v>
      </c>
      <c r="AE40" s="49">
        <f>ROUND('件数(合算）'!AF41*'件数(合算）'!K41*$F40,0)</f>
        <v>0</v>
      </c>
      <c r="AF40" s="49">
        <f>ROUND('件数(合算）'!AG41*'件数(合算）'!K41*$E40,0)</f>
        <v>0</v>
      </c>
      <c r="AG40" s="49">
        <f>ROUND('件数(合算）'!AH41*'件数(合算）'!K41*$E40,0)</f>
        <v>0</v>
      </c>
      <c r="AH40" s="49">
        <f>ROUND('件数(合算）'!AI41*'件数(合算）'!K41*$E40,0)</f>
        <v>0</v>
      </c>
      <c r="AI40" s="49">
        <f>ROUND('件数(合算）'!AJ41*'件数(合算）'!K41*$E40,0)</f>
        <v>0</v>
      </c>
      <c r="AJ40" s="49">
        <f>ROUND('件数(合算）'!AK41*'件数(合算）'!K41*$E40,0)</f>
        <v>0</v>
      </c>
      <c r="AK40" s="49">
        <f>ROUND('件数(合算）'!AL41*'件数(合算）'!K41*$F40,0)</f>
        <v>0</v>
      </c>
      <c r="AL40" s="49">
        <f>ROUND('件数(合算）'!AM41*'件数(合算）'!K41*$F40,0)</f>
        <v>0</v>
      </c>
      <c r="AM40" s="49">
        <f>ROUND('件数(合算）'!AN41*'件数(合算）'!K41*$E40,0)</f>
        <v>0</v>
      </c>
      <c r="AN40" s="49">
        <f>ROUND('件数(合算）'!AO41*'件数(合算）'!K41*$E40,0)</f>
        <v>0</v>
      </c>
      <c r="AO40" s="49">
        <f>ROUND('件数(合算）'!AP41*'件数(合算）'!K41*$E40,0)</f>
        <v>0</v>
      </c>
      <c r="AP40" s="49">
        <f>ROUND('件数(合算）'!AQ41*'件数(合算）'!K41*$E40,0)</f>
        <v>0</v>
      </c>
      <c r="AQ40" s="49">
        <f>ROUND('件数(合算）'!AR41*'件数(合算）'!K41*$E40,0)</f>
        <v>0</v>
      </c>
      <c r="AR40" s="49">
        <f>ROUND('件数(合算）'!AS41*'件数(合算）'!K41*$E40,0)</f>
        <v>0</v>
      </c>
      <c r="AS40" s="49">
        <f>ROUND('件数(合算）'!AT41*'件数(合算）'!K41*$E40,0)</f>
        <v>0</v>
      </c>
      <c r="AT40" s="49">
        <f>ROUND('件数(合算）'!AU41*'件数(合算）'!K41*$E40,0)</f>
        <v>0</v>
      </c>
      <c r="AU40" s="49">
        <f>ROUND('件数(合算）'!AV41*'件数(合算）'!K41*$E40,0)</f>
        <v>0</v>
      </c>
      <c r="AV40" s="12">
        <f t="shared" si="5"/>
        <v>29122</v>
      </c>
    </row>
    <row r="41" spans="1:48" ht="22" customHeight="1">
      <c r="A41" s="26">
        <v>79082</v>
      </c>
      <c r="B41" s="27" t="s">
        <v>107</v>
      </c>
      <c r="C41" s="25"/>
      <c r="D41" s="9"/>
      <c r="E41" s="5">
        <f>'件数(合算）'!E42</f>
        <v>5000</v>
      </c>
      <c r="F41" s="5">
        <f>'件数(合算）'!F42</f>
        <v>5000</v>
      </c>
      <c r="G41" s="5">
        <f>'件数(合算）'!G42</f>
        <v>5000</v>
      </c>
      <c r="K41" s="4">
        <f>'件数(合算）'!K42</f>
        <v>8.3333333333333329E-2</v>
      </c>
      <c r="L41" s="4">
        <f>'件数(合算）'!K42</f>
        <v>8.3333333333333329E-2</v>
      </c>
      <c r="M41" s="4">
        <f>'件数(合算）'!K42</f>
        <v>8.3333333333333329E-2</v>
      </c>
      <c r="N41" s="4">
        <f>'件数(合算）'!K42</f>
        <v>8.3333333333333329E-2</v>
      </c>
      <c r="O41" s="5">
        <f>ROUND('件数(合算）'!P42*'件数(合算）'!K42*$G41,0)</f>
        <v>417</v>
      </c>
      <c r="P41" s="5">
        <f>ROUND('件数(合算）'!Q42*'件数(合算）'!K42*$G41,0)</f>
        <v>833</v>
      </c>
      <c r="Q41" s="5">
        <f>ROUND('件数(合算）'!R42*'件数(合算）'!K42*$G41,0)</f>
        <v>417</v>
      </c>
      <c r="R41" s="5">
        <f>ROUND('件数(合算）'!S42*'件数(合算）'!K42*$G41,0)</f>
        <v>417</v>
      </c>
      <c r="S41" s="5">
        <f>ROUND('件数(合算）'!T42*'件数(合算）'!K42*$G41,0)</f>
        <v>417</v>
      </c>
      <c r="T41" s="5">
        <f>ROUND('件数(合算）'!U42*'件数(合算）'!K42*$G41,0)</f>
        <v>417</v>
      </c>
      <c r="U41" s="5">
        <f>ROUND('件数(合算）'!V42*'件数(合算）'!K42*$G41,0)</f>
        <v>417</v>
      </c>
      <c r="V41" s="5">
        <f>ROUND('件数(合算）'!W42*'件数(合算）'!K42*$G41,0)</f>
        <v>417</v>
      </c>
      <c r="W41" s="5">
        <f>ROUND('件数(合算）'!X42*'件数(合算）'!K42*$G41,0)</f>
        <v>417</v>
      </c>
      <c r="X41" s="5">
        <f>ROUND('件数(合算）'!Y42*'件数(合算）'!K42*$G41,0)</f>
        <v>417</v>
      </c>
      <c r="Y41" s="5">
        <f>ROUND('件数(合算）'!Z42*'件数(合算）'!K42*$G41,0)</f>
        <v>417</v>
      </c>
      <c r="Z41" s="5">
        <f>ROUND('件数(合算）'!AA42*'件数(合算）'!K42*$F41,0)</f>
        <v>417</v>
      </c>
      <c r="AA41" s="5">
        <f>ROUND('件数(合算）'!AB42*'件数(合算）'!K42*$F41,0)</f>
        <v>417</v>
      </c>
      <c r="AB41" s="5">
        <f>ROUND('件数(合算）'!AC42*'件数(合算）'!K42*$F41,0)</f>
        <v>417</v>
      </c>
      <c r="AC41" s="5">
        <f>ROUND('件数(合算）'!AD42*'件数(合算）'!K42*$F41,0)</f>
        <v>417</v>
      </c>
      <c r="AD41" s="5">
        <f>ROUND('件数(合算）'!AE42*'件数(合算）'!K42*$F41,0)</f>
        <v>417</v>
      </c>
      <c r="AE41" s="5">
        <f>ROUND('件数(合算）'!AF42*'件数(合算）'!K42*$F41,0)</f>
        <v>0</v>
      </c>
      <c r="AF41" s="5">
        <f>ROUND('件数(合算）'!AG42*'件数(合算）'!K42*$E41,0)</f>
        <v>0</v>
      </c>
      <c r="AG41" s="5">
        <f>ROUND('件数(合算）'!AH42*'件数(合算）'!K42*$E41,0)</f>
        <v>0</v>
      </c>
      <c r="AH41" s="5">
        <f>ROUND('件数(合算）'!AI42*'件数(合算）'!K42*$E41,0)</f>
        <v>0</v>
      </c>
      <c r="AI41" s="5">
        <f>ROUND('件数(合算）'!AJ42*'件数(合算）'!K42*$E41,0)</f>
        <v>0</v>
      </c>
      <c r="AJ41" s="5">
        <f>ROUND('件数(合算）'!AK42*'件数(合算）'!K42*$E41,0)</f>
        <v>0</v>
      </c>
      <c r="AK41" s="5">
        <f>ROUND('件数(合算）'!AL42*'件数(合算）'!K42*$F41,0)</f>
        <v>0</v>
      </c>
      <c r="AL41" s="5">
        <f>ROUND('件数(合算）'!AM42*'件数(合算）'!K42*$F41,0)</f>
        <v>0</v>
      </c>
      <c r="AM41" s="5">
        <f>ROUND('件数(合算）'!AN42*'件数(合算）'!K42*$E41,0)</f>
        <v>0</v>
      </c>
      <c r="AN41" s="5">
        <f>ROUND('件数(合算）'!AO42*'件数(合算）'!K42*$E41,0)</f>
        <v>0</v>
      </c>
      <c r="AO41" s="5">
        <f>ROUND('件数(合算）'!AP42*'件数(合算）'!K42*$E41,0)</f>
        <v>0</v>
      </c>
      <c r="AP41" s="5">
        <f>ROUND('件数(合算）'!AQ42*'件数(合算）'!K42*$E41,0)</f>
        <v>0</v>
      </c>
      <c r="AQ41" s="5">
        <f>ROUND('件数(合算）'!AR42*'件数(合算）'!K42*$E41,0)</f>
        <v>0</v>
      </c>
      <c r="AR41" s="5">
        <f>ROUND('件数(合算）'!AS42*'件数(合算）'!K42*$E41,0)</f>
        <v>0</v>
      </c>
      <c r="AS41" s="5">
        <f>ROUND('件数(合算）'!AT42*'件数(合算）'!K42*$E41,0)</f>
        <v>0</v>
      </c>
      <c r="AT41" s="5">
        <f>ROUND('件数(合算）'!AU42*'件数(合算）'!K42*$E41,0)</f>
        <v>0</v>
      </c>
      <c r="AU41" s="5">
        <f>ROUND('件数(合算）'!AV42*'件数(合算）'!K42*$E41,0)</f>
        <v>0</v>
      </c>
      <c r="AV41" s="12">
        <f t="shared" si="5"/>
        <v>7088</v>
      </c>
    </row>
    <row r="42" spans="1:48" ht="22" customHeight="1">
      <c r="A42" s="34">
        <v>349963</v>
      </c>
      <c r="B42" s="35" t="s">
        <v>109</v>
      </c>
      <c r="C42" s="32"/>
      <c r="D42" s="39"/>
      <c r="E42" s="49">
        <f>'件数(合算）'!E43</f>
        <v>4000</v>
      </c>
      <c r="F42" s="49">
        <f>'件数(合算）'!F43</f>
        <v>4000</v>
      </c>
      <c r="G42" s="49">
        <f>'件数(合算）'!G43</f>
        <v>4000</v>
      </c>
      <c r="K42" s="37">
        <f>'件数(合算）'!K43</f>
        <v>0.2857142857142857</v>
      </c>
      <c r="L42" s="37">
        <f>'件数(合算）'!K43</f>
        <v>0.2857142857142857</v>
      </c>
      <c r="M42" s="37">
        <f>'件数(合算）'!K43</f>
        <v>0.2857142857142857</v>
      </c>
      <c r="N42" s="37">
        <f>'件数(合算）'!K43</f>
        <v>0.2857142857142857</v>
      </c>
      <c r="O42" s="49">
        <f>ROUND('件数(合算）'!P43*'件数(合算）'!K43*$G42,0)</f>
        <v>1143</v>
      </c>
      <c r="P42" s="49">
        <f>ROUND('件数(合算）'!Q43*'件数(合算）'!K43*$G42,0)</f>
        <v>1143</v>
      </c>
      <c r="Q42" s="49">
        <f>ROUND('件数(合算）'!R43*'件数(合算）'!K43*$G42,0)</f>
        <v>1143</v>
      </c>
      <c r="R42" s="49">
        <f>ROUND('件数(合算）'!S43*'件数(合算）'!K43*$G42,0)</f>
        <v>1143</v>
      </c>
      <c r="S42" s="49">
        <f>ROUND('件数(合算）'!T43*'件数(合算）'!K43*$G42,0)</f>
        <v>1143</v>
      </c>
      <c r="T42" s="49">
        <f>ROUND('件数(合算）'!U43*'件数(合算）'!K43*$G42,0)</f>
        <v>1143</v>
      </c>
      <c r="U42" s="49">
        <f>ROUND('件数(合算）'!V43*'件数(合算）'!K43*$G42,0)</f>
        <v>1143</v>
      </c>
      <c r="V42" s="49">
        <f>ROUND('件数(合算）'!W43*'件数(合算）'!K43*$G42,0)</f>
        <v>1143</v>
      </c>
      <c r="W42" s="49">
        <f>ROUND('件数(合算）'!X43*'件数(合算）'!K43*$G42,0)</f>
        <v>1143</v>
      </c>
      <c r="X42" s="49">
        <f>ROUND('件数(合算）'!Y43*'件数(合算）'!K43*$G42,0)</f>
        <v>1143</v>
      </c>
      <c r="Y42" s="49">
        <f>ROUND('件数(合算）'!Z43*'件数(合算）'!K43*$G42,0)</f>
        <v>1143</v>
      </c>
      <c r="Z42" s="49">
        <f>ROUND('件数(合算）'!AA43*'件数(合算）'!K43*$F42,0)</f>
        <v>1143</v>
      </c>
      <c r="AA42" s="49">
        <f>ROUND('件数(合算）'!AB43*'件数(合算）'!K43*$F42,0)</f>
        <v>1143</v>
      </c>
      <c r="AB42" s="49">
        <f>ROUND('件数(合算）'!AC43*'件数(合算）'!K43*$F42,0)</f>
        <v>1143</v>
      </c>
      <c r="AC42" s="49">
        <f>ROUND('件数(合算）'!AD43*'件数(合算）'!K43*$F42,0)</f>
        <v>1143</v>
      </c>
      <c r="AD42" s="49">
        <f>ROUND('件数(合算）'!AE43*'件数(合算）'!K43*$F42,0)</f>
        <v>1143</v>
      </c>
      <c r="AE42" s="49">
        <f>ROUND('件数(合算）'!AF43*'件数(合算）'!K43*$F42,0)</f>
        <v>1143</v>
      </c>
      <c r="AF42" s="49">
        <f>ROUND('件数(合算）'!AG43*'件数(合算）'!K43*$E42,0)</f>
        <v>0</v>
      </c>
      <c r="AG42" s="49">
        <f>ROUND('件数(合算）'!AH43*'件数(合算）'!K43*$E42,0)</f>
        <v>0</v>
      </c>
      <c r="AH42" s="49">
        <f>ROUND('件数(合算）'!AI43*'件数(合算）'!K43*$E42,0)</f>
        <v>0</v>
      </c>
      <c r="AI42" s="49">
        <f>ROUND('件数(合算）'!AJ43*'件数(合算）'!K43*$E42,0)</f>
        <v>0</v>
      </c>
      <c r="AJ42" s="49">
        <f>ROUND('件数(合算）'!AK43*'件数(合算）'!K43*$E42,0)</f>
        <v>0</v>
      </c>
      <c r="AK42" s="49">
        <f>ROUND('件数(合算）'!AL43*'件数(合算）'!K43*$F42,0)</f>
        <v>0</v>
      </c>
      <c r="AL42" s="49">
        <f>ROUND('件数(合算）'!AM43*'件数(合算）'!K43*$F42,0)</f>
        <v>0</v>
      </c>
      <c r="AM42" s="49">
        <f>ROUND('件数(合算）'!AN43*'件数(合算）'!K43*$E42,0)</f>
        <v>0</v>
      </c>
      <c r="AN42" s="49">
        <f>ROUND('件数(合算）'!AO43*'件数(合算）'!K43*$E42,0)</f>
        <v>0</v>
      </c>
      <c r="AO42" s="49">
        <f>ROUND('件数(合算）'!AP43*'件数(合算）'!K43*$E42,0)</f>
        <v>0</v>
      </c>
      <c r="AP42" s="49">
        <f>ROUND('件数(合算）'!AQ43*'件数(合算）'!K43*$E42,0)</f>
        <v>0</v>
      </c>
      <c r="AQ42" s="49">
        <f>ROUND('件数(合算）'!AR43*'件数(合算）'!K43*$E42,0)</f>
        <v>0</v>
      </c>
      <c r="AR42" s="49">
        <f>ROUND('件数(合算）'!AS43*'件数(合算）'!K43*$E42,0)</f>
        <v>0</v>
      </c>
      <c r="AS42" s="49">
        <f>ROUND('件数(合算）'!AT43*'件数(合算）'!K43*$E42,0)</f>
        <v>0</v>
      </c>
      <c r="AT42" s="49">
        <f>ROUND('件数(合算）'!AU43*'件数(合算）'!K43*$E42,0)</f>
        <v>0</v>
      </c>
      <c r="AU42" s="49">
        <f>ROUND('件数(合算）'!AV43*'件数(合算）'!K43*$E42,0)</f>
        <v>0</v>
      </c>
      <c r="AV42" s="12">
        <f t="shared" si="5"/>
        <v>19431</v>
      </c>
    </row>
    <row r="43" spans="1:48" ht="22" customHeight="1">
      <c r="A43" s="26">
        <v>355488</v>
      </c>
      <c r="B43" s="27" t="s">
        <v>111</v>
      </c>
      <c r="C43" s="25"/>
      <c r="D43" s="9"/>
      <c r="E43" s="5">
        <f>'件数(合算）'!E44</f>
        <v>3500</v>
      </c>
      <c r="F43" s="5">
        <f>'件数(合算）'!F44</f>
        <v>3500</v>
      </c>
      <c r="G43" s="5">
        <f>'件数(合算）'!G44</f>
        <v>3500</v>
      </c>
      <c r="K43" s="4">
        <f>'件数(合算）'!K44</f>
        <v>0.1020408163265306</v>
      </c>
      <c r="L43" s="4">
        <f>'件数(合算）'!K44</f>
        <v>0.1020408163265306</v>
      </c>
      <c r="M43" s="4">
        <f>'件数(合算）'!K44</f>
        <v>0.1020408163265306</v>
      </c>
      <c r="N43" s="4">
        <f>'件数(合算）'!K44</f>
        <v>0.1020408163265306</v>
      </c>
      <c r="O43" s="5">
        <f>ROUND('件数(合算）'!P44*'件数(合算）'!K44*$G43,0)</f>
        <v>1786</v>
      </c>
      <c r="P43" s="5">
        <f>ROUND('件数(合算）'!Q44*'件数(合算）'!K44*$G43,0)</f>
        <v>1786</v>
      </c>
      <c r="Q43" s="5">
        <f>ROUND('件数(合算）'!R44*'件数(合算）'!K44*$G43,0)</f>
        <v>1786</v>
      </c>
      <c r="R43" s="5">
        <f>ROUND('件数(合算）'!S44*'件数(合算）'!K44*$G43,0)</f>
        <v>1429</v>
      </c>
      <c r="S43" s="5">
        <f>ROUND('件数(合算）'!T44*'件数(合算）'!K44*$G43,0)</f>
        <v>1429</v>
      </c>
      <c r="T43" s="5">
        <f>ROUND('件数(合算）'!U44*'件数(合算）'!K44*$G43,0)</f>
        <v>1429</v>
      </c>
      <c r="U43" s="5">
        <f>ROUND('件数(合算）'!V44*'件数(合算）'!K44*$G43,0)</f>
        <v>1429</v>
      </c>
      <c r="V43" s="5">
        <f>ROUND('件数(合算）'!W44*'件数(合算）'!K44*$G43,0)</f>
        <v>1429</v>
      </c>
      <c r="W43" s="5">
        <f>ROUND('件数(合算）'!X44*'件数(合算）'!K44*$G43,0)</f>
        <v>1786</v>
      </c>
      <c r="X43" s="5">
        <f>ROUND('件数(合算）'!Y44*'件数(合算）'!K44*$G43,0)</f>
        <v>1786</v>
      </c>
      <c r="Y43" s="5">
        <f>ROUND('件数(合算）'!Z44*'件数(合算）'!K44*$G43,0)</f>
        <v>1786</v>
      </c>
      <c r="Z43" s="5">
        <f>ROUND('件数(合算）'!AA44*'件数(合算）'!K44*$F43,0)</f>
        <v>357</v>
      </c>
      <c r="AA43" s="5">
        <f>ROUND('件数(合算）'!AB44*'件数(合算）'!K44*$F43,0)</f>
        <v>357</v>
      </c>
      <c r="AB43" s="5">
        <f>ROUND('件数(合算）'!AC44*'件数(合算）'!K44*$F43,0)</f>
        <v>357</v>
      </c>
      <c r="AC43" s="5">
        <f>ROUND('件数(合算）'!AD44*'件数(合算）'!K44*$F43,0)</f>
        <v>357</v>
      </c>
      <c r="AD43" s="5">
        <f>ROUND('件数(合算）'!AE44*'件数(合算）'!K44*$F43,0)</f>
        <v>357</v>
      </c>
      <c r="AE43" s="5">
        <f>ROUND('件数(合算）'!AF44*'件数(合算）'!K44*$F43,0)</f>
        <v>357</v>
      </c>
      <c r="AF43" s="5">
        <f>ROUND('件数(合算）'!AG44*'件数(合算）'!K44*$E43,0)</f>
        <v>357</v>
      </c>
      <c r="AG43" s="5">
        <f>ROUND('件数(合算）'!AH44*'件数(合算）'!K44*$E43,0)</f>
        <v>357</v>
      </c>
      <c r="AH43" s="5">
        <f>ROUND('件数(合算）'!AI44*'件数(合算）'!K44*$E43,0)</f>
        <v>357</v>
      </c>
      <c r="AI43" s="5">
        <f>ROUND('件数(合算）'!AJ44*'件数(合算）'!K44*$E43,0)</f>
        <v>357</v>
      </c>
      <c r="AJ43" s="5">
        <f>ROUND('件数(合算）'!AK44*'件数(合算）'!K44*$E43,0)</f>
        <v>357</v>
      </c>
      <c r="AK43" s="5">
        <f>ROUND('件数(合算）'!AL44*'件数(合算）'!K44*$F43,0)</f>
        <v>357</v>
      </c>
      <c r="AL43" s="5">
        <f>ROUND('件数(合算）'!AM44*'件数(合算）'!K44*$F43,0)</f>
        <v>357</v>
      </c>
      <c r="AM43" s="5">
        <f>ROUND('件数(合算）'!AN44*'件数(合算）'!K44*$E43,0)</f>
        <v>357</v>
      </c>
      <c r="AN43" s="5">
        <f>ROUND('件数(合算）'!AO44*'件数(合算）'!K44*$E43,0)</f>
        <v>357</v>
      </c>
      <c r="AO43" s="5">
        <f>ROUND('件数(合算）'!AP44*'件数(合算）'!K44*$E43,0)</f>
        <v>357</v>
      </c>
      <c r="AP43" s="5">
        <f>ROUND('件数(合算）'!AQ44*'件数(合算）'!K44*$E43,0)</f>
        <v>357</v>
      </c>
      <c r="AQ43" s="5">
        <f>ROUND('件数(合算）'!AR44*'件数(合算）'!K44*$E43,0)</f>
        <v>357</v>
      </c>
      <c r="AR43" s="5">
        <f>ROUND('件数(合算）'!AS44*'件数(合算）'!K44*$E43,0)</f>
        <v>357</v>
      </c>
      <c r="AS43" s="5">
        <f>ROUND('件数(合算）'!AT44*'件数(合算）'!K44*$E43,0)</f>
        <v>357</v>
      </c>
      <c r="AT43" s="5">
        <f>ROUND('件数(合算）'!AU44*'件数(合算）'!K44*$E43,0)</f>
        <v>357</v>
      </c>
      <c r="AU43" s="5">
        <f>ROUND('件数(合算）'!AV44*'件数(合算）'!K44*$E43,0)</f>
        <v>357</v>
      </c>
      <c r="AV43" s="12">
        <f t="shared" si="5"/>
        <v>25715</v>
      </c>
    </row>
    <row r="44" spans="1:48" ht="22" customHeight="1">
      <c r="A44" s="34">
        <v>356767</v>
      </c>
      <c r="B44" s="35" t="s">
        <v>113</v>
      </c>
      <c r="C44" s="32"/>
      <c r="D44" s="39"/>
      <c r="E44" s="49">
        <f>'件数(合算）'!E45</f>
        <v>8000</v>
      </c>
      <c r="F44" s="49">
        <f>'件数(合算）'!F45</f>
        <v>8000</v>
      </c>
      <c r="G44" s="49">
        <f>'件数(合算）'!G45</f>
        <v>8000</v>
      </c>
      <c r="K44" s="37">
        <f>'件数(合算）'!K45</f>
        <v>0.29032258064516131</v>
      </c>
      <c r="L44" s="37">
        <f>'件数(合算）'!K45</f>
        <v>0.29032258064516131</v>
      </c>
      <c r="M44" s="37">
        <f>'件数(合算）'!K45</f>
        <v>0.29032258064516131</v>
      </c>
      <c r="N44" s="37">
        <f>'件数(合算）'!K45</f>
        <v>0.29032258064516131</v>
      </c>
      <c r="O44" s="49">
        <f>ROUND('件数(合算）'!P45*'件数(合算）'!K45*$G44,0)</f>
        <v>4645</v>
      </c>
      <c r="P44" s="49">
        <f>ROUND('件数(合算）'!Q45*'件数(合算）'!K45*$G44,0)</f>
        <v>2323</v>
      </c>
      <c r="Q44" s="49">
        <f>ROUND('件数(合算）'!R45*'件数(合算）'!K45*$G44,0)</f>
        <v>4645</v>
      </c>
      <c r="R44" s="49">
        <f>ROUND('件数(合算）'!S45*'件数(合算）'!K45*$G44,0)</f>
        <v>4645</v>
      </c>
      <c r="S44" s="49">
        <f>ROUND('件数(合算）'!T45*'件数(合算）'!K45*$G44,0)</f>
        <v>4645</v>
      </c>
      <c r="T44" s="49">
        <f>ROUND('件数(合算）'!U45*'件数(合算）'!K45*$G44,0)</f>
        <v>4645</v>
      </c>
      <c r="U44" s="49">
        <f>ROUND('件数(合算）'!V45*'件数(合算）'!K45*$G44,0)</f>
        <v>4645</v>
      </c>
      <c r="V44" s="49">
        <f>ROUND('件数(合算）'!W45*'件数(合算）'!K45*$G44,0)</f>
        <v>4645</v>
      </c>
      <c r="W44" s="49">
        <f>ROUND('件数(合算）'!X45*'件数(合算）'!K45*$G44,0)</f>
        <v>2323</v>
      </c>
      <c r="X44" s="49">
        <f>ROUND('件数(合算）'!Y45*'件数(合算）'!K45*$G44,0)</f>
        <v>4645</v>
      </c>
      <c r="Y44" s="49">
        <f>ROUND('件数(合算）'!Z45*'件数(合算）'!K45*$G44,0)</f>
        <v>2323</v>
      </c>
      <c r="Z44" s="49">
        <f>ROUND('件数(合算）'!AA45*'件数(合算）'!K45*$F44,0)</f>
        <v>4645</v>
      </c>
      <c r="AA44" s="49">
        <f>ROUND('件数(合算）'!AB45*'件数(合算）'!K45*$F44,0)</f>
        <v>4645</v>
      </c>
      <c r="AB44" s="49">
        <f>ROUND('件数(合算）'!AC45*'件数(合算）'!K45*$F44,0)</f>
        <v>4645</v>
      </c>
      <c r="AC44" s="49">
        <f>ROUND('件数(合算）'!AD45*'件数(合算）'!K45*$F44,0)</f>
        <v>4645</v>
      </c>
      <c r="AD44" s="49">
        <f>ROUND('件数(合算）'!AE45*'件数(合算）'!K45*$F44,0)</f>
        <v>2323</v>
      </c>
      <c r="AE44" s="49">
        <f>ROUND('件数(合算）'!AF45*'件数(合算）'!K45*$F44,0)</f>
        <v>4645</v>
      </c>
      <c r="AF44" s="49">
        <f>ROUND('件数(合算）'!AG45*'件数(合算）'!K45*$E44,0)</f>
        <v>2323</v>
      </c>
      <c r="AG44" s="49">
        <f>ROUND('件数(合算）'!AH45*'件数(合算）'!K45*$E44,0)</f>
        <v>0</v>
      </c>
      <c r="AH44" s="49">
        <f>ROUND('件数(合算）'!AI45*'件数(合算）'!K45*$E44,0)</f>
        <v>0</v>
      </c>
      <c r="AI44" s="49">
        <f>ROUND('件数(合算）'!AJ45*'件数(合算）'!K45*$E44,0)</f>
        <v>0</v>
      </c>
      <c r="AJ44" s="49">
        <f>ROUND('件数(合算）'!AK45*'件数(合算）'!K45*$E44,0)</f>
        <v>0</v>
      </c>
      <c r="AK44" s="49">
        <f>ROUND('件数(合算）'!AL45*'件数(合算）'!K45*$F44,0)</f>
        <v>0</v>
      </c>
      <c r="AL44" s="49">
        <f>ROUND('件数(合算）'!AM45*'件数(合算）'!K45*$F44,0)</f>
        <v>2323</v>
      </c>
      <c r="AM44" s="49">
        <f>ROUND('件数(合算）'!AN45*'件数(合算）'!K45*$E44,0)</f>
        <v>2323</v>
      </c>
      <c r="AN44" s="49">
        <f>ROUND('件数(合算）'!AO45*'件数(合算）'!K45*$E44,0)</f>
        <v>2323</v>
      </c>
      <c r="AO44" s="49">
        <f>ROUND('件数(合算）'!AP45*'件数(合算）'!K45*$E44,0)</f>
        <v>2323</v>
      </c>
      <c r="AP44" s="49">
        <f>ROUND('件数(合算）'!AQ45*'件数(合算）'!K45*$E44,0)</f>
        <v>2323</v>
      </c>
      <c r="AQ44" s="49">
        <f>ROUND('件数(合算）'!AR45*'件数(合算）'!K45*$E44,0)</f>
        <v>2323</v>
      </c>
      <c r="AR44" s="49">
        <f>ROUND('件数(合算）'!AS45*'件数(合算）'!K45*$E44,0)</f>
        <v>0</v>
      </c>
      <c r="AS44" s="49">
        <f>ROUND('件数(合算）'!AT45*'件数(合算）'!K45*$E44,0)</f>
        <v>2323</v>
      </c>
      <c r="AT44" s="49">
        <f>ROUND('件数(合算）'!AU45*'件数(合算）'!K45*$E44,0)</f>
        <v>2323</v>
      </c>
      <c r="AU44" s="49">
        <f>ROUND('件数(合算）'!AV45*'件数(合算）'!K45*$E44,0)</f>
        <v>2323</v>
      </c>
      <c r="AV44" s="12">
        <f t="shared" si="5"/>
        <v>92907</v>
      </c>
    </row>
    <row r="45" spans="1:48" ht="22" customHeight="1">
      <c r="A45" s="26">
        <v>154908</v>
      </c>
      <c r="B45" s="27" t="s">
        <v>115</v>
      </c>
      <c r="C45" s="25"/>
      <c r="D45" s="9"/>
      <c r="E45" s="5">
        <f>'件数(合算）'!E46</f>
        <v>5000</v>
      </c>
      <c r="F45" s="5">
        <f>'件数(合算）'!F46</f>
        <v>5000</v>
      </c>
      <c r="G45" s="5">
        <f>'件数(合算）'!G46</f>
        <v>5000</v>
      </c>
      <c r="K45" s="4">
        <f>'件数(合算）'!K46</f>
        <v>0.33333333333333331</v>
      </c>
      <c r="L45" s="4">
        <f>'件数(合算）'!K46</f>
        <v>0.33333333333333331</v>
      </c>
      <c r="M45" s="4">
        <f>'件数(合算）'!K46</f>
        <v>0.33333333333333331</v>
      </c>
      <c r="N45" s="4">
        <f>'件数(合算）'!K46</f>
        <v>0.33333333333333331</v>
      </c>
      <c r="O45" s="5">
        <f>ROUND('件数(合算）'!P46*'件数(合算）'!K46*$G45,0)</f>
        <v>0</v>
      </c>
      <c r="P45" s="5">
        <f>ROUND('件数(合算）'!Q46*'件数(合算）'!K46*$G45,0)</f>
        <v>0</v>
      </c>
      <c r="Q45" s="5">
        <f>ROUND('件数(合算）'!R46*'件数(合算）'!K46*$G45,0)</f>
        <v>0</v>
      </c>
      <c r="R45" s="5">
        <f>ROUND('件数(合算）'!S46*'件数(合算）'!K46*$G45,0)</f>
        <v>0</v>
      </c>
      <c r="S45" s="5">
        <f>ROUND('件数(合算）'!T46*'件数(合算）'!K46*$G45,0)</f>
        <v>0</v>
      </c>
      <c r="T45" s="5">
        <f>ROUND('件数(合算）'!U46*'件数(合算）'!K46*$G45,0)</f>
        <v>0</v>
      </c>
      <c r="U45" s="5">
        <f>ROUND('件数(合算）'!V46*'件数(合算）'!K46*$G45,0)</f>
        <v>0</v>
      </c>
      <c r="V45" s="5">
        <f>ROUND('件数(合算）'!W46*'件数(合算）'!K46*$G45,0)</f>
        <v>0</v>
      </c>
      <c r="W45" s="5">
        <f>ROUND('件数(合算）'!X46*'件数(合算）'!K46*$G45,0)</f>
        <v>0</v>
      </c>
      <c r="X45" s="5">
        <f>ROUND('件数(合算）'!Y46*'件数(合算）'!K46*$G45,0)</f>
        <v>0</v>
      </c>
      <c r="Y45" s="5">
        <f>ROUND('件数(合算）'!Z46*'件数(合算）'!K46*$G45,0)</f>
        <v>0</v>
      </c>
      <c r="Z45" s="5">
        <f>ROUND('件数(合算）'!AA46*'件数(合算）'!K46*$F45,0)</f>
        <v>0</v>
      </c>
      <c r="AA45" s="5">
        <f>ROUND('件数(合算）'!AB46*'件数(合算）'!K46*$F45,0)</f>
        <v>0</v>
      </c>
      <c r="AB45" s="5">
        <f>ROUND('件数(合算）'!AC46*'件数(合算）'!K46*$F45,0)</f>
        <v>0</v>
      </c>
      <c r="AC45" s="5">
        <f>ROUND('件数(合算）'!AD46*'件数(合算）'!K46*$F45,0)</f>
        <v>0</v>
      </c>
      <c r="AD45" s="5">
        <f>ROUND('件数(合算）'!AE46*'件数(合算）'!K46*$F45,0)</f>
        <v>0</v>
      </c>
      <c r="AE45" s="5">
        <f>ROUND('件数(合算）'!AF46*'件数(合算）'!K46*$F45,0)</f>
        <v>0</v>
      </c>
      <c r="AF45" s="5">
        <f>ROUND('件数(合算）'!AG46*'件数(合算）'!K46*$E45,0)</f>
        <v>0</v>
      </c>
      <c r="AG45" s="5">
        <f>ROUND('件数(合算）'!AH46*'件数(合算）'!K46*$E45,0)</f>
        <v>0</v>
      </c>
      <c r="AH45" s="5">
        <f>ROUND('件数(合算）'!AI46*'件数(合算）'!K46*$E45,0)</f>
        <v>0</v>
      </c>
      <c r="AI45" s="5">
        <f>ROUND('件数(合算）'!AJ46*'件数(合算）'!K46*$E45,0)</f>
        <v>0</v>
      </c>
      <c r="AJ45" s="5">
        <f>ROUND('件数(合算）'!AK46*'件数(合算）'!K46*$E45,0)</f>
        <v>0</v>
      </c>
      <c r="AK45" s="5">
        <f>ROUND('件数(合算）'!AL46*'件数(合算）'!K46*$F45,0)</f>
        <v>0</v>
      </c>
      <c r="AL45" s="5">
        <f>ROUND('件数(合算）'!AM46*'件数(合算）'!K46*$F45,0)</f>
        <v>0</v>
      </c>
      <c r="AM45" s="5">
        <f>ROUND('件数(合算）'!AN46*'件数(合算）'!K46*$E45,0)</f>
        <v>0</v>
      </c>
      <c r="AN45" s="5">
        <f>ROUND('件数(合算）'!AO46*'件数(合算）'!K46*$E45,0)</f>
        <v>0</v>
      </c>
      <c r="AO45" s="5">
        <f>ROUND('件数(合算）'!AP46*'件数(合算）'!K46*$E45,0)</f>
        <v>0</v>
      </c>
      <c r="AP45" s="5">
        <f>ROUND('件数(合算）'!AQ46*'件数(合算）'!K46*$E45,0)</f>
        <v>0</v>
      </c>
      <c r="AQ45" s="5">
        <f>ROUND('件数(合算）'!AR46*'件数(合算）'!K46*$E45,0)</f>
        <v>0</v>
      </c>
      <c r="AR45" s="5">
        <f>ROUND('件数(合算）'!AS46*'件数(合算）'!K46*$E45,0)</f>
        <v>0</v>
      </c>
      <c r="AS45" s="5">
        <f>ROUND('件数(合算）'!AT46*'件数(合算）'!K46*$E45,0)</f>
        <v>0</v>
      </c>
      <c r="AT45" s="5">
        <f>ROUND('件数(合算）'!AU46*'件数(合算）'!K46*$E45,0)</f>
        <v>0</v>
      </c>
      <c r="AU45" s="5">
        <f>ROUND('件数(合算）'!AV46*'件数(合算）'!K46*$E45,0)</f>
        <v>0</v>
      </c>
      <c r="AV45" s="12">
        <f t="shared" si="5"/>
        <v>0</v>
      </c>
    </row>
    <row r="46" spans="1:48" ht="22" customHeight="1">
      <c r="A46" s="34">
        <v>389113</v>
      </c>
      <c r="B46" s="35" t="s">
        <v>117</v>
      </c>
      <c r="C46" s="32"/>
      <c r="D46" s="39"/>
      <c r="E46" s="49">
        <f>'件数(合算）'!E47</f>
        <v>12000</v>
      </c>
      <c r="F46" s="49">
        <f>'件数(合算）'!F47</f>
        <v>12000</v>
      </c>
      <c r="G46" s="49">
        <f>'件数(合算）'!G47</f>
        <v>12000</v>
      </c>
      <c r="K46" s="37">
        <f>'件数(合算）'!K47</f>
        <v>9.375E-2</v>
      </c>
      <c r="L46" s="37">
        <f>'件数(合算）'!K47</f>
        <v>9.375E-2</v>
      </c>
      <c r="M46" s="37">
        <f>'件数(合算）'!K47</f>
        <v>9.375E-2</v>
      </c>
      <c r="N46" s="37">
        <f>'件数(合算）'!K47</f>
        <v>9.375E-2</v>
      </c>
      <c r="O46" s="49">
        <f>ROUND('件数(合算）'!P47*'件数(合算）'!K47*$G46,0)</f>
        <v>4500</v>
      </c>
      <c r="P46" s="49">
        <f>ROUND('件数(合算）'!Q47*'件数(合算）'!K47*$G46,0)</f>
        <v>3375</v>
      </c>
      <c r="Q46" s="49">
        <f>ROUND('件数(合算）'!R47*'件数(合算）'!K47*$G46,0)</f>
        <v>3375</v>
      </c>
      <c r="R46" s="49">
        <f>ROUND('件数(合算）'!S47*'件数(合算）'!K47*$G46,0)</f>
        <v>4500</v>
      </c>
      <c r="S46" s="49">
        <f>ROUND('件数(合算）'!T47*'件数(合算）'!K47*$G46,0)</f>
        <v>4500</v>
      </c>
      <c r="T46" s="49">
        <f>ROUND('件数(合算）'!U47*'件数(合算）'!K47*$G46,0)</f>
        <v>4500</v>
      </c>
      <c r="U46" s="49">
        <f>ROUND('件数(合算）'!V47*'件数(合算）'!K47*$G46,0)</f>
        <v>4500</v>
      </c>
      <c r="V46" s="49">
        <f>ROUND('件数(合算）'!W47*'件数(合算）'!K47*$G46,0)</f>
        <v>4500</v>
      </c>
      <c r="W46" s="49">
        <f>ROUND('件数(合算）'!X47*'件数(合算）'!K47*$G46,0)</f>
        <v>3375</v>
      </c>
      <c r="X46" s="49">
        <f>ROUND('件数(合算）'!Y47*'件数(合算）'!K47*$G46,0)</f>
        <v>2250</v>
      </c>
      <c r="Y46" s="49">
        <f>ROUND('件数(合算）'!Z47*'件数(合算）'!K47*$G46,0)</f>
        <v>2250</v>
      </c>
      <c r="Z46" s="49">
        <f>ROUND('件数(合算）'!AA47*'件数(合算）'!K47*$F46,0)</f>
        <v>4500</v>
      </c>
      <c r="AA46" s="49">
        <f>ROUND('件数(合算）'!AB47*'件数(合算）'!K47*$F46,0)</f>
        <v>4500</v>
      </c>
      <c r="AB46" s="49">
        <f>ROUND('件数(合算）'!AC47*'件数(合算）'!K47*$F46,0)</f>
        <v>4500</v>
      </c>
      <c r="AC46" s="49">
        <f>ROUND('件数(合算）'!AD47*'件数(合算）'!K47*$F46,0)</f>
        <v>4500</v>
      </c>
      <c r="AD46" s="49">
        <f>ROUND('件数(合算）'!AE47*'件数(合算）'!K47*$F46,0)</f>
        <v>3375</v>
      </c>
      <c r="AE46" s="49">
        <f>ROUND('件数(合算）'!AF47*'件数(合算）'!K47*$F46,0)</f>
        <v>2250</v>
      </c>
      <c r="AF46" s="49">
        <f>ROUND('件数(合算）'!AG47*'件数(合算）'!K47*$E46,0)</f>
        <v>2250</v>
      </c>
      <c r="AG46" s="49">
        <f>ROUND('件数(合算）'!AH47*'件数(合算）'!K47*$E46,0)</f>
        <v>3375</v>
      </c>
      <c r="AH46" s="49">
        <f>ROUND('件数(合算）'!AI47*'件数(合算）'!K47*$E46,0)</f>
        <v>3375</v>
      </c>
      <c r="AI46" s="49">
        <f>ROUND('件数(合算）'!AJ47*'件数(合算）'!K47*$E46,0)</f>
        <v>3375</v>
      </c>
      <c r="AJ46" s="49">
        <f>ROUND('件数(合算）'!AK47*'件数(合算）'!K47*$E46,0)</f>
        <v>3375</v>
      </c>
      <c r="AK46" s="49">
        <f>ROUND('件数(合算）'!AL47*'件数(合算）'!K47*$F46,0)</f>
        <v>1125</v>
      </c>
      <c r="AL46" s="49">
        <f>ROUND('件数(合算）'!AM47*'件数(合算）'!K47*$F46,0)</f>
        <v>1125</v>
      </c>
      <c r="AM46" s="49">
        <f>ROUND('件数(合算）'!AN47*'件数(合算）'!K47*$E46,0)</f>
        <v>1125</v>
      </c>
      <c r="AN46" s="49">
        <f>ROUND('件数(合算）'!AO47*'件数(合算）'!K47*$E46,0)</f>
        <v>1125</v>
      </c>
      <c r="AO46" s="49">
        <f>ROUND('件数(合算）'!AP47*'件数(合算）'!K47*$E46,0)</f>
        <v>1125</v>
      </c>
      <c r="AP46" s="49">
        <f>ROUND('件数(合算）'!AQ47*'件数(合算）'!K47*$E46,0)</f>
        <v>1125</v>
      </c>
      <c r="AQ46" s="49">
        <f>ROUND('件数(合算）'!AR47*'件数(合算）'!K47*$E46,0)</f>
        <v>1125</v>
      </c>
      <c r="AR46" s="49">
        <f>ROUND('件数(合算）'!AS47*'件数(合算）'!K47*$E46,0)</f>
        <v>0</v>
      </c>
      <c r="AS46" s="49">
        <f>ROUND('件数(合算）'!AT47*'件数(合算）'!K47*$E46,0)</f>
        <v>0</v>
      </c>
      <c r="AT46" s="49">
        <f>ROUND('件数(合算）'!AU47*'件数(合算）'!K47*$E46,0)</f>
        <v>1125</v>
      </c>
      <c r="AU46" s="49">
        <f>ROUND('件数(合算）'!AV47*'件数(合算）'!K47*$E46,0)</f>
        <v>1125</v>
      </c>
      <c r="AV46" s="12">
        <f t="shared" si="5"/>
        <v>91125</v>
      </c>
    </row>
    <row r="47" spans="1:48" ht="22" customHeight="1">
      <c r="A47" s="26">
        <v>392086</v>
      </c>
      <c r="B47" s="27" t="s">
        <v>119</v>
      </c>
      <c r="C47" s="25" t="s">
        <v>212</v>
      </c>
      <c r="D47" s="9"/>
      <c r="E47" s="5">
        <f>'件数(合算）'!E48</f>
        <v>1300</v>
      </c>
      <c r="F47" s="5">
        <f>'件数(合算）'!F48</f>
        <v>1300</v>
      </c>
      <c r="G47" s="5">
        <f>'件数(合算）'!G48</f>
        <v>1300</v>
      </c>
      <c r="K47" s="4">
        <f>'件数(合算）'!K48</f>
        <v>0.125</v>
      </c>
      <c r="L47" s="4">
        <f>'件数(合算）'!K48</f>
        <v>0.125</v>
      </c>
      <c r="M47" s="4">
        <f>'件数(合算）'!K48</f>
        <v>0.125</v>
      </c>
      <c r="N47" s="4">
        <f>'件数(合算）'!K48</f>
        <v>0.125</v>
      </c>
      <c r="O47" s="5">
        <f>ROUND('件数(合算）'!P48*'件数(合算）'!K48*$G47,0)</f>
        <v>325</v>
      </c>
      <c r="P47" s="5">
        <f>ROUND('件数(合算）'!Q48*'件数(合算）'!K48*$G47,0)</f>
        <v>325</v>
      </c>
      <c r="Q47" s="5">
        <f>ROUND('件数(合算）'!R48*'件数(合算）'!K48*$G47,0)</f>
        <v>325</v>
      </c>
      <c r="R47" s="5">
        <f>ROUND('件数(合算）'!S48*'件数(合算）'!K48*$G47,0)</f>
        <v>325</v>
      </c>
      <c r="S47" s="5">
        <f>ROUND('件数(合算）'!T48*'件数(合算）'!K48*$G47,0)</f>
        <v>325</v>
      </c>
      <c r="T47" s="5">
        <f>ROUND('件数(合算）'!U48*'件数(合算）'!K48*$G47,0)</f>
        <v>325</v>
      </c>
      <c r="U47" s="5">
        <f>ROUND('件数(合算）'!V48*'件数(合算）'!K48*$G47,0)</f>
        <v>325</v>
      </c>
      <c r="V47" s="5">
        <f>ROUND('件数(合算）'!W48*'件数(合算）'!K48*$G47,0)</f>
        <v>325</v>
      </c>
      <c r="W47" s="5">
        <f>ROUND('件数(合算）'!X48*'件数(合算）'!K48*$G47,0)</f>
        <v>325</v>
      </c>
      <c r="X47" s="5">
        <f>ROUND('件数(合算）'!Y48*'件数(合算）'!K48*$G47,0)</f>
        <v>325</v>
      </c>
      <c r="Y47" s="5">
        <f>ROUND('件数(合算）'!Z48*'件数(合算）'!K48*$G47,0)</f>
        <v>325</v>
      </c>
      <c r="Z47" s="5">
        <f>ROUND('件数(合算）'!AA48*'件数(合算）'!K48*$F47,0)</f>
        <v>163</v>
      </c>
      <c r="AA47" s="5">
        <f>ROUND('件数(合算）'!AB48*'件数(合算）'!K48*$F47,0)</f>
        <v>163</v>
      </c>
      <c r="AB47" s="5">
        <f>ROUND('件数(合算）'!AC48*'件数(合算）'!K48*$F47,0)</f>
        <v>163</v>
      </c>
      <c r="AC47" s="5">
        <f>ROUND('件数(合算）'!AD48*'件数(合算）'!K48*$F47,0)</f>
        <v>163</v>
      </c>
      <c r="AD47" s="5">
        <f>ROUND('件数(合算）'!AE48*'件数(合算）'!K48*$F47,0)</f>
        <v>163</v>
      </c>
      <c r="AE47" s="5">
        <f>ROUND('件数(合算）'!AF48*'件数(合算）'!K48*$F47,0)</f>
        <v>163</v>
      </c>
      <c r="AF47" s="5">
        <f>ROUND('件数(合算）'!AG48*'件数(合算）'!K48*$E47,0)</f>
        <v>163</v>
      </c>
      <c r="AG47" s="5">
        <f>ROUND('件数(合算）'!AH48*'件数(合算）'!K48*$E47,0)</f>
        <v>163</v>
      </c>
      <c r="AH47" s="5">
        <f>ROUND('件数(合算）'!AI48*'件数(合算）'!K48*$E47,0)</f>
        <v>163</v>
      </c>
      <c r="AI47" s="5">
        <f>ROUND('件数(合算）'!AJ48*'件数(合算）'!K48*$E47,0)</f>
        <v>163</v>
      </c>
      <c r="AJ47" s="5">
        <f>ROUND('件数(合算）'!AK48*'件数(合算）'!K48*$E47,0)</f>
        <v>163</v>
      </c>
      <c r="AK47" s="5">
        <f>ROUND('件数(合算）'!AL48*'件数(合算）'!K48*$F47,0)</f>
        <v>163</v>
      </c>
      <c r="AL47" s="5">
        <f>ROUND('件数(合算）'!AM48*'件数(合算）'!K48*$F47,0)</f>
        <v>163</v>
      </c>
      <c r="AM47" s="5">
        <f>ROUND('件数(合算）'!AN48*'件数(合算）'!K48*$E47,0)</f>
        <v>163</v>
      </c>
      <c r="AN47" s="5">
        <f>ROUND('件数(合算）'!AO48*'件数(合算）'!K48*$E47,0)</f>
        <v>163</v>
      </c>
      <c r="AO47" s="5">
        <f>ROUND('件数(合算）'!AP48*'件数(合算）'!K48*$E47,0)</f>
        <v>163</v>
      </c>
      <c r="AP47" s="5">
        <f>ROUND('件数(合算）'!AQ48*'件数(合算）'!K48*$E47,0)</f>
        <v>163</v>
      </c>
      <c r="AQ47" s="5">
        <f>ROUND('件数(合算）'!AR48*'件数(合算）'!K48*$E47,0)</f>
        <v>163</v>
      </c>
      <c r="AR47" s="5">
        <f>ROUND('件数(合算）'!AS48*'件数(合算）'!K48*$E47,0)</f>
        <v>163</v>
      </c>
      <c r="AS47" s="5">
        <f>ROUND('件数(合算）'!AT48*'件数(合算）'!K48*$E47,0)</f>
        <v>163</v>
      </c>
      <c r="AT47" s="5">
        <f>ROUND('件数(合算）'!AU48*'件数(合算）'!K48*$E47,0)</f>
        <v>163</v>
      </c>
      <c r="AU47" s="5">
        <f>ROUND('件数(合算）'!AV48*'件数(合算）'!K48*$E47,0)</f>
        <v>163</v>
      </c>
      <c r="AV47" s="12">
        <f t="shared" si="5"/>
        <v>7161</v>
      </c>
    </row>
    <row r="48" spans="1:48" ht="22" customHeight="1">
      <c r="A48" s="34">
        <v>347872</v>
      </c>
      <c r="B48" s="35" t="s">
        <v>121</v>
      </c>
      <c r="C48" s="32" t="s">
        <v>212</v>
      </c>
      <c r="D48" s="39"/>
      <c r="E48" s="49">
        <f>'件数(合算）'!E49</f>
        <v>1300</v>
      </c>
      <c r="F48" s="49">
        <f>'件数(合算）'!F49</f>
        <v>1300</v>
      </c>
      <c r="G48" s="49">
        <f>'件数(合算）'!G49</f>
        <v>1300</v>
      </c>
      <c r="K48" s="37">
        <f>'件数(合算）'!K49</f>
        <v>0.66666666666666663</v>
      </c>
      <c r="L48" s="37">
        <f>'件数(合算）'!K49</f>
        <v>0.66666666666666663</v>
      </c>
      <c r="M48" s="37">
        <f>'件数(合算）'!K49</f>
        <v>0.66666666666666663</v>
      </c>
      <c r="N48" s="37">
        <f>'件数(合算）'!K49</f>
        <v>0.66666666666666663</v>
      </c>
      <c r="O48" s="49">
        <f>ROUND('件数(合算）'!P49*'件数(合算）'!K49*$G48,0)</f>
        <v>867</v>
      </c>
      <c r="P48" s="49">
        <f>ROUND('件数(合算）'!Q49*'件数(合算）'!K49*$G48,0)</f>
        <v>867</v>
      </c>
      <c r="Q48" s="49">
        <f>ROUND('件数(合算）'!R49*'件数(合算）'!K49*$G48,0)</f>
        <v>867</v>
      </c>
      <c r="R48" s="49">
        <f>ROUND('件数(合算）'!S49*'件数(合算）'!K49*$G48,0)</f>
        <v>867</v>
      </c>
      <c r="S48" s="49">
        <f>ROUND('件数(合算）'!T49*'件数(合算）'!K49*$G48,0)</f>
        <v>867</v>
      </c>
      <c r="T48" s="49">
        <f>ROUND('件数(合算）'!U49*'件数(合算）'!K49*$G48,0)</f>
        <v>867</v>
      </c>
      <c r="U48" s="49">
        <f>ROUND('件数(合算）'!V49*'件数(合算）'!K49*$G48,0)</f>
        <v>867</v>
      </c>
      <c r="V48" s="49">
        <f>ROUND('件数(合算）'!W49*'件数(合算）'!K49*$G48,0)</f>
        <v>867</v>
      </c>
      <c r="W48" s="49">
        <f>ROUND('件数(合算）'!X49*'件数(合算）'!K49*$G48,0)</f>
        <v>867</v>
      </c>
      <c r="X48" s="49">
        <f>ROUND('件数(合算）'!Y49*'件数(合算）'!K49*$G48,0)</f>
        <v>867</v>
      </c>
      <c r="Y48" s="49">
        <f>ROUND('件数(合算）'!Z49*'件数(合算）'!K49*$G48,0)</f>
        <v>0</v>
      </c>
      <c r="Z48" s="49">
        <f>ROUND('件数(合算）'!AA49*'件数(合算）'!K49*$F48,0)</f>
        <v>0</v>
      </c>
      <c r="AA48" s="49">
        <f>ROUND('件数(合算）'!AB49*'件数(合算）'!K49*$F48,0)</f>
        <v>0</v>
      </c>
      <c r="AB48" s="49">
        <f>ROUND('件数(合算）'!AC49*'件数(合算）'!K49*$F48,0)</f>
        <v>0</v>
      </c>
      <c r="AC48" s="49">
        <f>ROUND('件数(合算）'!AD49*'件数(合算）'!K49*$F48,0)</f>
        <v>0</v>
      </c>
      <c r="AD48" s="49">
        <f>ROUND('件数(合算）'!AE49*'件数(合算）'!K49*$F48,0)</f>
        <v>0</v>
      </c>
      <c r="AE48" s="49">
        <f>ROUND('件数(合算）'!AF49*'件数(合算）'!K49*$F48,0)</f>
        <v>0</v>
      </c>
      <c r="AF48" s="49">
        <f>ROUND('件数(合算）'!AG49*'件数(合算）'!K49*$E48,0)</f>
        <v>0</v>
      </c>
      <c r="AG48" s="49">
        <f>ROUND('件数(合算）'!AH49*'件数(合算）'!K49*$E48,0)</f>
        <v>0</v>
      </c>
      <c r="AH48" s="49">
        <f>ROUND('件数(合算）'!AI49*'件数(合算）'!K49*$E48,0)</f>
        <v>0</v>
      </c>
      <c r="AI48" s="49">
        <f>ROUND('件数(合算）'!AJ49*'件数(合算）'!K49*$E48,0)</f>
        <v>0</v>
      </c>
      <c r="AJ48" s="49">
        <f>ROUND('件数(合算）'!AK49*'件数(合算）'!K49*$E48,0)</f>
        <v>0</v>
      </c>
      <c r="AK48" s="49">
        <f>ROUND('件数(合算）'!AL49*'件数(合算）'!K49*$F48,0)</f>
        <v>0</v>
      </c>
      <c r="AL48" s="49">
        <f>ROUND('件数(合算）'!AM49*'件数(合算）'!K49*$F48,0)</f>
        <v>0</v>
      </c>
      <c r="AM48" s="49">
        <f>ROUND('件数(合算）'!AN49*'件数(合算）'!K49*$E48,0)</f>
        <v>0</v>
      </c>
      <c r="AN48" s="49">
        <f>ROUND('件数(合算）'!AO49*'件数(合算）'!K49*$E48,0)</f>
        <v>0</v>
      </c>
      <c r="AO48" s="49">
        <f>ROUND('件数(合算）'!AP49*'件数(合算）'!K49*$E48,0)</f>
        <v>0</v>
      </c>
      <c r="AP48" s="49">
        <f>ROUND('件数(合算）'!AQ49*'件数(合算）'!K49*$E48,0)</f>
        <v>0</v>
      </c>
      <c r="AQ48" s="49">
        <f>ROUND('件数(合算）'!AR49*'件数(合算）'!K49*$E48,0)</f>
        <v>0</v>
      </c>
      <c r="AR48" s="49">
        <f>ROUND('件数(合算）'!AS49*'件数(合算）'!K49*$E48,0)</f>
        <v>0</v>
      </c>
      <c r="AS48" s="49">
        <f>ROUND('件数(合算）'!AT49*'件数(合算）'!K49*$E48,0)</f>
        <v>0</v>
      </c>
      <c r="AT48" s="49">
        <f>ROUND('件数(合算）'!AU49*'件数(合算）'!K49*$E48,0)</f>
        <v>0</v>
      </c>
      <c r="AU48" s="49">
        <f>ROUND('件数(合算）'!AV49*'件数(合算）'!K49*$E48,0)</f>
        <v>0</v>
      </c>
      <c r="AV48" s="12">
        <f t="shared" si="5"/>
        <v>8670</v>
      </c>
    </row>
    <row r="49" spans="1:48" ht="22" customHeight="1">
      <c r="A49" s="26">
        <v>392414</v>
      </c>
      <c r="B49" s="27" t="s">
        <v>123</v>
      </c>
      <c r="C49" s="25"/>
      <c r="D49" s="9"/>
      <c r="E49" s="5">
        <f>'件数(合算）'!E50</f>
        <v>1300</v>
      </c>
      <c r="F49" s="5">
        <f>'件数(合算）'!F50</f>
        <v>1300</v>
      </c>
      <c r="G49" s="5">
        <f>'件数(合算）'!G50</f>
        <v>1300</v>
      </c>
      <c r="K49" s="4">
        <f>'件数(合算）'!K50</f>
        <v>0</v>
      </c>
      <c r="L49" s="4">
        <f>'件数(合算）'!K50</f>
        <v>0</v>
      </c>
      <c r="M49" s="4">
        <f>'件数(合算）'!K50</f>
        <v>0</v>
      </c>
      <c r="N49" s="4">
        <f>'件数(合算）'!K50</f>
        <v>0</v>
      </c>
      <c r="O49" s="5">
        <f>ROUND('件数(合算）'!P50*'件数(合算）'!K50*$G49,0)</f>
        <v>0</v>
      </c>
      <c r="P49" s="5">
        <f>ROUND('件数(合算）'!Q50*'件数(合算）'!K50*$G49,0)</f>
        <v>0</v>
      </c>
      <c r="Q49" s="5">
        <f>ROUND('件数(合算）'!R50*'件数(合算）'!K50*$G49,0)</f>
        <v>0</v>
      </c>
      <c r="R49" s="5">
        <f>ROUND('件数(合算）'!S50*'件数(合算）'!K50*$G49,0)</f>
        <v>0</v>
      </c>
      <c r="S49" s="5">
        <f>ROUND('件数(合算）'!T50*'件数(合算）'!K50*$G49,0)</f>
        <v>0</v>
      </c>
      <c r="T49" s="5">
        <f>ROUND('件数(合算）'!U50*'件数(合算）'!K50*$G49,0)</f>
        <v>0</v>
      </c>
      <c r="U49" s="5">
        <f>ROUND('件数(合算）'!V50*'件数(合算）'!K50*$G49,0)</f>
        <v>0</v>
      </c>
      <c r="V49" s="5">
        <f>ROUND('件数(合算）'!W50*'件数(合算）'!K50*$G49,0)</f>
        <v>0</v>
      </c>
      <c r="W49" s="5">
        <f>ROUND('件数(合算）'!X50*'件数(合算）'!K50*$G49,0)</f>
        <v>0</v>
      </c>
      <c r="X49" s="5">
        <f>ROUND('件数(合算）'!Y50*'件数(合算）'!K50*$G49,0)</f>
        <v>0</v>
      </c>
      <c r="Y49" s="5">
        <f>ROUND('件数(合算）'!Z50*'件数(合算）'!K50*$G49,0)</f>
        <v>0</v>
      </c>
      <c r="Z49" s="5">
        <f>ROUND('件数(合算）'!AA50*'件数(合算）'!K50*$F49,0)</f>
        <v>0</v>
      </c>
      <c r="AA49" s="5">
        <f>ROUND('件数(合算）'!AB50*'件数(合算）'!K50*$F49,0)</f>
        <v>0</v>
      </c>
      <c r="AB49" s="5">
        <f>ROUND('件数(合算）'!AC50*'件数(合算）'!K50*$F49,0)</f>
        <v>0</v>
      </c>
      <c r="AC49" s="5">
        <f>ROUND('件数(合算）'!AD50*'件数(合算）'!K50*$F49,0)</f>
        <v>0</v>
      </c>
      <c r="AD49" s="5">
        <f>ROUND('件数(合算）'!AE50*'件数(合算）'!K50*$F49,0)</f>
        <v>0</v>
      </c>
      <c r="AE49" s="5">
        <f>ROUND('件数(合算）'!AF50*'件数(合算）'!K50*$F49,0)</f>
        <v>0</v>
      </c>
      <c r="AF49" s="5">
        <f>ROUND('件数(合算）'!AG50*'件数(合算）'!K50*$E49,0)</f>
        <v>0</v>
      </c>
      <c r="AG49" s="5">
        <f>ROUND('件数(合算）'!AH50*'件数(合算）'!K50*$E49,0)</f>
        <v>0</v>
      </c>
      <c r="AH49" s="5">
        <f>ROUND('件数(合算）'!AI50*'件数(合算）'!K50*$E49,0)</f>
        <v>0</v>
      </c>
      <c r="AI49" s="5">
        <f>ROUND('件数(合算）'!AJ50*'件数(合算）'!K50*$E49,0)</f>
        <v>0</v>
      </c>
      <c r="AJ49" s="5">
        <f>ROUND('件数(合算）'!AK50*'件数(合算）'!K50*$E49,0)</f>
        <v>0</v>
      </c>
      <c r="AK49" s="5">
        <f>ROUND('件数(合算）'!AL50*'件数(合算）'!K50*$F49,0)</f>
        <v>0</v>
      </c>
      <c r="AL49" s="5">
        <f>ROUND('件数(合算）'!AM50*'件数(合算）'!K50*$F49,0)</f>
        <v>0</v>
      </c>
      <c r="AM49" s="5">
        <f>ROUND('件数(合算）'!AN50*'件数(合算）'!K50*$E49,0)</f>
        <v>0</v>
      </c>
      <c r="AN49" s="5">
        <f>ROUND('件数(合算）'!AO50*'件数(合算）'!K50*$E49,0)</f>
        <v>0</v>
      </c>
      <c r="AO49" s="5">
        <f>ROUND('件数(合算）'!AP50*'件数(合算）'!K50*$E49,0)</f>
        <v>0</v>
      </c>
      <c r="AP49" s="5">
        <f>ROUND('件数(合算）'!AQ50*'件数(合算）'!K50*$E49,0)</f>
        <v>0</v>
      </c>
      <c r="AQ49" s="5">
        <f>ROUND('件数(合算）'!AR50*'件数(合算）'!K50*$E49,0)</f>
        <v>0</v>
      </c>
      <c r="AR49" s="5">
        <f>ROUND('件数(合算）'!AS50*'件数(合算）'!K50*$E49,0)</f>
        <v>0</v>
      </c>
      <c r="AS49" s="5">
        <f>ROUND('件数(合算）'!AT50*'件数(合算）'!K50*$E49,0)</f>
        <v>0</v>
      </c>
      <c r="AT49" s="5">
        <f>ROUND('件数(合算）'!AU50*'件数(合算）'!K50*$E49,0)</f>
        <v>0</v>
      </c>
      <c r="AU49" s="5">
        <f>ROUND('件数(合算）'!AV50*'件数(合算）'!K50*$E49,0)</f>
        <v>0</v>
      </c>
      <c r="AV49" s="12">
        <f t="shared" si="5"/>
        <v>0</v>
      </c>
    </row>
    <row r="50" spans="1:48" ht="22" customHeight="1">
      <c r="A50" s="34">
        <v>380929</v>
      </c>
      <c r="B50" s="35" t="s">
        <v>125</v>
      </c>
      <c r="C50" s="32"/>
      <c r="D50" s="39"/>
      <c r="E50" s="49">
        <f>'件数(合算）'!E51</f>
        <v>1500</v>
      </c>
      <c r="F50" s="49">
        <f>'件数(合算）'!F51</f>
        <v>1500</v>
      </c>
      <c r="G50" s="49">
        <f>'件数(合算）'!G51</f>
        <v>1500</v>
      </c>
      <c r="K50" s="37">
        <f>'件数(合算）'!K51</f>
        <v>0</v>
      </c>
      <c r="L50" s="37">
        <f>'件数(合算）'!K51</f>
        <v>0</v>
      </c>
      <c r="M50" s="37">
        <f>'件数(合算）'!K51</f>
        <v>0</v>
      </c>
      <c r="N50" s="37">
        <f>'件数(合算）'!K51</f>
        <v>0</v>
      </c>
      <c r="O50" s="49">
        <f>ROUND('件数(合算）'!P51*'件数(合算）'!K51*$G50,0)</f>
        <v>0</v>
      </c>
      <c r="P50" s="49">
        <f>ROUND('件数(合算）'!Q51*'件数(合算）'!K51*$G50,0)</f>
        <v>0</v>
      </c>
      <c r="Q50" s="49">
        <f>ROUND('件数(合算）'!R51*'件数(合算）'!K51*$G50,0)</f>
        <v>0</v>
      </c>
      <c r="R50" s="49">
        <f>ROUND('件数(合算）'!S51*'件数(合算）'!K51*$G50,0)</f>
        <v>0</v>
      </c>
      <c r="S50" s="49">
        <f>ROUND('件数(合算）'!T51*'件数(合算）'!K51*$G50,0)</f>
        <v>0</v>
      </c>
      <c r="T50" s="49">
        <f>ROUND('件数(合算）'!U51*'件数(合算）'!K51*$G50,0)</f>
        <v>0</v>
      </c>
      <c r="U50" s="49">
        <f>ROUND('件数(合算）'!V51*'件数(合算）'!K51*$G50,0)</f>
        <v>0</v>
      </c>
      <c r="V50" s="49">
        <f>ROUND('件数(合算）'!W51*'件数(合算）'!K51*$G50,0)</f>
        <v>0</v>
      </c>
      <c r="W50" s="49">
        <f>ROUND('件数(合算）'!X51*'件数(合算）'!K51*$G50,0)</f>
        <v>0</v>
      </c>
      <c r="X50" s="49">
        <f>ROUND('件数(合算）'!Y51*'件数(合算）'!K51*$G50,0)</f>
        <v>0</v>
      </c>
      <c r="Y50" s="49">
        <f>ROUND('件数(合算）'!Z51*'件数(合算）'!K51*$G50,0)</f>
        <v>0</v>
      </c>
      <c r="Z50" s="49">
        <f>ROUND('件数(合算）'!AA51*'件数(合算）'!K51*$F50,0)</f>
        <v>0</v>
      </c>
      <c r="AA50" s="49">
        <f>ROUND('件数(合算）'!AB51*'件数(合算）'!K51*$F50,0)</f>
        <v>0</v>
      </c>
      <c r="AB50" s="49">
        <f>ROUND('件数(合算）'!AC51*'件数(合算）'!K51*$F50,0)</f>
        <v>0</v>
      </c>
      <c r="AC50" s="49">
        <f>ROUND('件数(合算）'!AD51*'件数(合算）'!K51*$F50,0)</f>
        <v>0</v>
      </c>
      <c r="AD50" s="49">
        <f>ROUND('件数(合算）'!AE51*'件数(合算）'!K51*$F50,0)</f>
        <v>0</v>
      </c>
      <c r="AE50" s="49">
        <f>ROUND('件数(合算）'!AF51*'件数(合算）'!K51*$F50,0)</f>
        <v>0</v>
      </c>
      <c r="AF50" s="49">
        <f>ROUND('件数(合算）'!AG51*'件数(合算）'!K51*$E50,0)</f>
        <v>0</v>
      </c>
      <c r="AG50" s="49">
        <f>ROUND('件数(合算）'!AH51*'件数(合算）'!K51*$E50,0)</f>
        <v>0</v>
      </c>
      <c r="AH50" s="49">
        <f>ROUND('件数(合算）'!AI51*'件数(合算）'!K51*$E50,0)</f>
        <v>0</v>
      </c>
      <c r="AI50" s="49">
        <f>ROUND('件数(合算）'!AJ51*'件数(合算）'!K51*$E50,0)</f>
        <v>0</v>
      </c>
      <c r="AJ50" s="49">
        <f>ROUND('件数(合算）'!AK51*'件数(合算）'!K51*$E50,0)</f>
        <v>0</v>
      </c>
      <c r="AK50" s="49">
        <f>ROUND('件数(合算）'!AL51*'件数(合算）'!K51*$F50,0)</f>
        <v>0</v>
      </c>
      <c r="AL50" s="49">
        <f>ROUND('件数(合算）'!AM51*'件数(合算）'!K51*$F50,0)</f>
        <v>0</v>
      </c>
      <c r="AM50" s="49">
        <f>ROUND('件数(合算）'!AN51*'件数(合算）'!K51*$E50,0)</f>
        <v>0</v>
      </c>
      <c r="AN50" s="49">
        <f>ROUND('件数(合算）'!AO51*'件数(合算）'!K51*$E50,0)</f>
        <v>0</v>
      </c>
      <c r="AO50" s="49">
        <f>ROUND('件数(合算）'!AP51*'件数(合算）'!K51*$E50,0)</f>
        <v>0</v>
      </c>
      <c r="AP50" s="49">
        <f>ROUND('件数(合算）'!AQ51*'件数(合算）'!K51*$E50,0)</f>
        <v>0</v>
      </c>
      <c r="AQ50" s="49">
        <f>ROUND('件数(合算）'!AR51*'件数(合算）'!K51*$E50,0)</f>
        <v>0</v>
      </c>
      <c r="AR50" s="49">
        <f>ROUND('件数(合算）'!AS51*'件数(合算）'!K51*$E50,0)</f>
        <v>0</v>
      </c>
      <c r="AS50" s="49">
        <f>ROUND('件数(合算）'!AT51*'件数(合算）'!K51*$E50,0)</f>
        <v>0</v>
      </c>
      <c r="AT50" s="49">
        <f>ROUND('件数(合算）'!AU51*'件数(合算）'!K51*$E50,0)</f>
        <v>0</v>
      </c>
      <c r="AU50" s="49">
        <f>ROUND('件数(合算）'!AV51*'件数(合算）'!K51*$E50,0)</f>
        <v>0</v>
      </c>
      <c r="AV50" s="12">
        <f t="shared" si="5"/>
        <v>0</v>
      </c>
    </row>
    <row r="51" spans="1:48" ht="22" customHeight="1">
      <c r="A51" s="26">
        <v>380562</v>
      </c>
      <c r="B51" s="27" t="s">
        <v>127</v>
      </c>
      <c r="C51" s="25"/>
      <c r="D51" s="9"/>
      <c r="E51" s="5">
        <f>'件数(合算）'!E52</f>
        <v>4000</v>
      </c>
      <c r="F51" s="5">
        <f>'件数(合算）'!F52</f>
        <v>4000</v>
      </c>
      <c r="G51" s="5">
        <f>'件数(合算）'!G52</f>
        <v>4000</v>
      </c>
      <c r="K51" s="4">
        <f>'件数(合算）'!K52</f>
        <v>0.41666666666666669</v>
      </c>
      <c r="L51" s="4">
        <f>'件数(合算）'!K52</f>
        <v>0.41666666666666669</v>
      </c>
      <c r="M51" s="4">
        <f>'件数(合算）'!K52</f>
        <v>0.41666666666666669</v>
      </c>
      <c r="N51" s="4">
        <f>'件数(合算）'!K52</f>
        <v>0.41666666666666669</v>
      </c>
      <c r="O51" s="5">
        <f>ROUND('件数(合算）'!P52*'件数(合算）'!K52*$G51,0)</f>
        <v>1667</v>
      </c>
      <c r="P51" s="5">
        <f>ROUND('件数(合算）'!Q52*'件数(合算）'!K52*$G51,0)</f>
        <v>1667</v>
      </c>
      <c r="Q51" s="5">
        <f>ROUND('件数(合算）'!R52*'件数(合算）'!K52*$G51,0)</f>
        <v>1667</v>
      </c>
      <c r="R51" s="5">
        <f>ROUND('件数(合算）'!S52*'件数(合算）'!K52*$G51,0)</f>
        <v>1667</v>
      </c>
      <c r="S51" s="5">
        <f>ROUND('件数(合算）'!T52*'件数(合算）'!K52*$G51,0)</f>
        <v>1667</v>
      </c>
      <c r="T51" s="5">
        <f>ROUND('件数(合算）'!U52*'件数(合算）'!K52*$G51,0)</f>
        <v>1667</v>
      </c>
      <c r="U51" s="5">
        <f>ROUND('件数(合算）'!V52*'件数(合算）'!K52*$G51,0)</f>
        <v>1667</v>
      </c>
      <c r="V51" s="5">
        <f>ROUND('件数(合算）'!W52*'件数(合算）'!K52*$G51,0)</f>
        <v>1667</v>
      </c>
      <c r="W51" s="5">
        <f>ROUND('件数(合算）'!X52*'件数(合算）'!K52*$G51,0)</f>
        <v>1667</v>
      </c>
      <c r="X51" s="5">
        <f>ROUND('件数(合算）'!Y52*'件数(合算）'!K52*$G51,0)</f>
        <v>1667</v>
      </c>
      <c r="Y51" s="5">
        <f>ROUND('件数(合算）'!Z52*'件数(合算）'!K52*$G51,0)</f>
        <v>0</v>
      </c>
      <c r="Z51" s="5">
        <f>ROUND('件数(合算）'!AA52*'件数(合算）'!K52*$F51,0)</f>
        <v>0</v>
      </c>
      <c r="AA51" s="5">
        <f>ROUND('件数(合算）'!AB52*'件数(合算）'!K52*$F51,0)</f>
        <v>0</v>
      </c>
      <c r="AB51" s="5">
        <f>ROUND('件数(合算）'!AC52*'件数(合算）'!K52*$F51,0)</f>
        <v>0</v>
      </c>
      <c r="AC51" s="5">
        <f>ROUND('件数(合算）'!AD52*'件数(合算）'!K52*$F51,0)</f>
        <v>0</v>
      </c>
      <c r="AD51" s="5">
        <f>ROUND('件数(合算）'!AE52*'件数(合算）'!K52*$F51,0)</f>
        <v>0</v>
      </c>
      <c r="AE51" s="5">
        <f>ROUND('件数(合算）'!AF52*'件数(合算）'!K52*$F51,0)</f>
        <v>0</v>
      </c>
      <c r="AF51" s="5">
        <f>ROUND('件数(合算）'!AG52*'件数(合算）'!K52*$E51,0)</f>
        <v>0</v>
      </c>
      <c r="AG51" s="5">
        <f>ROUND('件数(合算）'!AH52*'件数(合算）'!K52*$E51,0)</f>
        <v>0</v>
      </c>
      <c r="AH51" s="5">
        <f>ROUND('件数(合算）'!AI52*'件数(合算）'!K52*$E51,0)</f>
        <v>0</v>
      </c>
      <c r="AI51" s="5">
        <f>ROUND('件数(合算）'!AJ52*'件数(合算）'!K52*$E51,0)</f>
        <v>0</v>
      </c>
      <c r="AJ51" s="5">
        <f>ROUND('件数(合算）'!AK52*'件数(合算）'!K52*$E51,0)</f>
        <v>0</v>
      </c>
      <c r="AK51" s="5">
        <f>ROUND('件数(合算）'!AL52*'件数(合算）'!K52*$F51,0)</f>
        <v>0</v>
      </c>
      <c r="AL51" s="5">
        <f>ROUND('件数(合算）'!AM52*'件数(合算）'!K52*$F51,0)</f>
        <v>0</v>
      </c>
      <c r="AM51" s="5">
        <f>ROUND('件数(合算）'!AN52*'件数(合算）'!K52*$E51,0)</f>
        <v>0</v>
      </c>
      <c r="AN51" s="5">
        <f>ROUND('件数(合算）'!AO52*'件数(合算）'!K52*$E51,0)</f>
        <v>0</v>
      </c>
      <c r="AO51" s="5">
        <f>ROUND('件数(合算）'!AP52*'件数(合算）'!K52*$E51,0)</f>
        <v>0</v>
      </c>
      <c r="AP51" s="5">
        <f>ROUND('件数(合算）'!AQ52*'件数(合算）'!K52*$E51,0)</f>
        <v>0</v>
      </c>
      <c r="AQ51" s="5">
        <f>ROUND('件数(合算）'!AR52*'件数(合算）'!K52*$E51,0)</f>
        <v>0</v>
      </c>
      <c r="AR51" s="5">
        <f>ROUND('件数(合算）'!AS52*'件数(合算）'!K52*$E51,0)</f>
        <v>0</v>
      </c>
      <c r="AS51" s="5">
        <f>ROUND('件数(合算）'!AT52*'件数(合算）'!K52*$E51,0)</f>
        <v>0</v>
      </c>
      <c r="AT51" s="5">
        <f>ROUND('件数(合算）'!AU52*'件数(合算）'!K52*$E51,0)</f>
        <v>0</v>
      </c>
      <c r="AU51" s="5">
        <f>ROUND('件数(合算）'!AV52*'件数(合算）'!K52*$E51,0)</f>
        <v>0</v>
      </c>
      <c r="AV51" s="12">
        <f t="shared" si="5"/>
        <v>16670</v>
      </c>
    </row>
    <row r="52" spans="1:48" ht="22" customHeight="1">
      <c r="A52" s="34">
        <v>390113</v>
      </c>
      <c r="B52" s="35" t="s">
        <v>129</v>
      </c>
      <c r="C52" s="32"/>
      <c r="D52" s="39"/>
      <c r="E52" s="49">
        <f>'件数(合算）'!E53</f>
        <v>1300</v>
      </c>
      <c r="F52" s="49">
        <f>'件数(合算）'!F53</f>
        <v>1300</v>
      </c>
      <c r="G52" s="49">
        <f>'件数(合算）'!G53</f>
        <v>1300</v>
      </c>
      <c r="K52" s="37">
        <f>'件数(合算）'!K53</f>
        <v>1</v>
      </c>
      <c r="L52" s="37">
        <f>'件数(合算）'!K53</f>
        <v>1</v>
      </c>
      <c r="M52" s="37">
        <f>'件数(合算）'!K53</f>
        <v>1</v>
      </c>
      <c r="N52" s="37">
        <f>'件数(合算）'!K53</f>
        <v>1</v>
      </c>
      <c r="O52" s="49">
        <f>ROUND('件数(合算）'!P53*'件数(合算）'!K53*$G52,0)</f>
        <v>0</v>
      </c>
      <c r="P52" s="49">
        <f>ROUND('件数(合算）'!Q53*'件数(合算）'!K53*$G52,0)</f>
        <v>0</v>
      </c>
      <c r="Q52" s="49">
        <f>ROUND('件数(合算）'!R53*'件数(合算）'!K53*$G52,0)</f>
        <v>0</v>
      </c>
      <c r="R52" s="49">
        <f>ROUND('件数(合算）'!S53*'件数(合算）'!K53*$G52,0)</f>
        <v>0</v>
      </c>
      <c r="S52" s="49">
        <f>ROUND('件数(合算）'!T53*'件数(合算）'!K53*$G52,0)</f>
        <v>0</v>
      </c>
      <c r="T52" s="49">
        <f>ROUND('件数(合算）'!U53*'件数(合算）'!K53*$G52,0)</f>
        <v>0</v>
      </c>
      <c r="U52" s="49">
        <f>ROUND('件数(合算）'!V53*'件数(合算）'!K53*$G52,0)</f>
        <v>0</v>
      </c>
      <c r="V52" s="49">
        <f>ROUND('件数(合算）'!W53*'件数(合算）'!K53*$G52,0)</f>
        <v>0</v>
      </c>
      <c r="W52" s="49">
        <f>ROUND('件数(合算）'!X53*'件数(合算）'!K53*$G52,0)</f>
        <v>0</v>
      </c>
      <c r="X52" s="49">
        <f>ROUND('件数(合算）'!Y53*'件数(合算）'!K53*$G52,0)</f>
        <v>0</v>
      </c>
      <c r="Y52" s="49">
        <f>ROUND('件数(合算）'!Z53*'件数(合算）'!K53*$G52,0)</f>
        <v>0</v>
      </c>
      <c r="Z52" s="49">
        <f>ROUND('件数(合算）'!AA53*'件数(合算）'!K53*$F52,0)</f>
        <v>0</v>
      </c>
      <c r="AA52" s="49">
        <f>ROUND('件数(合算）'!AB53*'件数(合算）'!K53*$F52,0)</f>
        <v>0</v>
      </c>
      <c r="AB52" s="49">
        <f>ROUND('件数(合算）'!AC53*'件数(合算）'!K53*$F52,0)</f>
        <v>0</v>
      </c>
      <c r="AC52" s="49">
        <f>ROUND('件数(合算）'!AD53*'件数(合算）'!K53*$F52,0)</f>
        <v>0</v>
      </c>
      <c r="AD52" s="49">
        <f>ROUND('件数(合算）'!AE53*'件数(合算）'!K53*$F52,0)</f>
        <v>0</v>
      </c>
      <c r="AE52" s="49">
        <f>ROUND('件数(合算）'!AF53*'件数(合算）'!K53*$F52,0)</f>
        <v>0</v>
      </c>
      <c r="AF52" s="49">
        <f>ROUND('件数(合算）'!AG53*'件数(合算）'!K53*$E52,0)</f>
        <v>0</v>
      </c>
      <c r="AG52" s="49">
        <f>ROUND('件数(合算）'!AH53*'件数(合算）'!K53*$E52,0)</f>
        <v>0</v>
      </c>
      <c r="AH52" s="49">
        <f>ROUND('件数(合算）'!AI53*'件数(合算）'!K53*$E52,0)</f>
        <v>0</v>
      </c>
      <c r="AI52" s="49">
        <f>ROUND('件数(合算）'!AJ53*'件数(合算）'!K53*$E52,0)</f>
        <v>0</v>
      </c>
      <c r="AJ52" s="49">
        <f>ROUND('件数(合算）'!AK53*'件数(合算）'!K53*$E52,0)</f>
        <v>0</v>
      </c>
      <c r="AK52" s="49">
        <f>ROUND('件数(合算）'!AL53*'件数(合算）'!K53*$F52,0)</f>
        <v>0</v>
      </c>
      <c r="AL52" s="49">
        <f>ROUND('件数(合算）'!AM53*'件数(合算）'!K53*$F52,0)</f>
        <v>0</v>
      </c>
      <c r="AM52" s="49">
        <f>ROUND('件数(合算）'!AN53*'件数(合算）'!K53*$E52,0)</f>
        <v>0</v>
      </c>
      <c r="AN52" s="49">
        <f>ROUND('件数(合算）'!AO53*'件数(合算）'!K53*$E52,0)</f>
        <v>0</v>
      </c>
      <c r="AO52" s="49">
        <f>ROUND('件数(合算）'!AP53*'件数(合算）'!K53*$E52,0)</f>
        <v>0</v>
      </c>
      <c r="AP52" s="49">
        <f>ROUND('件数(合算）'!AQ53*'件数(合算）'!K53*$E52,0)</f>
        <v>0</v>
      </c>
      <c r="AQ52" s="49">
        <f>ROUND('件数(合算）'!AR53*'件数(合算）'!K53*$E52,0)</f>
        <v>0</v>
      </c>
      <c r="AR52" s="49">
        <f>ROUND('件数(合算）'!AS53*'件数(合算）'!K53*$E52,0)</f>
        <v>0</v>
      </c>
      <c r="AS52" s="49">
        <f>ROUND('件数(合算）'!AT53*'件数(合算）'!K53*$E52,0)</f>
        <v>0</v>
      </c>
      <c r="AT52" s="49">
        <f>ROUND('件数(合算）'!AU53*'件数(合算）'!K53*$E52,0)</f>
        <v>0</v>
      </c>
      <c r="AU52" s="49">
        <f>ROUND('件数(合算）'!AV53*'件数(合算）'!K53*$E52,0)</f>
        <v>0</v>
      </c>
      <c r="AV52" s="12">
        <f t="shared" si="5"/>
        <v>0</v>
      </c>
    </row>
    <row r="53" spans="1:48" ht="22" customHeight="1">
      <c r="A53" s="26">
        <v>285236</v>
      </c>
      <c r="B53" s="27" t="s">
        <v>131</v>
      </c>
      <c r="C53" s="25" t="s">
        <v>212</v>
      </c>
      <c r="D53" s="9"/>
      <c r="E53" s="5">
        <f>'件数(合算）'!E54</f>
        <v>2400</v>
      </c>
      <c r="F53" s="5">
        <f>'件数(合算）'!F54</f>
        <v>2400</v>
      </c>
      <c r="G53" s="5">
        <f>'件数(合算）'!G54</f>
        <v>12000</v>
      </c>
      <c r="K53" s="4">
        <f>'件数(合算）'!K54</f>
        <v>0.16666666666666671</v>
      </c>
      <c r="L53" s="4">
        <f>'件数(合算）'!K54</f>
        <v>0.16666666666666671</v>
      </c>
      <c r="M53" s="4">
        <f>'件数(合算）'!K54</f>
        <v>0.16666666666666671</v>
      </c>
      <c r="N53" s="4">
        <f>'件数(合算）'!K54</f>
        <v>0.16666666666666671</v>
      </c>
      <c r="O53" s="5">
        <f>ROUND('件数(合算）'!P54*'件数(合算）'!K54*$G53,0)</f>
        <v>2000</v>
      </c>
      <c r="P53" s="5">
        <f>ROUND('件数(合算）'!Q54*'件数(合算）'!K54*$G53,0)</f>
        <v>4000</v>
      </c>
      <c r="Q53" s="5">
        <f>ROUND('件数(合算）'!R54*'件数(合算）'!K54*$G53,0)</f>
        <v>4000</v>
      </c>
      <c r="R53" s="5">
        <f>ROUND('件数(合算）'!S54*'件数(合算）'!K54*$G53,0)</f>
        <v>4000</v>
      </c>
      <c r="S53" s="5">
        <f>ROUND('件数(合算）'!T54*'件数(合算）'!K54*$G53,0)</f>
        <v>4000</v>
      </c>
      <c r="T53" s="5">
        <f>ROUND('件数(合算）'!U54*'件数(合算）'!K54*$G53,0)</f>
        <v>4000</v>
      </c>
      <c r="U53" s="5">
        <f>ROUND('件数(合算）'!V54*'件数(合算）'!K54*$G53,0)</f>
        <v>4000</v>
      </c>
      <c r="V53" s="5">
        <f>ROUND('件数(合算）'!W54*'件数(合算）'!K54*$G53,0)</f>
        <v>2000</v>
      </c>
      <c r="W53" s="5">
        <f>ROUND('件数(合算）'!X54*'件数(合算）'!K54*$G53,0)</f>
        <v>4000</v>
      </c>
      <c r="X53" s="5">
        <f>ROUND('件数(合算）'!Y54*'件数(合算）'!K54*$G53,0)</f>
        <v>4000</v>
      </c>
      <c r="Y53" s="5">
        <f>ROUND('件数(合算）'!Z54*'件数(合算）'!K54*$G53,0)</f>
        <v>4000</v>
      </c>
      <c r="Z53" s="5">
        <f>ROUND('件数(合算）'!AA54*'件数(合算）'!K54*$F53,0)</f>
        <v>0</v>
      </c>
      <c r="AA53" s="5">
        <f>ROUND('件数(合算）'!AB54*'件数(合算）'!K54*$F53,0)</f>
        <v>0</v>
      </c>
      <c r="AB53" s="5">
        <f>ROUND('件数(合算）'!AC54*'件数(合算）'!K54*$F53,0)</f>
        <v>0</v>
      </c>
      <c r="AC53" s="5">
        <f>ROUND('件数(合算）'!AD54*'件数(合算）'!K54*$F53,0)</f>
        <v>0</v>
      </c>
      <c r="AD53" s="5">
        <f>ROUND('件数(合算）'!AE54*'件数(合算）'!K54*$F53,0)</f>
        <v>0</v>
      </c>
      <c r="AE53" s="5">
        <f>ROUND('件数(合算）'!AF54*'件数(合算）'!K54*$F53,0)</f>
        <v>0</v>
      </c>
      <c r="AF53" s="5">
        <f>ROUND('件数(合算）'!AG54*'件数(合算）'!K54*$E53,0)</f>
        <v>0</v>
      </c>
      <c r="AG53" s="5">
        <f>ROUND('件数(合算）'!AH54*'件数(合算）'!K54*$E53,0)</f>
        <v>0</v>
      </c>
      <c r="AH53" s="5">
        <f>ROUND('件数(合算）'!AI54*'件数(合算）'!K54*$E53,0)</f>
        <v>0</v>
      </c>
      <c r="AI53" s="5">
        <f>ROUND('件数(合算）'!AJ54*'件数(合算）'!K54*$E53,0)</f>
        <v>0</v>
      </c>
      <c r="AJ53" s="5">
        <f>ROUND('件数(合算）'!AK54*'件数(合算）'!K54*$E53,0)</f>
        <v>0</v>
      </c>
      <c r="AK53" s="5">
        <f>ROUND('件数(合算）'!AL54*'件数(合算）'!K54*$F53,0)</f>
        <v>0</v>
      </c>
      <c r="AL53" s="5">
        <f>ROUND('件数(合算）'!AM54*'件数(合算）'!K54*$F53,0)</f>
        <v>0</v>
      </c>
      <c r="AM53" s="5">
        <f>ROUND('件数(合算）'!AN54*'件数(合算）'!K54*$E53,0)</f>
        <v>0</v>
      </c>
      <c r="AN53" s="5">
        <f>ROUND('件数(合算）'!AO54*'件数(合算）'!K54*$E53,0)</f>
        <v>0</v>
      </c>
      <c r="AO53" s="5">
        <f>ROUND('件数(合算）'!AP54*'件数(合算）'!K54*$E53,0)</f>
        <v>0</v>
      </c>
      <c r="AP53" s="5">
        <f>ROUND('件数(合算）'!AQ54*'件数(合算）'!K54*$E53,0)</f>
        <v>0</v>
      </c>
      <c r="AQ53" s="5">
        <f>ROUND('件数(合算）'!AR54*'件数(合算）'!K54*$E53,0)</f>
        <v>0</v>
      </c>
      <c r="AR53" s="5">
        <f>ROUND('件数(合算）'!AS54*'件数(合算）'!K54*$E53,0)</f>
        <v>0</v>
      </c>
      <c r="AS53" s="5">
        <f>ROUND('件数(合算）'!AT54*'件数(合算）'!K54*$E53,0)</f>
        <v>0</v>
      </c>
      <c r="AT53" s="5">
        <f>ROUND('件数(合算）'!AU54*'件数(合算）'!K54*$E53,0)</f>
        <v>0</v>
      </c>
      <c r="AU53" s="5">
        <f>ROUND('件数(合算）'!AV54*'件数(合算）'!K54*$E53,0)</f>
        <v>0</v>
      </c>
      <c r="AV53" s="12">
        <f t="shared" si="5"/>
        <v>40000</v>
      </c>
    </row>
    <row r="54" spans="1:48" ht="22" customHeight="1">
      <c r="A54" s="34">
        <v>379074</v>
      </c>
      <c r="B54" s="35" t="s">
        <v>133</v>
      </c>
      <c r="C54" s="32" t="s">
        <v>212</v>
      </c>
      <c r="D54" s="39"/>
      <c r="E54" s="49">
        <f>'件数(合算）'!E55</f>
        <v>6000</v>
      </c>
      <c r="F54" s="49">
        <f>'件数(合算）'!F55</f>
        <v>6000</v>
      </c>
      <c r="G54" s="49">
        <f>'件数(合算）'!G55</f>
        <v>6000</v>
      </c>
      <c r="K54" s="37">
        <f>'件数(合算）'!K55</f>
        <v>0.7142857142857143</v>
      </c>
      <c r="L54" s="37">
        <f>'件数(合算）'!K55</f>
        <v>0.7142857142857143</v>
      </c>
      <c r="M54" s="37">
        <f>'件数(合算）'!K55</f>
        <v>0.7142857142857143</v>
      </c>
      <c r="N54" s="37">
        <f>'件数(合算）'!K55</f>
        <v>0.7142857142857143</v>
      </c>
      <c r="O54" s="49">
        <f>ROUND('件数(合算）'!P55*'件数(合算）'!K55*$G54,0)</f>
        <v>4286</v>
      </c>
      <c r="P54" s="49">
        <f>ROUND('件数(合算）'!Q55*'件数(合算）'!K55*$G54,0)</f>
        <v>4286</v>
      </c>
      <c r="Q54" s="49">
        <f>ROUND('件数(合算）'!R55*'件数(合算）'!K55*$G54,0)</f>
        <v>4286</v>
      </c>
      <c r="R54" s="49">
        <f>ROUND('件数(合算）'!S55*'件数(合算）'!K55*$G54,0)</f>
        <v>4286</v>
      </c>
      <c r="S54" s="49">
        <f>ROUND('件数(合算）'!T55*'件数(合算）'!K55*$G54,0)</f>
        <v>4286</v>
      </c>
      <c r="T54" s="49">
        <f>ROUND('件数(合算）'!U55*'件数(合算）'!K55*$G54,0)</f>
        <v>4286</v>
      </c>
      <c r="U54" s="49">
        <f>ROUND('件数(合算）'!V55*'件数(合算）'!K55*$G54,0)</f>
        <v>4286</v>
      </c>
      <c r="V54" s="49">
        <f>ROUND('件数(合算）'!W55*'件数(合算）'!K55*$G54,0)</f>
        <v>4286</v>
      </c>
      <c r="W54" s="49">
        <f>ROUND('件数(合算）'!X55*'件数(合算）'!K55*$G54,0)</f>
        <v>4286</v>
      </c>
      <c r="X54" s="49">
        <f>ROUND('件数(合算）'!Y55*'件数(合算）'!K55*$G54,0)</f>
        <v>0</v>
      </c>
      <c r="Y54" s="49">
        <f>ROUND('件数(合算）'!Z55*'件数(合算）'!K55*$G54,0)</f>
        <v>0</v>
      </c>
      <c r="Z54" s="49">
        <f>ROUND('件数(合算）'!AA55*'件数(合算）'!K55*$F54,0)</f>
        <v>0</v>
      </c>
      <c r="AA54" s="49">
        <f>ROUND('件数(合算）'!AB55*'件数(合算）'!K55*$F54,0)</f>
        <v>0</v>
      </c>
      <c r="AB54" s="49">
        <f>ROUND('件数(合算）'!AC55*'件数(合算）'!K55*$F54,0)</f>
        <v>0</v>
      </c>
      <c r="AC54" s="49">
        <f>ROUND('件数(合算）'!AD55*'件数(合算）'!K55*$F54,0)</f>
        <v>0</v>
      </c>
      <c r="AD54" s="49">
        <f>ROUND('件数(合算）'!AE55*'件数(合算）'!K55*$F54,0)</f>
        <v>0</v>
      </c>
      <c r="AE54" s="49">
        <f>ROUND('件数(合算）'!AF55*'件数(合算）'!K55*$F54,0)</f>
        <v>0</v>
      </c>
      <c r="AF54" s="49">
        <f>ROUND('件数(合算）'!AG55*'件数(合算）'!K55*$E54,0)</f>
        <v>0</v>
      </c>
      <c r="AG54" s="49">
        <f>ROUND('件数(合算）'!AH55*'件数(合算）'!K55*$E54,0)</f>
        <v>0</v>
      </c>
      <c r="AH54" s="49">
        <f>ROUND('件数(合算）'!AI55*'件数(合算）'!K55*$E54,0)</f>
        <v>0</v>
      </c>
      <c r="AI54" s="49">
        <f>ROUND('件数(合算）'!AJ55*'件数(合算）'!K55*$E54,0)</f>
        <v>0</v>
      </c>
      <c r="AJ54" s="49">
        <f>ROUND('件数(合算）'!AK55*'件数(合算）'!K55*$E54,0)</f>
        <v>0</v>
      </c>
      <c r="AK54" s="49">
        <f>ROUND('件数(合算）'!AL55*'件数(合算）'!K55*$F54,0)</f>
        <v>0</v>
      </c>
      <c r="AL54" s="49">
        <f>ROUND('件数(合算）'!AM55*'件数(合算）'!K55*$F54,0)</f>
        <v>0</v>
      </c>
      <c r="AM54" s="49">
        <f>ROUND('件数(合算）'!AN55*'件数(合算）'!K55*$E54,0)</f>
        <v>0</v>
      </c>
      <c r="AN54" s="49">
        <f>ROUND('件数(合算）'!AO55*'件数(合算）'!K55*$E54,0)</f>
        <v>0</v>
      </c>
      <c r="AO54" s="49">
        <f>ROUND('件数(合算）'!AP55*'件数(合算）'!K55*$E54,0)</f>
        <v>0</v>
      </c>
      <c r="AP54" s="49">
        <f>ROUND('件数(合算）'!AQ55*'件数(合算）'!K55*$E54,0)</f>
        <v>0</v>
      </c>
      <c r="AQ54" s="49">
        <f>ROUND('件数(合算）'!AR55*'件数(合算）'!K55*$E54,0)</f>
        <v>0</v>
      </c>
      <c r="AR54" s="49">
        <f>ROUND('件数(合算）'!AS55*'件数(合算）'!K55*$E54,0)</f>
        <v>0</v>
      </c>
      <c r="AS54" s="49">
        <f>ROUND('件数(合算）'!AT55*'件数(合算）'!K55*$E54,0)</f>
        <v>4286</v>
      </c>
      <c r="AT54" s="49">
        <f>ROUND('件数(合算）'!AU55*'件数(合算）'!K55*$E54,0)</f>
        <v>0</v>
      </c>
      <c r="AU54" s="49">
        <f>ROUND('件数(合算）'!AV55*'件数(合算）'!K55*$E54,0)</f>
        <v>0</v>
      </c>
      <c r="AV54" s="12">
        <f t="shared" si="5"/>
        <v>42860</v>
      </c>
    </row>
    <row r="55" spans="1:48" ht="22" customHeight="1">
      <c r="A55" s="26">
        <v>384575</v>
      </c>
      <c r="B55" s="27" t="s">
        <v>135</v>
      </c>
      <c r="C55" s="25"/>
      <c r="D55" s="9"/>
      <c r="E55" s="5">
        <f>'件数(合算）'!E56</f>
        <v>1300</v>
      </c>
      <c r="F55" s="5">
        <f>'件数(合算）'!F56</f>
        <v>1300</v>
      </c>
      <c r="G55" s="5">
        <f>'件数(合算）'!G56</f>
        <v>1300</v>
      </c>
      <c r="K55" s="4">
        <f>'件数(合算）'!K56</f>
        <v>0.22222222222222221</v>
      </c>
      <c r="L55" s="4">
        <f>'件数(合算）'!K56</f>
        <v>0.22222222222222221</v>
      </c>
      <c r="M55" s="4">
        <f>'件数(合算）'!K56</f>
        <v>0.22222222222222221</v>
      </c>
      <c r="N55" s="4">
        <f>'件数(合算）'!K56</f>
        <v>0.22222222222222221</v>
      </c>
      <c r="O55" s="5">
        <f>ROUND('件数(合算）'!P56*'件数(合算）'!K56*$G55,0)</f>
        <v>289</v>
      </c>
      <c r="P55" s="5">
        <f>ROUND('件数(合算）'!Q56*'件数(合算）'!K56*$G55,0)</f>
        <v>867</v>
      </c>
      <c r="Q55" s="5">
        <f>ROUND('件数(合算）'!R56*'件数(合算）'!K56*$G55,0)</f>
        <v>289</v>
      </c>
      <c r="R55" s="5">
        <f>ROUND('件数(合算）'!S56*'件数(合算）'!K56*$G55,0)</f>
        <v>289</v>
      </c>
      <c r="S55" s="5">
        <f>ROUND('件数(合算）'!T56*'件数(合算）'!K56*$G55,0)</f>
        <v>289</v>
      </c>
      <c r="T55" s="5">
        <f>ROUND('件数(合算）'!U56*'件数(合算）'!K56*$G55,0)</f>
        <v>289</v>
      </c>
      <c r="U55" s="5">
        <f>ROUND('件数(合算）'!V56*'件数(合算）'!K56*$G55,0)</f>
        <v>0</v>
      </c>
      <c r="V55" s="5">
        <f>ROUND('件数(合算）'!W56*'件数(合算）'!K56*$G55,0)</f>
        <v>0</v>
      </c>
      <c r="W55" s="5">
        <f>ROUND('件数(合算）'!X56*'件数(合算）'!K56*$G55,0)</f>
        <v>578</v>
      </c>
      <c r="X55" s="5">
        <f>ROUND('件数(合算）'!Y56*'件数(合算）'!K56*$G55,0)</f>
        <v>0</v>
      </c>
      <c r="Y55" s="5">
        <f>ROUND('件数(合算）'!Z56*'件数(合算）'!K56*$G55,0)</f>
        <v>0</v>
      </c>
      <c r="Z55" s="5">
        <f>ROUND('件数(合算）'!AA56*'件数(合算）'!K56*$F55,0)</f>
        <v>0</v>
      </c>
      <c r="AA55" s="5">
        <f>ROUND('件数(合算）'!AB56*'件数(合算）'!K56*$F55,0)</f>
        <v>0</v>
      </c>
      <c r="AB55" s="5">
        <f>ROUND('件数(合算）'!AC56*'件数(合算）'!K56*$F55,0)</f>
        <v>0</v>
      </c>
      <c r="AC55" s="5">
        <f>ROUND('件数(合算）'!AD56*'件数(合算）'!K56*$F55,0)</f>
        <v>0</v>
      </c>
      <c r="AD55" s="5">
        <f>ROUND('件数(合算）'!AE56*'件数(合算）'!K56*$F55,0)</f>
        <v>0</v>
      </c>
      <c r="AE55" s="5">
        <f>ROUND('件数(合算）'!AF56*'件数(合算）'!K56*$F55,0)</f>
        <v>0</v>
      </c>
      <c r="AF55" s="5">
        <f>ROUND('件数(合算）'!AG56*'件数(合算）'!K56*$E55,0)</f>
        <v>0</v>
      </c>
      <c r="AG55" s="5">
        <f>ROUND('件数(合算）'!AH56*'件数(合算）'!K56*$E55,0)</f>
        <v>0</v>
      </c>
      <c r="AH55" s="5">
        <f>ROUND('件数(合算）'!AI56*'件数(合算）'!K56*$E55,0)</f>
        <v>0</v>
      </c>
      <c r="AI55" s="5">
        <f>ROUND('件数(合算）'!AJ56*'件数(合算）'!K56*$E55,0)</f>
        <v>0</v>
      </c>
      <c r="AJ55" s="5">
        <f>ROUND('件数(合算）'!AK56*'件数(合算）'!K56*$E55,0)</f>
        <v>0</v>
      </c>
      <c r="AK55" s="5">
        <f>ROUND('件数(合算）'!AL56*'件数(合算）'!K56*$F55,0)</f>
        <v>0</v>
      </c>
      <c r="AL55" s="5">
        <f>ROUND('件数(合算）'!AM56*'件数(合算）'!K56*$F55,0)</f>
        <v>0</v>
      </c>
      <c r="AM55" s="5">
        <f>ROUND('件数(合算）'!AN56*'件数(合算）'!K56*$E55,0)</f>
        <v>0</v>
      </c>
      <c r="AN55" s="5">
        <f>ROUND('件数(合算）'!AO56*'件数(合算）'!K56*$E55,0)</f>
        <v>0</v>
      </c>
      <c r="AO55" s="5">
        <f>ROUND('件数(合算）'!AP56*'件数(合算）'!K56*$E55,0)</f>
        <v>0</v>
      </c>
      <c r="AP55" s="5">
        <f>ROUND('件数(合算）'!AQ56*'件数(合算）'!K56*$E55,0)</f>
        <v>0</v>
      </c>
      <c r="AQ55" s="5">
        <f>ROUND('件数(合算）'!AR56*'件数(合算）'!K56*$E55,0)</f>
        <v>0</v>
      </c>
      <c r="AR55" s="5">
        <f>ROUND('件数(合算）'!AS56*'件数(合算）'!K56*$E55,0)</f>
        <v>0</v>
      </c>
      <c r="AS55" s="5">
        <f>ROUND('件数(合算）'!AT56*'件数(合算）'!K56*$E55,0)</f>
        <v>0</v>
      </c>
      <c r="AT55" s="5">
        <f>ROUND('件数(合算）'!AU56*'件数(合算）'!K56*$E55,0)</f>
        <v>0</v>
      </c>
      <c r="AU55" s="5">
        <f>ROUND('件数(合算）'!AV56*'件数(合算）'!K56*$E55,0)</f>
        <v>0</v>
      </c>
      <c r="AV55" s="12">
        <f t="shared" si="5"/>
        <v>2890</v>
      </c>
    </row>
    <row r="56" spans="1:48" ht="22" customHeight="1">
      <c r="A56" s="34">
        <v>82067</v>
      </c>
      <c r="B56" s="35" t="s">
        <v>137</v>
      </c>
      <c r="C56" s="32" t="s">
        <v>212</v>
      </c>
      <c r="D56" s="39"/>
      <c r="E56" s="49">
        <f>'件数(合算）'!E57</f>
        <v>8000</v>
      </c>
      <c r="F56" s="49">
        <f>'件数(合算）'!F57</f>
        <v>8000</v>
      </c>
      <c r="G56" s="49">
        <f>'件数(合算）'!G57</f>
        <v>8000</v>
      </c>
      <c r="K56" s="37">
        <f>'件数(合算）'!K57</f>
        <v>0.5</v>
      </c>
      <c r="L56" s="37">
        <f>'件数(合算）'!K57</f>
        <v>0.5</v>
      </c>
      <c r="M56" s="37">
        <f>'件数(合算）'!K57</f>
        <v>0.5</v>
      </c>
      <c r="N56" s="37">
        <f>'件数(合算）'!K57</f>
        <v>0.5</v>
      </c>
      <c r="O56" s="49">
        <f>ROUND('件数(合算）'!P57*'件数(合算）'!K57*$G56,0)</f>
        <v>4000</v>
      </c>
      <c r="P56" s="49">
        <f>ROUND('件数(合算）'!Q57*'件数(合算）'!K57*$G56,0)</f>
        <v>4000</v>
      </c>
      <c r="Q56" s="49">
        <f>ROUND('件数(合算）'!R57*'件数(合算）'!K57*$G56,0)</f>
        <v>4000</v>
      </c>
      <c r="R56" s="49">
        <f>ROUND('件数(合算）'!S57*'件数(合算）'!K57*$G56,0)</f>
        <v>4000</v>
      </c>
      <c r="S56" s="49">
        <f>ROUND('件数(合算）'!T57*'件数(合算）'!K57*$G56,0)</f>
        <v>4000</v>
      </c>
      <c r="T56" s="49">
        <f>ROUND('件数(合算）'!U57*'件数(合算）'!K57*$G56,0)</f>
        <v>4000</v>
      </c>
      <c r="U56" s="49">
        <f>ROUND('件数(合算）'!V57*'件数(合算）'!K57*$G56,0)</f>
        <v>4000</v>
      </c>
      <c r="V56" s="49">
        <f>ROUND('件数(合算）'!W57*'件数(合算）'!K57*$G56,0)</f>
        <v>4000</v>
      </c>
      <c r="W56" s="49">
        <f>ROUND('件数(合算）'!X57*'件数(合算）'!K57*$G56,0)</f>
        <v>4000</v>
      </c>
      <c r="X56" s="49">
        <f>ROUND('件数(合算）'!Y57*'件数(合算）'!K57*$G56,0)</f>
        <v>4000</v>
      </c>
      <c r="Y56" s="49">
        <f>ROUND('件数(合算）'!Z57*'件数(合算）'!K57*$G56,0)</f>
        <v>4000</v>
      </c>
      <c r="Z56" s="49">
        <f>ROUND('件数(合算）'!AA57*'件数(合算）'!K57*$F56,0)</f>
        <v>0</v>
      </c>
      <c r="AA56" s="49">
        <f>ROUND('件数(合算）'!AB57*'件数(合算）'!K57*$F56,0)</f>
        <v>0</v>
      </c>
      <c r="AB56" s="49">
        <f>ROUND('件数(合算）'!AC57*'件数(合算）'!K57*$F56,0)</f>
        <v>0</v>
      </c>
      <c r="AC56" s="49">
        <f>ROUND('件数(合算）'!AD57*'件数(合算）'!K57*$F56,0)</f>
        <v>0</v>
      </c>
      <c r="AD56" s="49">
        <f>ROUND('件数(合算）'!AE57*'件数(合算）'!K57*$F56,0)</f>
        <v>0</v>
      </c>
      <c r="AE56" s="49">
        <f>ROUND('件数(合算）'!AF57*'件数(合算）'!K57*$F56,0)</f>
        <v>0</v>
      </c>
      <c r="AF56" s="49">
        <f>ROUND('件数(合算）'!AG57*'件数(合算）'!K57*$E56,0)</f>
        <v>0</v>
      </c>
      <c r="AG56" s="49">
        <f>ROUND('件数(合算）'!AH57*'件数(合算）'!K57*$E56,0)</f>
        <v>0</v>
      </c>
      <c r="AH56" s="49">
        <f>ROUND('件数(合算）'!AI57*'件数(合算）'!K57*$E56,0)</f>
        <v>0</v>
      </c>
      <c r="AI56" s="49">
        <f>ROUND('件数(合算）'!AJ57*'件数(合算）'!K57*$E56,0)</f>
        <v>0</v>
      </c>
      <c r="AJ56" s="49">
        <f>ROUND('件数(合算）'!AK57*'件数(合算）'!K57*$E56,0)</f>
        <v>0</v>
      </c>
      <c r="AK56" s="49">
        <f>ROUND('件数(合算）'!AL57*'件数(合算）'!K57*$F56,0)</f>
        <v>0</v>
      </c>
      <c r="AL56" s="49">
        <f>ROUND('件数(合算）'!AM57*'件数(合算）'!K57*$F56,0)</f>
        <v>0</v>
      </c>
      <c r="AM56" s="49">
        <f>ROUND('件数(合算）'!AN57*'件数(合算）'!K57*$E56,0)</f>
        <v>0</v>
      </c>
      <c r="AN56" s="49">
        <f>ROUND('件数(合算）'!AO57*'件数(合算）'!K57*$E56,0)</f>
        <v>0</v>
      </c>
      <c r="AO56" s="49">
        <f>ROUND('件数(合算）'!AP57*'件数(合算）'!K57*$E56,0)</f>
        <v>0</v>
      </c>
      <c r="AP56" s="49">
        <f>ROUND('件数(合算）'!AQ57*'件数(合算）'!K57*$E56,0)</f>
        <v>0</v>
      </c>
      <c r="AQ56" s="49">
        <f>ROUND('件数(合算）'!AR57*'件数(合算）'!K57*$E56,0)</f>
        <v>0</v>
      </c>
      <c r="AR56" s="49">
        <f>ROUND('件数(合算）'!AS57*'件数(合算）'!K57*$E56,0)</f>
        <v>0</v>
      </c>
      <c r="AS56" s="49">
        <f>ROUND('件数(合算）'!AT57*'件数(合算）'!K57*$E56,0)</f>
        <v>0</v>
      </c>
      <c r="AT56" s="49">
        <f>ROUND('件数(合算）'!AU57*'件数(合算）'!K57*$E56,0)</f>
        <v>0</v>
      </c>
      <c r="AU56" s="49">
        <f>ROUND('件数(合算）'!AV57*'件数(合算）'!K57*$E56,0)</f>
        <v>0</v>
      </c>
      <c r="AV56" s="12">
        <f t="shared" si="5"/>
        <v>44000</v>
      </c>
    </row>
    <row r="57" spans="1:48" ht="22" customHeight="1">
      <c r="A57" s="26">
        <v>377067</v>
      </c>
      <c r="B57" s="27" t="s">
        <v>139</v>
      </c>
      <c r="C57" s="25"/>
      <c r="D57" s="9"/>
      <c r="E57" s="5">
        <f>'件数(合算）'!E58</f>
        <v>1300</v>
      </c>
      <c r="F57" s="5">
        <f>'件数(合算）'!F58</f>
        <v>1300</v>
      </c>
      <c r="G57" s="5">
        <f>'件数(合算）'!G58</f>
        <v>1300</v>
      </c>
      <c r="K57" s="4">
        <f>'件数(合算）'!K58</f>
        <v>0.5</v>
      </c>
      <c r="L57" s="4">
        <f>'件数(合算）'!K58</f>
        <v>0.5</v>
      </c>
      <c r="M57" s="4">
        <f>'件数(合算）'!K58</f>
        <v>0.5</v>
      </c>
      <c r="N57" s="4">
        <f>'件数(合算）'!K58</f>
        <v>0.5</v>
      </c>
      <c r="O57" s="5">
        <f>ROUND('件数(合算）'!P58*'件数(合算）'!K58*$G57,0)</f>
        <v>0</v>
      </c>
      <c r="P57" s="5">
        <f>ROUND('件数(合算）'!Q58*'件数(合算）'!K58*$G57,0)</f>
        <v>0</v>
      </c>
      <c r="Q57" s="5">
        <f>ROUND('件数(合算）'!R58*'件数(合算）'!K58*$G57,0)</f>
        <v>0</v>
      </c>
      <c r="R57" s="5">
        <f>ROUND('件数(合算）'!S58*'件数(合算）'!K58*$G57,0)</f>
        <v>0</v>
      </c>
      <c r="S57" s="5">
        <f>ROUND('件数(合算）'!T58*'件数(合算）'!K58*$G57,0)</f>
        <v>0</v>
      </c>
      <c r="T57" s="5">
        <f>ROUND('件数(合算）'!U58*'件数(合算）'!K58*$G57,0)</f>
        <v>0</v>
      </c>
      <c r="U57" s="5">
        <f>ROUND('件数(合算）'!V58*'件数(合算）'!K58*$G57,0)</f>
        <v>0</v>
      </c>
      <c r="V57" s="5">
        <f>ROUND('件数(合算）'!W58*'件数(合算）'!K58*$G57,0)</f>
        <v>0</v>
      </c>
      <c r="W57" s="5">
        <f>ROUND('件数(合算）'!X58*'件数(合算）'!K58*$G57,0)</f>
        <v>0</v>
      </c>
      <c r="X57" s="5">
        <f>ROUND('件数(合算）'!Y58*'件数(合算）'!K58*$G57,0)</f>
        <v>0</v>
      </c>
      <c r="Y57" s="5">
        <f>ROUND('件数(合算）'!Z58*'件数(合算）'!K58*$G57,0)</f>
        <v>0</v>
      </c>
      <c r="Z57" s="5">
        <f>ROUND('件数(合算）'!AA58*'件数(合算）'!K58*$F57,0)</f>
        <v>0</v>
      </c>
      <c r="AA57" s="5">
        <f>ROUND('件数(合算）'!AB58*'件数(合算）'!K58*$F57,0)</f>
        <v>0</v>
      </c>
      <c r="AB57" s="5">
        <f>ROUND('件数(合算）'!AC58*'件数(合算）'!K58*$F57,0)</f>
        <v>0</v>
      </c>
      <c r="AC57" s="5">
        <f>ROUND('件数(合算）'!AD58*'件数(合算）'!K58*$F57,0)</f>
        <v>0</v>
      </c>
      <c r="AD57" s="5">
        <f>ROUND('件数(合算）'!AE58*'件数(合算）'!K58*$F57,0)</f>
        <v>0</v>
      </c>
      <c r="AE57" s="5">
        <f>ROUND('件数(合算）'!AF58*'件数(合算）'!K58*$F57,0)</f>
        <v>0</v>
      </c>
      <c r="AF57" s="5">
        <f>ROUND('件数(合算）'!AG58*'件数(合算）'!K58*$E57,0)</f>
        <v>0</v>
      </c>
      <c r="AG57" s="5">
        <f>ROUND('件数(合算）'!AH58*'件数(合算）'!K58*$E57,0)</f>
        <v>0</v>
      </c>
      <c r="AH57" s="5">
        <f>ROUND('件数(合算）'!AI58*'件数(合算）'!K58*$E57,0)</f>
        <v>0</v>
      </c>
      <c r="AI57" s="5">
        <f>ROUND('件数(合算）'!AJ58*'件数(合算）'!K58*$E57,0)</f>
        <v>0</v>
      </c>
      <c r="AJ57" s="5">
        <f>ROUND('件数(合算）'!AK58*'件数(合算）'!K58*$E57,0)</f>
        <v>0</v>
      </c>
      <c r="AK57" s="5">
        <f>ROUND('件数(合算）'!AL58*'件数(合算）'!K58*$F57,0)</f>
        <v>0</v>
      </c>
      <c r="AL57" s="5">
        <f>ROUND('件数(合算）'!AM58*'件数(合算）'!K58*$F57,0)</f>
        <v>0</v>
      </c>
      <c r="AM57" s="5">
        <f>ROUND('件数(合算）'!AN58*'件数(合算）'!K58*$E57,0)</f>
        <v>0</v>
      </c>
      <c r="AN57" s="5">
        <f>ROUND('件数(合算）'!AO58*'件数(合算）'!K58*$E57,0)</f>
        <v>0</v>
      </c>
      <c r="AO57" s="5">
        <f>ROUND('件数(合算）'!AP58*'件数(合算）'!K58*$E57,0)</f>
        <v>0</v>
      </c>
      <c r="AP57" s="5">
        <f>ROUND('件数(合算）'!AQ58*'件数(合算）'!K58*$E57,0)</f>
        <v>0</v>
      </c>
      <c r="AQ57" s="5">
        <f>ROUND('件数(合算）'!AR58*'件数(合算）'!K58*$E57,0)</f>
        <v>0</v>
      </c>
      <c r="AR57" s="5">
        <f>ROUND('件数(合算）'!AS58*'件数(合算）'!K58*$E57,0)</f>
        <v>0</v>
      </c>
      <c r="AS57" s="5">
        <f>ROUND('件数(合算）'!AT58*'件数(合算）'!K58*$E57,0)</f>
        <v>0</v>
      </c>
      <c r="AT57" s="5">
        <f>ROUND('件数(合算）'!AU58*'件数(合算）'!K58*$E57,0)</f>
        <v>0</v>
      </c>
      <c r="AU57" s="5">
        <f>ROUND('件数(合算）'!AV58*'件数(合算）'!K58*$E57,0)</f>
        <v>0</v>
      </c>
      <c r="AV57" s="12">
        <f t="shared" si="5"/>
        <v>0</v>
      </c>
    </row>
    <row r="58" spans="1:48" ht="22" customHeight="1">
      <c r="A58" s="34">
        <v>277575</v>
      </c>
      <c r="B58" s="35" t="s">
        <v>141</v>
      </c>
      <c r="C58" s="32"/>
      <c r="D58" s="39"/>
      <c r="E58" s="49">
        <f>'件数(合算）'!E59</f>
        <v>7000</v>
      </c>
      <c r="F58" s="49">
        <f>'件数(合算）'!F59</f>
        <v>7000</v>
      </c>
      <c r="G58" s="49">
        <f>'件数(合算）'!G59</f>
        <v>7000</v>
      </c>
      <c r="K58" s="37">
        <f>'件数(合算）'!K59</f>
        <v>0.5</v>
      </c>
      <c r="L58" s="37">
        <f>'件数(合算）'!K59</f>
        <v>0.5</v>
      </c>
      <c r="M58" s="37">
        <f>'件数(合算）'!K59</f>
        <v>0.5</v>
      </c>
      <c r="N58" s="37">
        <f>'件数(合算）'!K59</f>
        <v>0.5</v>
      </c>
      <c r="O58" s="49">
        <f>ROUND('件数(合算）'!P59*'件数(合算）'!K59*$G58,0)</f>
        <v>0</v>
      </c>
      <c r="P58" s="49">
        <f>ROUND('件数(合算）'!Q59*'件数(合算）'!K59*$G58,0)</f>
        <v>0</v>
      </c>
      <c r="Q58" s="49">
        <f>ROUND('件数(合算）'!R59*'件数(合算）'!K59*$G58,0)</f>
        <v>0</v>
      </c>
      <c r="R58" s="49">
        <f>ROUND('件数(合算）'!S59*'件数(合算）'!K59*$G58,0)</f>
        <v>0</v>
      </c>
      <c r="S58" s="49">
        <f>ROUND('件数(合算）'!T59*'件数(合算）'!K59*$G58,0)</f>
        <v>0</v>
      </c>
      <c r="T58" s="49">
        <f>ROUND('件数(合算）'!U59*'件数(合算）'!K59*$G58,0)</f>
        <v>0</v>
      </c>
      <c r="U58" s="49">
        <f>ROUND('件数(合算）'!V59*'件数(合算）'!K59*$G58,0)</f>
        <v>0</v>
      </c>
      <c r="V58" s="49">
        <f>ROUND('件数(合算）'!W59*'件数(合算）'!K59*$G58,0)</f>
        <v>0</v>
      </c>
      <c r="W58" s="49">
        <f>ROUND('件数(合算）'!X59*'件数(合算）'!K59*$G58,0)</f>
        <v>0</v>
      </c>
      <c r="X58" s="49">
        <f>ROUND('件数(合算）'!Y59*'件数(合算）'!K59*$G58,0)</f>
        <v>0</v>
      </c>
      <c r="Y58" s="49">
        <f>ROUND('件数(合算）'!Z59*'件数(合算）'!K59*$G58,0)</f>
        <v>0</v>
      </c>
      <c r="Z58" s="49">
        <f>ROUND('件数(合算）'!AA59*'件数(合算）'!K59*$F58,0)</f>
        <v>0</v>
      </c>
      <c r="AA58" s="49">
        <f>ROUND('件数(合算）'!AB59*'件数(合算）'!K59*$F58,0)</f>
        <v>0</v>
      </c>
      <c r="AB58" s="49">
        <f>ROUND('件数(合算）'!AC59*'件数(合算）'!K59*$F58,0)</f>
        <v>0</v>
      </c>
      <c r="AC58" s="49">
        <f>ROUND('件数(合算）'!AD59*'件数(合算）'!K59*$F58,0)</f>
        <v>0</v>
      </c>
      <c r="AD58" s="49">
        <f>ROUND('件数(合算）'!AE59*'件数(合算）'!K59*$F58,0)</f>
        <v>0</v>
      </c>
      <c r="AE58" s="49">
        <f>ROUND('件数(合算）'!AF59*'件数(合算）'!K59*$F58,0)</f>
        <v>0</v>
      </c>
      <c r="AF58" s="49">
        <f>ROUND('件数(合算）'!AG59*'件数(合算）'!K59*$E58,0)</f>
        <v>0</v>
      </c>
      <c r="AG58" s="49">
        <f>ROUND('件数(合算）'!AH59*'件数(合算）'!K59*$E58,0)</f>
        <v>0</v>
      </c>
      <c r="AH58" s="49">
        <f>ROUND('件数(合算）'!AI59*'件数(合算）'!K59*$E58,0)</f>
        <v>0</v>
      </c>
      <c r="AI58" s="49">
        <f>ROUND('件数(合算）'!AJ59*'件数(合算）'!K59*$E58,0)</f>
        <v>0</v>
      </c>
      <c r="AJ58" s="49">
        <f>ROUND('件数(合算）'!AK59*'件数(合算）'!K59*$E58,0)</f>
        <v>0</v>
      </c>
      <c r="AK58" s="49">
        <f>ROUND('件数(合算）'!AL59*'件数(合算）'!K59*$F58,0)</f>
        <v>0</v>
      </c>
      <c r="AL58" s="49">
        <f>ROUND('件数(合算）'!AM59*'件数(合算）'!K59*$F58,0)</f>
        <v>0</v>
      </c>
      <c r="AM58" s="49">
        <f>ROUND('件数(合算）'!AN59*'件数(合算）'!K59*$E58,0)</f>
        <v>0</v>
      </c>
      <c r="AN58" s="49">
        <f>ROUND('件数(合算）'!AO59*'件数(合算）'!K59*$E58,0)</f>
        <v>0</v>
      </c>
      <c r="AO58" s="49">
        <f>ROUND('件数(合算）'!AP59*'件数(合算）'!K59*$E58,0)</f>
        <v>0</v>
      </c>
      <c r="AP58" s="49">
        <f>ROUND('件数(合算）'!AQ59*'件数(合算）'!K59*$E58,0)</f>
        <v>0</v>
      </c>
      <c r="AQ58" s="49">
        <f>ROUND('件数(合算）'!AR59*'件数(合算）'!K59*$E58,0)</f>
        <v>0</v>
      </c>
      <c r="AR58" s="49">
        <f>ROUND('件数(合算）'!AS59*'件数(合算）'!K59*$E58,0)</f>
        <v>0</v>
      </c>
      <c r="AS58" s="49">
        <f>ROUND('件数(合算）'!AT59*'件数(合算）'!K59*$E58,0)</f>
        <v>0</v>
      </c>
      <c r="AT58" s="49">
        <f>ROUND('件数(合算）'!AU59*'件数(合算）'!K59*$E58,0)</f>
        <v>0</v>
      </c>
      <c r="AU58" s="49">
        <f>ROUND('件数(合算）'!AV59*'件数(合算）'!K59*$E58,0)</f>
        <v>0</v>
      </c>
      <c r="AV58" s="12">
        <f t="shared" si="5"/>
        <v>0</v>
      </c>
    </row>
    <row r="59" spans="1:48" ht="22" customHeight="1">
      <c r="A59" s="26">
        <v>333191</v>
      </c>
      <c r="B59" s="27" t="s">
        <v>143</v>
      </c>
      <c r="C59" s="25"/>
      <c r="D59" s="9"/>
      <c r="E59" s="5">
        <f>'件数(合算）'!E60</f>
        <v>6000</v>
      </c>
      <c r="F59" s="5">
        <f>'件数(合算）'!F60</f>
        <v>6000</v>
      </c>
      <c r="G59" s="5">
        <f>'件数(合算）'!G60</f>
        <v>6000</v>
      </c>
      <c r="K59" s="4">
        <f>'件数(合算）'!K60</f>
        <v>0</v>
      </c>
      <c r="L59" s="4">
        <f>'件数(合算）'!K60</f>
        <v>0</v>
      </c>
      <c r="M59" s="4">
        <f>'件数(合算）'!K60</f>
        <v>0</v>
      </c>
      <c r="N59" s="4">
        <f>'件数(合算）'!K60</f>
        <v>0</v>
      </c>
      <c r="O59" s="5">
        <f>ROUND('件数(合算）'!P60*'件数(合算）'!K60*$G59,0)</f>
        <v>0</v>
      </c>
      <c r="P59" s="5">
        <f>ROUND('件数(合算）'!Q60*'件数(合算）'!K60*$G59,0)</f>
        <v>0</v>
      </c>
      <c r="Q59" s="5">
        <f>ROUND('件数(合算）'!R60*'件数(合算）'!K60*$G59,0)</f>
        <v>0</v>
      </c>
      <c r="R59" s="5">
        <f>ROUND('件数(合算）'!S60*'件数(合算）'!K60*$G59,0)</f>
        <v>0</v>
      </c>
      <c r="S59" s="5">
        <f>ROUND('件数(合算）'!T60*'件数(合算）'!K60*$G59,0)</f>
        <v>0</v>
      </c>
      <c r="T59" s="5">
        <f>ROUND('件数(合算）'!U60*'件数(合算）'!K60*$G59,0)</f>
        <v>0</v>
      </c>
      <c r="U59" s="5">
        <f>ROUND('件数(合算）'!V60*'件数(合算）'!K60*$G59,0)</f>
        <v>0</v>
      </c>
      <c r="V59" s="5">
        <f>ROUND('件数(合算）'!W60*'件数(合算）'!K60*$G59,0)</f>
        <v>0</v>
      </c>
      <c r="W59" s="5">
        <f>ROUND('件数(合算）'!X60*'件数(合算）'!K60*$G59,0)</f>
        <v>0</v>
      </c>
      <c r="X59" s="5">
        <f>ROUND('件数(合算）'!Y60*'件数(合算）'!K60*$G59,0)</f>
        <v>0</v>
      </c>
      <c r="Y59" s="5">
        <f>ROUND('件数(合算）'!Z60*'件数(合算）'!K60*$G59,0)</f>
        <v>0</v>
      </c>
      <c r="Z59" s="5">
        <f>ROUND('件数(合算）'!AA60*'件数(合算）'!K60*$F59,0)</f>
        <v>0</v>
      </c>
      <c r="AA59" s="5">
        <f>ROUND('件数(合算）'!AB60*'件数(合算）'!K60*$F59,0)</f>
        <v>0</v>
      </c>
      <c r="AB59" s="5">
        <f>ROUND('件数(合算）'!AC60*'件数(合算）'!K60*$F59,0)</f>
        <v>0</v>
      </c>
      <c r="AC59" s="5">
        <f>ROUND('件数(合算）'!AD60*'件数(合算）'!K60*$F59,0)</f>
        <v>0</v>
      </c>
      <c r="AD59" s="5">
        <f>ROUND('件数(合算）'!AE60*'件数(合算）'!K60*$F59,0)</f>
        <v>0</v>
      </c>
      <c r="AE59" s="5">
        <f>ROUND('件数(合算）'!AF60*'件数(合算）'!K60*$F59,0)</f>
        <v>0</v>
      </c>
      <c r="AF59" s="5">
        <f>ROUND('件数(合算）'!AG60*'件数(合算）'!K60*$E59,0)</f>
        <v>0</v>
      </c>
      <c r="AG59" s="5">
        <f>ROUND('件数(合算）'!AH60*'件数(合算）'!K60*$E59,0)</f>
        <v>0</v>
      </c>
      <c r="AH59" s="5">
        <f>ROUND('件数(合算）'!AI60*'件数(合算）'!K60*$E59,0)</f>
        <v>0</v>
      </c>
      <c r="AI59" s="5">
        <f>ROUND('件数(合算）'!AJ60*'件数(合算）'!K60*$E59,0)</f>
        <v>0</v>
      </c>
      <c r="AJ59" s="5">
        <f>ROUND('件数(合算）'!AK60*'件数(合算）'!K60*$E59,0)</f>
        <v>0</v>
      </c>
      <c r="AK59" s="5">
        <f>ROUND('件数(合算）'!AL60*'件数(合算）'!K60*$F59,0)</f>
        <v>0</v>
      </c>
      <c r="AL59" s="5">
        <f>ROUND('件数(合算）'!AM60*'件数(合算）'!K60*$F59,0)</f>
        <v>0</v>
      </c>
      <c r="AM59" s="5">
        <f>ROUND('件数(合算）'!AN60*'件数(合算）'!K60*$E59,0)</f>
        <v>0</v>
      </c>
      <c r="AN59" s="5">
        <f>ROUND('件数(合算）'!AO60*'件数(合算）'!K60*$E59,0)</f>
        <v>0</v>
      </c>
      <c r="AO59" s="5">
        <f>ROUND('件数(合算）'!AP60*'件数(合算）'!K60*$E59,0)</f>
        <v>0</v>
      </c>
      <c r="AP59" s="5">
        <f>ROUND('件数(合算）'!AQ60*'件数(合算）'!K60*$E59,0)</f>
        <v>0</v>
      </c>
      <c r="AQ59" s="5">
        <f>ROUND('件数(合算）'!AR60*'件数(合算）'!K60*$E59,0)</f>
        <v>0</v>
      </c>
      <c r="AR59" s="5">
        <f>ROUND('件数(合算）'!AS60*'件数(合算）'!K60*$E59,0)</f>
        <v>0</v>
      </c>
      <c r="AS59" s="5">
        <f>ROUND('件数(合算）'!AT60*'件数(合算）'!K60*$E59,0)</f>
        <v>0</v>
      </c>
      <c r="AT59" s="5">
        <f>ROUND('件数(合算）'!AU60*'件数(合算）'!K60*$E59,0)</f>
        <v>0</v>
      </c>
      <c r="AU59" s="5">
        <f>ROUND('件数(合算）'!AV60*'件数(合算）'!K60*$E59,0)</f>
        <v>0</v>
      </c>
      <c r="AV59" s="12">
        <f t="shared" si="5"/>
        <v>0</v>
      </c>
    </row>
    <row r="60" spans="1:48" ht="22" customHeight="1">
      <c r="A60" s="34">
        <v>343579</v>
      </c>
      <c r="B60" s="35" t="s">
        <v>145</v>
      </c>
      <c r="C60" s="32"/>
      <c r="D60" s="39"/>
      <c r="E60" s="49">
        <f>'件数(合算）'!E61</f>
        <v>18000</v>
      </c>
      <c r="F60" s="49">
        <f>'件数(合算）'!F61</f>
        <v>18000</v>
      </c>
      <c r="G60" s="49">
        <f>'件数(合算）'!G61</f>
        <v>2600</v>
      </c>
      <c r="K60" s="37">
        <f>'件数(合算）'!K61</f>
        <v>0.21875</v>
      </c>
      <c r="L60" s="37">
        <f>'件数(合算）'!K61</f>
        <v>0.21875</v>
      </c>
      <c r="M60" s="37">
        <f>'件数(合算）'!K61</f>
        <v>0.21875</v>
      </c>
      <c r="N60" s="37">
        <f>'件数(合算）'!K61</f>
        <v>0.21875</v>
      </c>
      <c r="O60" s="49">
        <f>ROUND('件数(合算）'!P61*'件数(合算）'!K61*$G60,0)</f>
        <v>2844</v>
      </c>
      <c r="P60" s="49">
        <f>ROUND('件数(合算）'!Q61*'件数(合算）'!K61*$G60,0)</f>
        <v>2844</v>
      </c>
      <c r="Q60" s="49">
        <f>ROUND('件数(合算）'!R61*'件数(合算）'!K61*$G60,0)</f>
        <v>2844</v>
      </c>
      <c r="R60" s="49">
        <f>ROUND('件数(合算）'!S61*'件数(合算）'!K61*$G60,0)</f>
        <v>2275</v>
      </c>
      <c r="S60" s="49">
        <f>ROUND('件数(合算）'!T61*'件数(合算）'!K61*$G60,0)</f>
        <v>2275</v>
      </c>
      <c r="T60" s="49">
        <f>ROUND('件数(合算）'!U61*'件数(合算）'!K61*$G60,0)</f>
        <v>2275</v>
      </c>
      <c r="U60" s="49">
        <f>ROUND('件数(合算）'!V61*'件数(合算）'!K61*$G60,0)</f>
        <v>2275</v>
      </c>
      <c r="V60" s="49">
        <f>ROUND('件数(合算）'!W61*'件数(合算）'!K61*$G60,0)</f>
        <v>2275</v>
      </c>
      <c r="W60" s="49">
        <f>ROUND('件数(合算）'!X61*'件数(合算）'!K61*$G60,0)</f>
        <v>2844</v>
      </c>
      <c r="X60" s="49">
        <f>ROUND('件数(合算）'!Y61*'件数(合算）'!K61*$G60,0)</f>
        <v>2844</v>
      </c>
      <c r="Y60" s="49">
        <f>ROUND('件数(合算）'!Z61*'件数(合算）'!K61*$G60,0)</f>
        <v>2844</v>
      </c>
      <c r="Z60" s="49">
        <f>ROUND('件数(合算）'!AA61*'件数(合算）'!K61*$F60,0)</f>
        <v>0</v>
      </c>
      <c r="AA60" s="49">
        <f>ROUND('件数(合算）'!AB61*'件数(合算）'!K61*$F60,0)</f>
        <v>0</v>
      </c>
      <c r="AB60" s="49">
        <f>ROUND('件数(合算）'!AC61*'件数(合算）'!K61*$F60,0)</f>
        <v>0</v>
      </c>
      <c r="AC60" s="49">
        <f>ROUND('件数(合算）'!AD61*'件数(合算）'!K61*$F60,0)</f>
        <v>0</v>
      </c>
      <c r="AD60" s="49">
        <f>ROUND('件数(合算）'!AE61*'件数(合算）'!K61*$F60,0)</f>
        <v>0</v>
      </c>
      <c r="AE60" s="49">
        <f>ROUND('件数(合算）'!AF61*'件数(合算）'!K61*$F60,0)</f>
        <v>0</v>
      </c>
      <c r="AF60" s="49">
        <f>ROUND('件数(合算）'!AG61*'件数(合算）'!K61*$E60,0)</f>
        <v>0</v>
      </c>
      <c r="AG60" s="49">
        <f>ROUND('件数(合算）'!AH61*'件数(合算）'!K61*$E60,0)</f>
        <v>0</v>
      </c>
      <c r="AH60" s="49">
        <f>ROUND('件数(合算）'!AI61*'件数(合算）'!K61*$E60,0)</f>
        <v>0</v>
      </c>
      <c r="AI60" s="49">
        <f>ROUND('件数(合算）'!AJ61*'件数(合算）'!K61*$E60,0)</f>
        <v>0</v>
      </c>
      <c r="AJ60" s="49">
        <f>ROUND('件数(合算）'!AK61*'件数(合算）'!K61*$E60,0)</f>
        <v>0</v>
      </c>
      <c r="AK60" s="49">
        <f>ROUND('件数(合算）'!AL61*'件数(合算）'!K61*$F60,0)</f>
        <v>0</v>
      </c>
      <c r="AL60" s="49">
        <f>ROUND('件数(合算）'!AM61*'件数(合算）'!K61*$F60,0)</f>
        <v>0</v>
      </c>
      <c r="AM60" s="49">
        <f>ROUND('件数(合算）'!AN61*'件数(合算）'!K61*$E60,0)</f>
        <v>0</v>
      </c>
      <c r="AN60" s="49">
        <f>ROUND('件数(合算）'!AO61*'件数(合算）'!K61*$E60,0)</f>
        <v>0</v>
      </c>
      <c r="AO60" s="49">
        <f>ROUND('件数(合算）'!AP61*'件数(合算）'!K61*$E60,0)</f>
        <v>0</v>
      </c>
      <c r="AP60" s="49">
        <f>ROUND('件数(合算）'!AQ61*'件数(合算）'!K61*$E60,0)</f>
        <v>0</v>
      </c>
      <c r="AQ60" s="49">
        <f>ROUND('件数(合算）'!AR61*'件数(合算）'!K61*$E60,0)</f>
        <v>0</v>
      </c>
      <c r="AR60" s="49">
        <f>ROUND('件数(合算）'!AS61*'件数(合算）'!K61*$E60,0)</f>
        <v>0</v>
      </c>
      <c r="AS60" s="49">
        <f>ROUND('件数(合算）'!AT61*'件数(合算）'!K61*$E60,0)</f>
        <v>0</v>
      </c>
      <c r="AT60" s="49">
        <f>ROUND('件数(合算）'!AU61*'件数(合算）'!K61*$E60,0)</f>
        <v>0</v>
      </c>
      <c r="AU60" s="49">
        <f>ROUND('件数(合算）'!AV61*'件数(合算）'!K61*$E60,0)</f>
        <v>0</v>
      </c>
      <c r="AV60" s="12">
        <f t="shared" si="5"/>
        <v>28439</v>
      </c>
    </row>
    <row r="61" spans="1:48" ht="22" customHeight="1">
      <c r="A61" s="26">
        <v>248567</v>
      </c>
      <c r="B61" s="27" t="s">
        <v>147</v>
      </c>
      <c r="C61" s="25"/>
      <c r="D61" s="9"/>
      <c r="E61" s="5">
        <f>'件数(合算）'!E62</f>
        <v>8500</v>
      </c>
      <c r="F61" s="5">
        <f>'件数(合算）'!F62</f>
        <v>8500</v>
      </c>
      <c r="G61" s="5">
        <f>'件数(合算）'!G62</f>
        <v>8500</v>
      </c>
      <c r="K61" s="4">
        <f>'件数(合算）'!K62</f>
        <v>0.36842105263157893</v>
      </c>
      <c r="L61" s="4">
        <f>'件数(合算）'!K62</f>
        <v>0.36842105263157893</v>
      </c>
      <c r="M61" s="4">
        <f>'件数(合算）'!K62</f>
        <v>0.36842105263157893</v>
      </c>
      <c r="N61" s="4">
        <f>'件数(合算）'!K62</f>
        <v>0.36842105263157893</v>
      </c>
      <c r="O61" s="5">
        <f>ROUND('件数(合算）'!P62*'件数(合算）'!K62*$G61,0)</f>
        <v>3132</v>
      </c>
      <c r="P61" s="5">
        <f>ROUND('件数(合算）'!Q62*'件数(合算）'!K62*$G61,0)</f>
        <v>3132</v>
      </c>
      <c r="Q61" s="5">
        <f>ROUND('件数(合算）'!R62*'件数(合算）'!K62*$G61,0)</f>
        <v>3132</v>
      </c>
      <c r="R61" s="5">
        <f>ROUND('件数(合算）'!S62*'件数(合算）'!K62*$G61,0)</f>
        <v>3132</v>
      </c>
      <c r="S61" s="5">
        <f>ROUND('件数(合算）'!T62*'件数(合算）'!K62*$G61,0)</f>
        <v>3132</v>
      </c>
      <c r="T61" s="5">
        <f>ROUND('件数(合算）'!U62*'件数(合算）'!K62*$G61,0)</f>
        <v>3132</v>
      </c>
      <c r="U61" s="5">
        <f>ROUND('件数(合算）'!V62*'件数(合算）'!K62*$G61,0)</f>
        <v>3132</v>
      </c>
      <c r="V61" s="5">
        <f>ROUND('件数(合算）'!W62*'件数(合算）'!K62*$G61,0)</f>
        <v>3132</v>
      </c>
      <c r="W61" s="5">
        <f>ROUND('件数(合算）'!X62*'件数(合算）'!K62*$G61,0)</f>
        <v>3132</v>
      </c>
      <c r="X61" s="5">
        <f>ROUND('件数(合算）'!Y62*'件数(合算）'!K62*$G61,0)</f>
        <v>3132</v>
      </c>
      <c r="Y61" s="5">
        <f>ROUND('件数(合算）'!Z62*'件数(合算）'!K62*$G61,0)</f>
        <v>3132</v>
      </c>
      <c r="Z61" s="5">
        <f>ROUND('件数(合算）'!AA62*'件数(合算）'!K62*$F61,0)</f>
        <v>0</v>
      </c>
      <c r="AA61" s="5">
        <f>ROUND('件数(合算）'!AB62*'件数(合算）'!K62*$F61,0)</f>
        <v>0</v>
      </c>
      <c r="AB61" s="5">
        <f>ROUND('件数(合算）'!AC62*'件数(合算）'!K62*$F61,0)</f>
        <v>0</v>
      </c>
      <c r="AC61" s="5">
        <f>ROUND('件数(合算）'!AD62*'件数(合算）'!K62*$F61,0)</f>
        <v>0</v>
      </c>
      <c r="AD61" s="5">
        <f>ROUND('件数(合算）'!AE62*'件数(合算）'!K62*$F61,0)</f>
        <v>0</v>
      </c>
      <c r="AE61" s="5">
        <f>ROUND('件数(合算）'!AF62*'件数(合算）'!K62*$F61,0)</f>
        <v>0</v>
      </c>
      <c r="AF61" s="5">
        <f>ROUND('件数(合算）'!AG62*'件数(合算）'!K62*$E61,0)</f>
        <v>0</v>
      </c>
      <c r="AG61" s="5">
        <f>ROUND('件数(合算）'!AH62*'件数(合算）'!K62*$E61,0)</f>
        <v>0</v>
      </c>
      <c r="AH61" s="5">
        <f>ROUND('件数(合算）'!AI62*'件数(合算）'!K62*$E61,0)</f>
        <v>0</v>
      </c>
      <c r="AI61" s="5">
        <f>ROUND('件数(合算）'!AJ62*'件数(合算）'!K62*$E61,0)</f>
        <v>0</v>
      </c>
      <c r="AJ61" s="5">
        <f>ROUND('件数(合算）'!AK62*'件数(合算）'!K62*$E61,0)</f>
        <v>0</v>
      </c>
      <c r="AK61" s="5">
        <f>ROUND('件数(合算）'!AL62*'件数(合算）'!K62*$F61,0)</f>
        <v>0</v>
      </c>
      <c r="AL61" s="5">
        <f>ROUND('件数(合算）'!AM62*'件数(合算）'!K62*$F61,0)</f>
        <v>0</v>
      </c>
      <c r="AM61" s="5">
        <f>ROUND('件数(合算）'!AN62*'件数(合算）'!K62*$E61,0)</f>
        <v>0</v>
      </c>
      <c r="AN61" s="5">
        <f>ROUND('件数(合算）'!AO62*'件数(合算）'!K62*$E61,0)</f>
        <v>0</v>
      </c>
      <c r="AO61" s="5">
        <f>ROUND('件数(合算）'!AP62*'件数(合算）'!K62*$E61,0)</f>
        <v>0</v>
      </c>
      <c r="AP61" s="5">
        <f>ROUND('件数(合算）'!AQ62*'件数(合算）'!K62*$E61,0)</f>
        <v>0</v>
      </c>
      <c r="AQ61" s="5">
        <f>ROUND('件数(合算）'!AR62*'件数(合算）'!K62*$E61,0)</f>
        <v>0</v>
      </c>
      <c r="AR61" s="5">
        <f>ROUND('件数(合算）'!AS62*'件数(合算）'!K62*$E61,0)</f>
        <v>0</v>
      </c>
      <c r="AS61" s="5">
        <f>ROUND('件数(合算）'!AT62*'件数(合算）'!K62*$E61,0)</f>
        <v>0</v>
      </c>
      <c r="AT61" s="5">
        <f>ROUND('件数(合算）'!AU62*'件数(合算）'!K62*$E61,0)</f>
        <v>0</v>
      </c>
      <c r="AU61" s="5">
        <f>ROUND('件数(合算）'!AV62*'件数(合算）'!K62*$E61,0)</f>
        <v>0</v>
      </c>
      <c r="AV61" s="12">
        <f t="shared" si="5"/>
        <v>34452</v>
      </c>
    </row>
    <row r="62" spans="1:48" ht="22" customHeight="1">
      <c r="A62" s="34">
        <v>354876</v>
      </c>
      <c r="B62" s="35" t="s">
        <v>149</v>
      </c>
      <c r="C62" s="32" t="s">
        <v>212</v>
      </c>
      <c r="D62" s="39"/>
      <c r="E62" s="49">
        <f>'件数(合算）'!E63</f>
        <v>13000</v>
      </c>
      <c r="F62" s="49">
        <f>'件数(合算）'!F63</f>
        <v>13000</v>
      </c>
      <c r="G62" s="49">
        <f>'件数(合算）'!G63</f>
        <v>14000</v>
      </c>
      <c r="K62" s="37">
        <f>'件数(合算）'!K63</f>
        <v>0.51111111111111107</v>
      </c>
      <c r="L62" s="37">
        <f>'件数(合算）'!K63</f>
        <v>0.51111111111111107</v>
      </c>
      <c r="M62" s="37">
        <f>'件数(合算）'!K63</f>
        <v>0.51111111111111107</v>
      </c>
      <c r="N62" s="37">
        <f>'件数(合算）'!K63</f>
        <v>0.51111111111111107</v>
      </c>
      <c r="O62" s="49">
        <f>ROUND('件数(合算）'!P63*'件数(合算）'!K63*$G62,0)</f>
        <v>35778</v>
      </c>
      <c r="P62" s="49">
        <f>ROUND('件数(合算）'!Q63*'件数(合算）'!K63*$G62,0)</f>
        <v>35778</v>
      </c>
      <c r="Q62" s="49">
        <f>ROUND('件数(合算）'!R63*'件数(合算）'!K63*$G62,0)</f>
        <v>35778</v>
      </c>
      <c r="R62" s="49">
        <f>ROUND('件数(合算）'!S63*'件数(合算）'!K63*$G62,0)</f>
        <v>35778</v>
      </c>
      <c r="S62" s="49">
        <f>ROUND('件数(合算）'!T63*'件数(合算）'!K63*$G62,0)</f>
        <v>35778</v>
      </c>
      <c r="T62" s="49">
        <f>ROUND('件数(合算）'!U63*'件数(合算）'!K63*$G62,0)</f>
        <v>35778</v>
      </c>
      <c r="U62" s="49">
        <f>ROUND('件数(合算）'!V63*'件数(合算）'!K63*$G62,0)</f>
        <v>35778</v>
      </c>
      <c r="V62" s="49">
        <f>ROUND('件数(合算）'!W63*'件数(合算）'!K63*$G62,0)</f>
        <v>35778</v>
      </c>
      <c r="W62" s="49">
        <f>ROUND('件数(合算）'!X63*'件数(合算）'!K63*$G62,0)</f>
        <v>35778</v>
      </c>
      <c r="X62" s="49">
        <f>ROUND('件数(合算）'!Y63*'件数(合算）'!K63*$G62,0)</f>
        <v>35778</v>
      </c>
      <c r="Y62" s="49">
        <f>ROUND('件数(合算）'!Z63*'件数(合算）'!K63*$G62,0)</f>
        <v>35778</v>
      </c>
      <c r="Z62" s="49">
        <f>ROUND('件数(合算）'!AA63*'件数(合算）'!K63*$F62,0)</f>
        <v>26578</v>
      </c>
      <c r="AA62" s="49">
        <f>ROUND('件数(合算）'!AB63*'件数(合算）'!K63*$F62,0)</f>
        <v>26578</v>
      </c>
      <c r="AB62" s="49">
        <f>ROUND('件数(合算）'!AC63*'件数(合算）'!K63*$F62,0)</f>
        <v>26578</v>
      </c>
      <c r="AC62" s="49">
        <f>ROUND('件数(合算）'!AD63*'件数(合算）'!K63*$F62,0)</f>
        <v>26578</v>
      </c>
      <c r="AD62" s="49">
        <f>ROUND('件数(合算）'!AE63*'件数(合算）'!K63*$F62,0)</f>
        <v>26578</v>
      </c>
      <c r="AE62" s="49">
        <f>ROUND('件数(合算）'!AF63*'件数(合算）'!K63*$F62,0)</f>
        <v>26578</v>
      </c>
      <c r="AF62" s="49">
        <f>ROUND('件数(合算）'!AG63*'件数(合算）'!K63*$E62,0)</f>
        <v>26578</v>
      </c>
      <c r="AG62" s="49">
        <f>ROUND('件数(合算）'!AH63*'件数(合算）'!K63*$E62,0)</f>
        <v>26578</v>
      </c>
      <c r="AH62" s="49">
        <f>ROUND('件数(合算）'!AI63*'件数(合算）'!K63*$E62,0)</f>
        <v>26578</v>
      </c>
      <c r="AI62" s="49">
        <f>ROUND('件数(合算）'!AJ63*'件数(合算）'!K63*$E62,0)</f>
        <v>26578</v>
      </c>
      <c r="AJ62" s="49">
        <f>ROUND('件数(合算）'!AK63*'件数(合算）'!K63*$E62,0)</f>
        <v>26578</v>
      </c>
      <c r="AK62" s="49">
        <f>ROUND('件数(合算）'!AL63*'件数(合算）'!K63*$F62,0)</f>
        <v>26578</v>
      </c>
      <c r="AL62" s="49">
        <f>ROUND('件数(合算）'!AM63*'件数(合算）'!K63*$F62,0)</f>
        <v>26578</v>
      </c>
      <c r="AM62" s="49">
        <f>ROUND('件数(合算）'!AN63*'件数(合算）'!K63*$E62,0)</f>
        <v>26578</v>
      </c>
      <c r="AN62" s="49">
        <f>ROUND('件数(合算）'!AO63*'件数(合算）'!K63*$E62,0)</f>
        <v>26578</v>
      </c>
      <c r="AO62" s="49">
        <f>ROUND('件数(合算）'!AP63*'件数(合算）'!K63*$E62,0)</f>
        <v>26578</v>
      </c>
      <c r="AP62" s="49">
        <f>ROUND('件数(合算）'!AQ63*'件数(合算）'!K63*$E62,0)</f>
        <v>26578</v>
      </c>
      <c r="AQ62" s="49">
        <f>ROUND('件数(合算）'!AR63*'件数(合算）'!K63*$E62,0)</f>
        <v>26578</v>
      </c>
      <c r="AR62" s="49">
        <f>ROUND('件数(合算）'!AS63*'件数(合算）'!K63*$E62,0)</f>
        <v>26578</v>
      </c>
      <c r="AS62" s="49">
        <f>ROUND('件数(合算）'!AT63*'件数(合算）'!K63*$E62,0)</f>
        <v>26578</v>
      </c>
      <c r="AT62" s="49">
        <f>ROUND('件数(合算）'!AU63*'件数(合算）'!K63*$E62,0)</f>
        <v>26578</v>
      </c>
      <c r="AU62" s="49">
        <f>ROUND('件数(合算）'!AV63*'件数(合算）'!K63*$E62,0)</f>
        <v>26578</v>
      </c>
      <c r="AV62" s="12">
        <f t="shared" si="5"/>
        <v>978274</v>
      </c>
    </row>
    <row r="63" spans="1:48" ht="22" customHeight="1">
      <c r="A63" s="26">
        <v>354959</v>
      </c>
      <c r="B63" s="27" t="s">
        <v>151</v>
      </c>
      <c r="C63" s="25" t="s">
        <v>212</v>
      </c>
      <c r="D63" s="9"/>
      <c r="E63" s="5">
        <f>'件数(合算）'!E64</f>
        <v>13000</v>
      </c>
      <c r="F63" s="5">
        <f>'件数(合算）'!F64</f>
        <v>13000</v>
      </c>
      <c r="G63" s="5">
        <f>'件数(合算）'!G64</f>
        <v>14000</v>
      </c>
      <c r="K63" s="4">
        <f>'件数(合算）'!K64</f>
        <v>0.52127659574468088</v>
      </c>
      <c r="L63" s="4">
        <f>'件数(合算）'!K64</f>
        <v>0.52127659574468088</v>
      </c>
      <c r="M63" s="4">
        <f>'件数(合算）'!K64</f>
        <v>0.52127659574468088</v>
      </c>
      <c r="N63" s="4">
        <f>'件数(合算）'!K64</f>
        <v>0.52127659574468088</v>
      </c>
      <c r="O63" s="5">
        <f>ROUND('件数(合算）'!P64*'件数(合算）'!K64*$G63,0)</f>
        <v>21894</v>
      </c>
      <c r="P63" s="5">
        <f>ROUND('件数(合算）'!Q64*'件数(合算）'!K64*$G63,0)</f>
        <v>21894</v>
      </c>
      <c r="Q63" s="5">
        <f>ROUND('件数(合算）'!R64*'件数(合算）'!K64*$G63,0)</f>
        <v>21894</v>
      </c>
      <c r="R63" s="5">
        <f>ROUND('件数(合算）'!S64*'件数(合算）'!K64*$G63,0)</f>
        <v>21894</v>
      </c>
      <c r="S63" s="5">
        <f>ROUND('件数(合算）'!T64*'件数(合算）'!K64*$G63,0)</f>
        <v>21894</v>
      </c>
      <c r="T63" s="5">
        <f>ROUND('件数(合算）'!U64*'件数(合算）'!K64*$G63,0)</f>
        <v>21894</v>
      </c>
      <c r="U63" s="5">
        <f>ROUND('件数(合算）'!V64*'件数(合算）'!K64*$G63,0)</f>
        <v>21894</v>
      </c>
      <c r="V63" s="5">
        <f>ROUND('件数(合算）'!W64*'件数(合算）'!K64*$G63,0)</f>
        <v>21894</v>
      </c>
      <c r="W63" s="5">
        <f>ROUND('件数(合算）'!X64*'件数(合算）'!K64*$G63,0)</f>
        <v>21894</v>
      </c>
      <c r="X63" s="5">
        <f>ROUND('件数(合算）'!Y64*'件数(合算）'!K64*$G63,0)</f>
        <v>21894</v>
      </c>
      <c r="Y63" s="5">
        <f>ROUND('件数(合算）'!Z64*'件数(合算）'!K64*$G63,0)</f>
        <v>21894</v>
      </c>
      <c r="Z63" s="5">
        <f>ROUND('件数(合算）'!AA64*'件数(合算）'!K64*$F63,0)</f>
        <v>20330</v>
      </c>
      <c r="AA63" s="5">
        <f>ROUND('件数(合算）'!AB64*'件数(合算）'!K64*$F63,0)</f>
        <v>20330</v>
      </c>
      <c r="AB63" s="5">
        <f>ROUND('件数(合算）'!AC64*'件数(合算）'!K64*$F63,0)</f>
        <v>20330</v>
      </c>
      <c r="AC63" s="5">
        <f>ROUND('件数(合算）'!AD64*'件数(合算）'!K64*$F63,0)</f>
        <v>20330</v>
      </c>
      <c r="AD63" s="5">
        <f>ROUND('件数(合算）'!AE64*'件数(合算）'!K64*$F63,0)</f>
        <v>20330</v>
      </c>
      <c r="AE63" s="5">
        <f>ROUND('件数(合算）'!AF64*'件数(合算）'!K64*$F63,0)</f>
        <v>20330</v>
      </c>
      <c r="AF63" s="5">
        <f>ROUND('件数(合算）'!AG64*'件数(合算）'!K64*$E63,0)</f>
        <v>20330</v>
      </c>
      <c r="AG63" s="5">
        <f>ROUND('件数(合算）'!AH64*'件数(合算）'!K64*$E63,0)</f>
        <v>20330</v>
      </c>
      <c r="AH63" s="5">
        <f>ROUND('件数(合算）'!AI64*'件数(合算）'!K64*$E63,0)</f>
        <v>20330</v>
      </c>
      <c r="AI63" s="5">
        <f>ROUND('件数(合算）'!AJ64*'件数(合算）'!K64*$E63,0)</f>
        <v>20330</v>
      </c>
      <c r="AJ63" s="5">
        <f>ROUND('件数(合算）'!AK64*'件数(合算）'!K64*$E63,0)</f>
        <v>20330</v>
      </c>
      <c r="AK63" s="5">
        <f>ROUND('件数(合算）'!AL64*'件数(合算）'!K64*$F63,0)</f>
        <v>20330</v>
      </c>
      <c r="AL63" s="5">
        <f>ROUND('件数(合算）'!AM64*'件数(合算）'!K64*$F63,0)</f>
        <v>20330</v>
      </c>
      <c r="AM63" s="5">
        <f>ROUND('件数(合算）'!AN64*'件数(合算）'!K64*$E63,0)</f>
        <v>20330</v>
      </c>
      <c r="AN63" s="5">
        <f>ROUND('件数(合算）'!AO64*'件数(合算）'!K64*$E63,0)</f>
        <v>20330</v>
      </c>
      <c r="AO63" s="5">
        <f>ROUND('件数(合算）'!AP64*'件数(合算）'!K64*$E63,0)</f>
        <v>20330</v>
      </c>
      <c r="AP63" s="5">
        <f>ROUND('件数(合算）'!AQ64*'件数(合算）'!K64*$E63,0)</f>
        <v>20330</v>
      </c>
      <c r="AQ63" s="5">
        <f>ROUND('件数(合算）'!AR64*'件数(合算）'!K64*$E63,0)</f>
        <v>20330</v>
      </c>
      <c r="AR63" s="5">
        <f>ROUND('件数(合算）'!AS64*'件数(合算）'!K64*$E63,0)</f>
        <v>20330</v>
      </c>
      <c r="AS63" s="5">
        <f>ROUND('件数(合算）'!AT64*'件数(合算）'!K64*$E63,0)</f>
        <v>20330</v>
      </c>
      <c r="AT63" s="5">
        <f>ROUND('件数(合算）'!AU64*'件数(合算）'!K64*$E63,0)</f>
        <v>13553</v>
      </c>
      <c r="AU63" s="5">
        <f>ROUND('件数(合算）'!AV64*'件数(合算）'!K64*$E63,0)</f>
        <v>13553</v>
      </c>
      <c r="AV63" s="12">
        <f t="shared" si="5"/>
        <v>674540</v>
      </c>
    </row>
    <row r="64" spans="1:48" ht="22" customHeight="1">
      <c r="A64" s="34">
        <v>368617</v>
      </c>
      <c r="B64" s="35" t="s">
        <v>153</v>
      </c>
      <c r="C64" s="32"/>
      <c r="D64" s="39"/>
      <c r="E64" s="49">
        <f>'件数(合算）'!E65</f>
        <v>8000</v>
      </c>
      <c r="F64" s="49">
        <f>'件数(合算）'!F65</f>
        <v>8000</v>
      </c>
      <c r="G64" s="49">
        <f>'件数(合算）'!G65</f>
        <v>8000</v>
      </c>
      <c r="K64" s="37">
        <f>'件数(合算）'!K65</f>
        <v>0.79487179487179482</v>
      </c>
      <c r="L64" s="37">
        <f>'件数(合算）'!K65</f>
        <v>0.79487179487179482</v>
      </c>
      <c r="M64" s="37">
        <f>'件数(合算）'!K65</f>
        <v>0.79487179487179482</v>
      </c>
      <c r="N64" s="37">
        <f>'件数(合算）'!K65</f>
        <v>0.79487179487179482</v>
      </c>
      <c r="O64" s="49">
        <f>ROUND('件数(合算）'!P65*'件数(合算）'!K65*$G64,0)</f>
        <v>12718</v>
      </c>
      <c r="P64" s="49">
        <f>ROUND('件数(合算）'!Q65*'件数(合算）'!K65*$G64,0)</f>
        <v>12718</v>
      </c>
      <c r="Q64" s="49">
        <f>ROUND('件数(合算）'!R65*'件数(合算）'!K65*$G64,0)</f>
        <v>12718</v>
      </c>
      <c r="R64" s="49">
        <f>ROUND('件数(合算）'!S65*'件数(合算）'!K65*$G64,0)</f>
        <v>12718</v>
      </c>
      <c r="S64" s="49">
        <f>ROUND('件数(合算）'!T65*'件数(合算）'!K65*$G64,0)</f>
        <v>12718</v>
      </c>
      <c r="T64" s="49">
        <f>ROUND('件数(合算）'!U65*'件数(合算）'!K65*$G64,0)</f>
        <v>12718</v>
      </c>
      <c r="U64" s="49">
        <f>ROUND('件数(合算）'!V65*'件数(合算）'!K65*$G64,0)</f>
        <v>12718</v>
      </c>
      <c r="V64" s="49">
        <f>ROUND('件数(合算）'!W65*'件数(合算）'!K65*$G64,0)</f>
        <v>12718</v>
      </c>
      <c r="W64" s="49">
        <f>ROUND('件数(合算）'!X65*'件数(合算）'!K65*$G64,0)</f>
        <v>12718</v>
      </c>
      <c r="X64" s="49">
        <f>ROUND('件数(合算）'!Y65*'件数(合算）'!K65*$G64,0)</f>
        <v>12718</v>
      </c>
      <c r="Y64" s="49">
        <f>ROUND('件数(合算）'!Z65*'件数(合算）'!K65*$G64,0)</f>
        <v>12718</v>
      </c>
      <c r="Z64" s="49">
        <f>ROUND('件数(合算）'!AA65*'件数(合算）'!K65*$F64,0)</f>
        <v>12718</v>
      </c>
      <c r="AA64" s="49">
        <f>ROUND('件数(合算）'!AB65*'件数(合算）'!K65*$F64,0)</f>
        <v>12718</v>
      </c>
      <c r="AB64" s="49">
        <f>ROUND('件数(合算）'!AC65*'件数(合算）'!K65*$F64,0)</f>
        <v>12718</v>
      </c>
      <c r="AC64" s="49">
        <f>ROUND('件数(合算）'!AD65*'件数(合算）'!K65*$F64,0)</f>
        <v>12718</v>
      </c>
      <c r="AD64" s="49">
        <f>ROUND('件数(合算）'!AE65*'件数(合算）'!K65*$F64,0)</f>
        <v>12718</v>
      </c>
      <c r="AE64" s="49">
        <f>ROUND('件数(合算）'!AF65*'件数(合算）'!K65*$F64,0)</f>
        <v>12718</v>
      </c>
      <c r="AF64" s="49">
        <f>ROUND('件数(合算）'!AG65*'件数(合算）'!K65*$E64,0)</f>
        <v>12718</v>
      </c>
      <c r="AG64" s="49">
        <f>ROUND('件数(合算）'!AH65*'件数(合算）'!K65*$E64,0)</f>
        <v>12718</v>
      </c>
      <c r="AH64" s="49">
        <f>ROUND('件数(合算）'!AI65*'件数(合算）'!K65*$E64,0)</f>
        <v>6359</v>
      </c>
      <c r="AI64" s="49">
        <f>ROUND('件数(合算）'!AJ65*'件数(合算）'!K65*$E64,0)</f>
        <v>6359</v>
      </c>
      <c r="AJ64" s="49">
        <f>ROUND('件数(合算）'!AK65*'件数(合算）'!K65*$E64,0)</f>
        <v>6359</v>
      </c>
      <c r="AK64" s="49">
        <f>ROUND('件数(合算）'!AL65*'件数(合算）'!K65*$F64,0)</f>
        <v>6359</v>
      </c>
      <c r="AL64" s="49">
        <f>ROUND('件数(合算）'!AM65*'件数(合算）'!K65*$F64,0)</f>
        <v>6359</v>
      </c>
      <c r="AM64" s="49">
        <f>ROUND('件数(合算）'!AN65*'件数(合算）'!K65*$E64,0)</f>
        <v>6359</v>
      </c>
      <c r="AN64" s="49">
        <f>ROUND('件数(合算）'!AO65*'件数(合算）'!K65*$E64,0)</f>
        <v>6359</v>
      </c>
      <c r="AO64" s="49">
        <f>ROUND('件数(合算）'!AP65*'件数(合算）'!K65*$E64,0)</f>
        <v>6359</v>
      </c>
      <c r="AP64" s="49">
        <f>ROUND('件数(合算）'!AQ65*'件数(合算）'!K65*$E64,0)</f>
        <v>6359</v>
      </c>
      <c r="AQ64" s="49">
        <f>ROUND('件数(合算）'!AR65*'件数(合算）'!K65*$E64,0)</f>
        <v>6359</v>
      </c>
      <c r="AR64" s="49">
        <f>ROUND('件数(合算）'!AS65*'件数(合算）'!K65*$E64,0)</f>
        <v>6359</v>
      </c>
      <c r="AS64" s="49">
        <f>ROUND('件数(合算）'!AT65*'件数(合算）'!K65*$E64,0)</f>
        <v>6359</v>
      </c>
      <c r="AT64" s="49">
        <f>ROUND('件数(合算）'!AU65*'件数(合算）'!K65*$E64,0)</f>
        <v>6359</v>
      </c>
      <c r="AU64" s="49">
        <f>ROUND('件数(合算）'!AV65*'件数(合算）'!K65*$E64,0)</f>
        <v>6359</v>
      </c>
      <c r="AV64" s="12">
        <f t="shared" si="5"/>
        <v>330668</v>
      </c>
    </row>
    <row r="65" spans="1:48" ht="22" customHeight="1">
      <c r="A65" s="26">
        <v>372803</v>
      </c>
      <c r="B65" s="27" t="s">
        <v>155</v>
      </c>
      <c r="C65" s="25"/>
      <c r="D65" s="9"/>
      <c r="E65" s="5">
        <f>'件数(合算）'!E66</f>
        <v>18000</v>
      </c>
      <c r="F65" s="5">
        <f>'件数(合算）'!F66</f>
        <v>18000</v>
      </c>
      <c r="G65" s="5">
        <f>'件数(合算）'!G66</f>
        <v>17000</v>
      </c>
      <c r="K65" s="4">
        <f>'件数(合算）'!K66</f>
        <v>0.18097876269621421</v>
      </c>
      <c r="L65" s="4">
        <f>'件数(合算）'!K66</f>
        <v>0.18097876269621421</v>
      </c>
      <c r="M65" s="4">
        <f>'件数(合算）'!K66</f>
        <v>0.18097876269621421</v>
      </c>
      <c r="N65" s="4">
        <f>'件数(合算）'!K66</f>
        <v>0.18097876269621421</v>
      </c>
      <c r="O65" s="5">
        <f>ROUND('件数(合算）'!P66*'件数(合算）'!K66*$G65,0)</f>
        <v>212288</v>
      </c>
      <c r="P65" s="5">
        <f>ROUND('件数(合算）'!Q66*'件数(合算）'!K66*$G65,0)</f>
        <v>243054</v>
      </c>
      <c r="Q65" s="5">
        <f>ROUND('件数(合算）'!R66*'件数(合算）'!K66*$G65,0)</f>
        <v>286127</v>
      </c>
      <c r="R65" s="5">
        <f>ROUND('件数(合算）'!S66*'件数(合算）'!K66*$G65,0)</f>
        <v>243054</v>
      </c>
      <c r="S65" s="5">
        <f>ROUND('件数(合算）'!T66*'件数(合算）'!K66*$G65,0)</f>
        <v>307664</v>
      </c>
      <c r="T65" s="5">
        <f>ROUND('件数(合算）'!U66*'件数(合算）'!K66*$G65,0)</f>
        <v>255361</v>
      </c>
      <c r="U65" s="5">
        <f>ROUND('件数(合算）'!V66*'件数(合算）'!K66*$G65,0)</f>
        <v>264591</v>
      </c>
      <c r="V65" s="5">
        <f>ROUND('件数(合算）'!W66*'件数(合算）'!K66*$G65,0)</f>
        <v>267668</v>
      </c>
      <c r="W65" s="5">
        <f>ROUND('件数(合算）'!X66*'件数(合算）'!K66*$G65,0)</f>
        <v>243054</v>
      </c>
      <c r="X65" s="5">
        <f>ROUND('件数(合算）'!Y66*'件数(合算）'!K66*$G65,0)</f>
        <v>227671</v>
      </c>
      <c r="Y65" s="5">
        <f>ROUND('件数(合算）'!Z66*'件数(合算）'!K66*$G65,0)</f>
        <v>218441</v>
      </c>
      <c r="Z65" s="5">
        <f>ROUND('件数(合算）'!AA66*'件数(合算）'!K66*$F65,0)</f>
        <v>123789</v>
      </c>
      <c r="AA65" s="5">
        <f>ROUND('件数(合算）'!AB66*'件数(合算）'!K66*$F65,0)</f>
        <v>123789</v>
      </c>
      <c r="AB65" s="5">
        <f>ROUND('件数(合算）'!AC66*'件数(合算）'!K66*$F65,0)</f>
        <v>123789</v>
      </c>
      <c r="AC65" s="5">
        <f>ROUND('件数(合算）'!AD66*'件数(合算）'!K66*$F65,0)</f>
        <v>123789</v>
      </c>
      <c r="AD65" s="5">
        <f>ROUND('件数(合算）'!AE66*'件数(合算）'!K66*$F65,0)</f>
        <v>123789</v>
      </c>
      <c r="AE65" s="5">
        <f>ROUND('件数(合算）'!AF66*'件数(合算）'!K66*$F65,0)</f>
        <v>123789</v>
      </c>
      <c r="AF65" s="5">
        <f>ROUND('件数(合算）'!AG66*'件数(合算）'!K66*$E65,0)</f>
        <v>123789</v>
      </c>
      <c r="AG65" s="5">
        <f>ROUND('件数(合算）'!AH66*'件数(合算）'!K66*$E65,0)</f>
        <v>123789</v>
      </c>
      <c r="AH65" s="5">
        <f>ROUND('件数(合算）'!AI66*'件数(合算）'!K66*$E65,0)</f>
        <v>123789</v>
      </c>
      <c r="AI65" s="5">
        <f>ROUND('件数(合算）'!AJ66*'件数(合算）'!K66*$E65,0)</f>
        <v>123789</v>
      </c>
      <c r="AJ65" s="5">
        <f>ROUND('件数(合算）'!AK66*'件数(合算）'!K66*$E65,0)</f>
        <v>120532</v>
      </c>
      <c r="AK65" s="5">
        <f>ROUND('件数(合算）'!AL66*'件数(合算）'!K66*$F65,0)</f>
        <v>120532</v>
      </c>
      <c r="AL65" s="5">
        <f>ROUND('件数(合算）'!AM66*'件数(合算）'!K66*$F65,0)</f>
        <v>120532</v>
      </c>
      <c r="AM65" s="5">
        <f>ROUND('件数(合算）'!AN66*'件数(合算）'!K66*$E65,0)</f>
        <v>120532</v>
      </c>
      <c r="AN65" s="5">
        <f>ROUND('件数(合算）'!AO66*'件数(合算）'!K66*$E65,0)</f>
        <v>120532</v>
      </c>
      <c r="AO65" s="5">
        <f>ROUND('件数(合算）'!AP66*'件数(合算）'!K66*$E65,0)</f>
        <v>120532</v>
      </c>
      <c r="AP65" s="5">
        <f>ROUND('件数(合算）'!AQ66*'件数(合算）'!K66*$E65,0)</f>
        <v>120532</v>
      </c>
      <c r="AQ65" s="5">
        <f>ROUND('件数(合算）'!AR66*'件数(合算）'!K66*$E65,0)</f>
        <v>120532</v>
      </c>
      <c r="AR65" s="5">
        <f>ROUND('件数(合算）'!AS66*'件数(合算）'!K66*$E65,0)</f>
        <v>120532</v>
      </c>
      <c r="AS65" s="5">
        <f>ROUND('件数(合算）'!AT66*'件数(合算）'!K66*$E65,0)</f>
        <v>120532</v>
      </c>
      <c r="AT65" s="5">
        <f>ROUND('件数(合算）'!AU66*'件数(合算）'!K66*$E65,0)</f>
        <v>120532</v>
      </c>
      <c r="AU65" s="5">
        <f>ROUND('件数(合算）'!AV66*'件数(合算）'!K66*$E65,0)</f>
        <v>120532</v>
      </c>
      <c r="AV65" s="12">
        <f t="shared" si="5"/>
        <v>5453247</v>
      </c>
    </row>
    <row r="66" spans="1:48" ht="22" customHeight="1">
      <c r="A66" s="34">
        <v>385111</v>
      </c>
      <c r="B66" s="35" t="s">
        <v>157</v>
      </c>
      <c r="C66" s="32"/>
      <c r="D66" s="39"/>
      <c r="E66" s="49">
        <f>'件数(合算）'!E67</f>
        <v>9000</v>
      </c>
      <c r="F66" s="49">
        <f>'件数(合算）'!F67</f>
        <v>9000</v>
      </c>
      <c r="G66" s="49">
        <f>'件数(合算）'!G67</f>
        <v>9000</v>
      </c>
      <c r="K66" s="37">
        <f>'件数(合算）'!K67</f>
        <v>0.66666666666666663</v>
      </c>
      <c r="L66" s="37">
        <f>'件数(合算）'!K67</f>
        <v>0.66666666666666663</v>
      </c>
      <c r="M66" s="37">
        <f>'件数(合算）'!K67</f>
        <v>0.66666666666666663</v>
      </c>
      <c r="N66" s="37">
        <f>'件数(合算）'!K67</f>
        <v>0.66666666666666663</v>
      </c>
      <c r="O66" s="49">
        <f>ROUND('件数(合算）'!P67*'件数(合算）'!K67*$G66,0)</f>
        <v>6000</v>
      </c>
      <c r="P66" s="49">
        <f>ROUND('件数(合算）'!Q67*'件数(合算）'!K67*$G66,0)</f>
        <v>6000</v>
      </c>
      <c r="Q66" s="49">
        <f>ROUND('件数(合算）'!R67*'件数(合算）'!K67*$G66,0)</f>
        <v>6000</v>
      </c>
      <c r="R66" s="49">
        <f>ROUND('件数(合算）'!S67*'件数(合算）'!K67*$G66,0)</f>
        <v>6000</v>
      </c>
      <c r="S66" s="49">
        <f>ROUND('件数(合算）'!T67*'件数(合算）'!K67*$G66,0)</f>
        <v>6000</v>
      </c>
      <c r="T66" s="49">
        <f>ROUND('件数(合算）'!U67*'件数(合算）'!K67*$G66,0)</f>
        <v>6000</v>
      </c>
      <c r="U66" s="49">
        <f>ROUND('件数(合算）'!V67*'件数(合算）'!K67*$G66,0)</f>
        <v>6000</v>
      </c>
      <c r="V66" s="49">
        <f>ROUND('件数(合算）'!W67*'件数(合算）'!K67*$G66,0)</f>
        <v>6000</v>
      </c>
      <c r="W66" s="49">
        <f>ROUND('件数(合算）'!X67*'件数(合算）'!K67*$G66,0)</f>
        <v>6000</v>
      </c>
      <c r="X66" s="49">
        <f>ROUND('件数(合算）'!Y67*'件数(合算）'!K67*$G66,0)</f>
        <v>6000</v>
      </c>
      <c r="Y66" s="49">
        <f>ROUND('件数(合算）'!Z67*'件数(合算）'!K67*$G66,0)</f>
        <v>0</v>
      </c>
      <c r="Z66" s="49">
        <f>ROUND('件数(合算）'!AA67*'件数(合算）'!K67*$F66,0)</f>
        <v>0</v>
      </c>
      <c r="AA66" s="49">
        <f>ROUND('件数(合算）'!AB67*'件数(合算）'!K67*$F66,0)</f>
        <v>0</v>
      </c>
      <c r="AB66" s="49">
        <f>ROUND('件数(合算）'!AC67*'件数(合算）'!K67*$F66,0)</f>
        <v>0</v>
      </c>
      <c r="AC66" s="49">
        <f>ROUND('件数(合算）'!AD67*'件数(合算）'!K67*$F66,0)</f>
        <v>0</v>
      </c>
      <c r="AD66" s="49">
        <f>ROUND('件数(合算）'!AE67*'件数(合算）'!K67*$F66,0)</f>
        <v>0</v>
      </c>
      <c r="AE66" s="49">
        <f>ROUND('件数(合算）'!AF67*'件数(合算）'!K67*$F66,0)</f>
        <v>0</v>
      </c>
      <c r="AF66" s="49">
        <f>ROUND('件数(合算）'!AG67*'件数(合算）'!K67*$E66,0)</f>
        <v>0</v>
      </c>
      <c r="AG66" s="49">
        <f>ROUND('件数(合算）'!AH67*'件数(合算）'!K67*$E66,0)</f>
        <v>0</v>
      </c>
      <c r="AH66" s="49">
        <f>ROUND('件数(合算）'!AI67*'件数(合算）'!K67*$E66,0)</f>
        <v>0</v>
      </c>
      <c r="AI66" s="49">
        <f>ROUND('件数(合算）'!AJ67*'件数(合算）'!K67*$E66,0)</f>
        <v>0</v>
      </c>
      <c r="AJ66" s="49">
        <f>ROUND('件数(合算）'!AK67*'件数(合算）'!K67*$E66,0)</f>
        <v>0</v>
      </c>
      <c r="AK66" s="49">
        <f>ROUND('件数(合算）'!AL67*'件数(合算）'!K67*$F66,0)</f>
        <v>0</v>
      </c>
      <c r="AL66" s="49">
        <f>ROUND('件数(合算）'!AM67*'件数(合算）'!K67*$F66,0)</f>
        <v>0</v>
      </c>
      <c r="AM66" s="49">
        <f>ROUND('件数(合算）'!AN67*'件数(合算）'!K67*$E66,0)</f>
        <v>0</v>
      </c>
      <c r="AN66" s="49">
        <f>ROUND('件数(合算）'!AO67*'件数(合算）'!K67*$E66,0)</f>
        <v>0</v>
      </c>
      <c r="AO66" s="49">
        <f>ROUND('件数(合算）'!AP67*'件数(合算）'!K67*$E66,0)</f>
        <v>0</v>
      </c>
      <c r="AP66" s="49">
        <f>ROUND('件数(合算）'!AQ67*'件数(合算）'!K67*$E66,0)</f>
        <v>0</v>
      </c>
      <c r="AQ66" s="49">
        <f>ROUND('件数(合算）'!AR67*'件数(合算）'!K67*$E66,0)</f>
        <v>0</v>
      </c>
      <c r="AR66" s="49">
        <f>ROUND('件数(合算）'!AS67*'件数(合算）'!K67*$E66,0)</f>
        <v>0</v>
      </c>
      <c r="AS66" s="49">
        <f>ROUND('件数(合算）'!AT67*'件数(合算）'!K67*$E66,0)</f>
        <v>0</v>
      </c>
      <c r="AT66" s="49">
        <f>ROUND('件数(合算）'!AU67*'件数(合算）'!K67*$E66,0)</f>
        <v>0</v>
      </c>
      <c r="AU66" s="49">
        <f>ROUND('件数(合算）'!AV67*'件数(合算）'!K67*$E66,0)</f>
        <v>0</v>
      </c>
      <c r="AV66" s="12">
        <f t="shared" si="5"/>
        <v>60000</v>
      </c>
    </row>
    <row r="67" spans="1:48" ht="22" customHeight="1">
      <c r="A67" s="26">
        <v>391966</v>
      </c>
      <c r="B67" s="27" t="s">
        <v>159</v>
      </c>
      <c r="C67" s="25"/>
      <c r="D67" s="9"/>
      <c r="E67" s="5">
        <f>'件数(合算）'!E68</f>
        <v>8000</v>
      </c>
      <c r="F67" s="5">
        <f>'件数(合算）'!F68</f>
        <v>8000</v>
      </c>
      <c r="G67" s="5">
        <f>'件数(合算）'!G68</f>
        <v>8000</v>
      </c>
      <c r="K67" s="4">
        <f>'件数(合算）'!K68</f>
        <v>0.42857142857142849</v>
      </c>
      <c r="L67" s="4">
        <f>'件数(合算）'!K68</f>
        <v>0.42857142857142849</v>
      </c>
      <c r="M67" s="4">
        <f>'件数(合算）'!K68</f>
        <v>0.42857142857142849</v>
      </c>
      <c r="N67" s="4">
        <f>'件数(合算）'!K68</f>
        <v>0.42857142857142849</v>
      </c>
      <c r="O67" s="5">
        <f>ROUND('件数(合算）'!P68*'件数(合算）'!K68*$G67,0)</f>
        <v>3429</v>
      </c>
      <c r="P67" s="5">
        <f>ROUND('件数(合算）'!Q68*'件数(合算）'!K68*$G67,0)</f>
        <v>3429</v>
      </c>
      <c r="Q67" s="5">
        <f>ROUND('件数(合算）'!R68*'件数(合算）'!K68*$G67,0)</f>
        <v>3429</v>
      </c>
      <c r="R67" s="5">
        <f>ROUND('件数(合算）'!S68*'件数(合算）'!K68*$G67,0)</f>
        <v>3429</v>
      </c>
      <c r="S67" s="5">
        <f>ROUND('件数(合算）'!T68*'件数(合算）'!K68*$G67,0)</f>
        <v>3429</v>
      </c>
      <c r="T67" s="5">
        <f>ROUND('件数(合算）'!U68*'件数(合算）'!K68*$G67,0)</f>
        <v>3429</v>
      </c>
      <c r="U67" s="5">
        <f>ROUND('件数(合算）'!V68*'件数(合算）'!K68*$G67,0)</f>
        <v>3429</v>
      </c>
      <c r="V67" s="5">
        <f>ROUND('件数(合算）'!W68*'件数(合算）'!K68*$G67,0)</f>
        <v>3429</v>
      </c>
      <c r="W67" s="5">
        <f>ROUND('件数(合算）'!X68*'件数(合算）'!K68*$G67,0)</f>
        <v>3429</v>
      </c>
      <c r="X67" s="5">
        <f>ROUND('件数(合算）'!Y68*'件数(合算）'!K68*$G67,0)</f>
        <v>3429</v>
      </c>
      <c r="Y67" s="5">
        <f>ROUND('件数(合算）'!Z68*'件数(合算）'!K68*$G67,0)</f>
        <v>0</v>
      </c>
      <c r="Z67" s="5">
        <f>ROUND('件数(合算）'!AA68*'件数(合算）'!K68*$F67,0)</f>
        <v>0</v>
      </c>
      <c r="AA67" s="5">
        <f>ROUND('件数(合算）'!AB68*'件数(合算）'!K68*$F67,0)</f>
        <v>0</v>
      </c>
      <c r="AB67" s="5">
        <f>ROUND('件数(合算）'!AC68*'件数(合算）'!K68*$F67,0)</f>
        <v>0</v>
      </c>
      <c r="AC67" s="5">
        <f>ROUND('件数(合算）'!AD68*'件数(合算）'!K68*$F67,0)</f>
        <v>0</v>
      </c>
      <c r="AD67" s="5">
        <f>ROUND('件数(合算）'!AE68*'件数(合算）'!K68*$F67,0)</f>
        <v>0</v>
      </c>
      <c r="AE67" s="5">
        <f>ROUND('件数(合算）'!AF68*'件数(合算）'!K68*$F67,0)</f>
        <v>0</v>
      </c>
      <c r="AF67" s="5">
        <f>ROUND('件数(合算）'!AG68*'件数(合算）'!K68*$E67,0)</f>
        <v>0</v>
      </c>
      <c r="AG67" s="5">
        <f>ROUND('件数(合算）'!AH68*'件数(合算）'!K68*$E67,0)</f>
        <v>0</v>
      </c>
      <c r="AH67" s="5">
        <f>ROUND('件数(合算）'!AI68*'件数(合算）'!K68*$E67,0)</f>
        <v>0</v>
      </c>
      <c r="AI67" s="5">
        <f>ROUND('件数(合算）'!AJ68*'件数(合算）'!K68*$E67,0)</f>
        <v>0</v>
      </c>
      <c r="AJ67" s="5">
        <f>ROUND('件数(合算）'!AK68*'件数(合算）'!K68*$E67,0)</f>
        <v>0</v>
      </c>
      <c r="AK67" s="5">
        <f>ROUND('件数(合算）'!AL68*'件数(合算）'!K68*$F67,0)</f>
        <v>0</v>
      </c>
      <c r="AL67" s="5">
        <f>ROUND('件数(合算）'!AM68*'件数(合算）'!K68*$F67,0)</f>
        <v>0</v>
      </c>
      <c r="AM67" s="5">
        <f>ROUND('件数(合算）'!AN68*'件数(合算）'!K68*$E67,0)</f>
        <v>0</v>
      </c>
      <c r="AN67" s="5">
        <f>ROUND('件数(合算）'!AO68*'件数(合算）'!K68*$E67,0)</f>
        <v>0</v>
      </c>
      <c r="AO67" s="5">
        <f>ROUND('件数(合算）'!AP68*'件数(合算）'!K68*$E67,0)</f>
        <v>0</v>
      </c>
      <c r="AP67" s="5">
        <f>ROUND('件数(合算）'!AQ68*'件数(合算）'!K68*$E67,0)</f>
        <v>0</v>
      </c>
      <c r="AQ67" s="5">
        <f>ROUND('件数(合算）'!AR68*'件数(合算）'!K68*$E67,0)</f>
        <v>0</v>
      </c>
      <c r="AR67" s="5">
        <f>ROUND('件数(合算）'!AS68*'件数(合算）'!K68*$E67,0)</f>
        <v>0</v>
      </c>
      <c r="AS67" s="5">
        <f>ROUND('件数(合算）'!AT68*'件数(合算）'!K68*$E67,0)</f>
        <v>0</v>
      </c>
      <c r="AT67" s="5">
        <f>ROUND('件数(合算）'!AU68*'件数(合算）'!K68*$E67,0)</f>
        <v>0</v>
      </c>
      <c r="AU67" s="5">
        <f>ROUND('件数(合算）'!AV68*'件数(合算）'!K68*$E67,0)</f>
        <v>0</v>
      </c>
      <c r="AV67" s="12">
        <f t="shared" si="5"/>
        <v>34290</v>
      </c>
    </row>
    <row r="68" spans="1:48" ht="22" customHeight="1">
      <c r="A68" s="34">
        <v>393660</v>
      </c>
      <c r="B68" s="35" t="s">
        <v>161</v>
      </c>
      <c r="C68" s="32"/>
      <c r="D68" s="39"/>
      <c r="E68" s="49">
        <f>'件数(合算）'!E69</f>
        <v>1300</v>
      </c>
      <c r="F68" s="49">
        <f>'件数(合算）'!F69</f>
        <v>1300</v>
      </c>
      <c r="G68" s="49">
        <f>'件数(合算）'!G69</f>
        <v>1300</v>
      </c>
      <c r="K68" s="37">
        <f>'件数(合算）'!K69</f>
        <v>0.42857142857142849</v>
      </c>
      <c r="L68" s="37">
        <f>'件数(合算）'!K69</f>
        <v>0.42857142857142849</v>
      </c>
      <c r="M68" s="37">
        <f>'件数(合算）'!K69</f>
        <v>0.42857142857142849</v>
      </c>
      <c r="N68" s="37">
        <f>'件数(合算）'!K69</f>
        <v>0.42857142857142849</v>
      </c>
      <c r="O68" s="49">
        <f>ROUND('件数(合算）'!P69*'件数(合算）'!K69*$G68,0)</f>
        <v>557</v>
      </c>
      <c r="P68" s="49">
        <f>ROUND('件数(合算）'!Q69*'件数(合算）'!K69*$G68,0)</f>
        <v>557</v>
      </c>
      <c r="Q68" s="49">
        <f>ROUND('件数(合算）'!R69*'件数(合算）'!K69*$G68,0)</f>
        <v>557</v>
      </c>
      <c r="R68" s="49">
        <f>ROUND('件数(合算）'!S69*'件数(合算）'!K69*$G68,0)</f>
        <v>557</v>
      </c>
      <c r="S68" s="49">
        <f>ROUND('件数(合算）'!T69*'件数(合算）'!K69*$G68,0)</f>
        <v>557</v>
      </c>
      <c r="T68" s="49">
        <f>ROUND('件数(合算）'!U69*'件数(合算）'!K69*$G68,0)</f>
        <v>557</v>
      </c>
      <c r="U68" s="49">
        <f>ROUND('件数(合算）'!V69*'件数(合算）'!K69*$G68,0)</f>
        <v>557</v>
      </c>
      <c r="V68" s="49">
        <f>ROUND('件数(合算）'!W69*'件数(合算）'!K69*$G68,0)</f>
        <v>557</v>
      </c>
      <c r="W68" s="49">
        <f>ROUND('件数(合算）'!X69*'件数(合算）'!K69*$G68,0)</f>
        <v>557</v>
      </c>
      <c r="X68" s="49">
        <f>ROUND('件数(合算）'!Y69*'件数(合算）'!K69*$G68,0)</f>
        <v>557</v>
      </c>
      <c r="Y68" s="49">
        <f>ROUND('件数(合算）'!Z69*'件数(合算）'!K69*$G68,0)</f>
        <v>0</v>
      </c>
      <c r="Z68" s="49">
        <f>ROUND('件数(合算）'!AA69*'件数(合算）'!K69*$F68,0)</f>
        <v>0</v>
      </c>
      <c r="AA68" s="49">
        <f>ROUND('件数(合算）'!AB69*'件数(合算）'!K69*$F68,0)</f>
        <v>0</v>
      </c>
      <c r="AB68" s="49">
        <f>ROUND('件数(合算）'!AC69*'件数(合算）'!K69*$F68,0)</f>
        <v>0</v>
      </c>
      <c r="AC68" s="49">
        <f>ROUND('件数(合算）'!AD69*'件数(合算）'!K69*$F68,0)</f>
        <v>0</v>
      </c>
      <c r="AD68" s="49">
        <f>ROUND('件数(合算）'!AE69*'件数(合算）'!K69*$F68,0)</f>
        <v>0</v>
      </c>
      <c r="AE68" s="49">
        <f>ROUND('件数(合算）'!AF69*'件数(合算）'!K69*$F68,0)</f>
        <v>0</v>
      </c>
      <c r="AF68" s="49">
        <f>ROUND('件数(合算）'!AG69*'件数(合算）'!K69*$E68,0)</f>
        <v>0</v>
      </c>
      <c r="AG68" s="49">
        <f>ROUND('件数(合算）'!AH69*'件数(合算）'!K69*$E68,0)</f>
        <v>0</v>
      </c>
      <c r="AH68" s="49">
        <f>ROUND('件数(合算）'!AI69*'件数(合算）'!K69*$E68,0)</f>
        <v>0</v>
      </c>
      <c r="AI68" s="49">
        <f>ROUND('件数(合算）'!AJ69*'件数(合算）'!K69*$E68,0)</f>
        <v>0</v>
      </c>
      <c r="AJ68" s="49">
        <f>ROUND('件数(合算）'!AK69*'件数(合算）'!K69*$E68,0)</f>
        <v>0</v>
      </c>
      <c r="AK68" s="49">
        <f>ROUND('件数(合算）'!AL69*'件数(合算）'!K69*$F68,0)</f>
        <v>0</v>
      </c>
      <c r="AL68" s="49">
        <f>ROUND('件数(合算）'!AM69*'件数(合算）'!K69*$F68,0)</f>
        <v>0</v>
      </c>
      <c r="AM68" s="49">
        <f>ROUND('件数(合算）'!AN69*'件数(合算）'!K69*$E68,0)</f>
        <v>0</v>
      </c>
      <c r="AN68" s="49">
        <f>ROUND('件数(合算）'!AO69*'件数(合算）'!K69*$E68,0)</f>
        <v>0</v>
      </c>
      <c r="AO68" s="49">
        <f>ROUND('件数(合算）'!AP69*'件数(合算）'!K69*$E68,0)</f>
        <v>0</v>
      </c>
      <c r="AP68" s="49">
        <f>ROUND('件数(合算）'!AQ69*'件数(合算）'!K69*$E68,0)</f>
        <v>0</v>
      </c>
      <c r="AQ68" s="49">
        <f>ROUND('件数(合算）'!AR69*'件数(合算）'!K69*$E68,0)</f>
        <v>0</v>
      </c>
      <c r="AR68" s="49">
        <f>ROUND('件数(合算）'!AS69*'件数(合算）'!K69*$E68,0)</f>
        <v>0</v>
      </c>
      <c r="AS68" s="49">
        <f>ROUND('件数(合算）'!AT69*'件数(合算）'!K69*$E68,0)</f>
        <v>0</v>
      </c>
      <c r="AT68" s="49">
        <f>ROUND('件数(合算）'!AU69*'件数(合算）'!K69*$E68,0)</f>
        <v>0</v>
      </c>
      <c r="AU68" s="49">
        <f>ROUND('件数(合算）'!AV69*'件数(合算）'!K69*$E68,0)</f>
        <v>0</v>
      </c>
      <c r="AV68" s="12">
        <f t="shared" si="5"/>
        <v>5570</v>
      </c>
    </row>
    <row r="69" spans="1:48" ht="22" customHeight="1">
      <c r="A69" s="26">
        <v>395140</v>
      </c>
      <c r="B69" s="27" t="s">
        <v>163</v>
      </c>
      <c r="C69" s="25" t="s">
        <v>212</v>
      </c>
      <c r="D69" s="9"/>
      <c r="E69" s="5">
        <f>'件数(合算）'!E70</f>
        <v>18000</v>
      </c>
      <c r="F69" s="5">
        <f>'件数(合算）'!F70</f>
        <v>18000</v>
      </c>
      <c r="G69" s="5">
        <f>'件数(合算）'!G70</f>
        <v>18000</v>
      </c>
      <c r="K69" s="4">
        <f>'件数(合算）'!K70</f>
        <v>0.3</v>
      </c>
      <c r="L69" s="4">
        <f>'件数(合算）'!K70</f>
        <v>0.3</v>
      </c>
      <c r="M69" s="4">
        <f>'件数(合算）'!K70</f>
        <v>0.3</v>
      </c>
      <c r="N69" s="4">
        <f>'件数(合算）'!K70</f>
        <v>0.3</v>
      </c>
      <c r="O69" s="5">
        <f>ROUND('件数(合算）'!P70*'件数(合算）'!K70*$G69,0)</f>
        <v>5400</v>
      </c>
      <c r="P69" s="5">
        <f>ROUND('件数(合算）'!Q70*'件数(合算）'!K70*$G69,0)</f>
        <v>5400</v>
      </c>
      <c r="Q69" s="5">
        <f>ROUND('件数(合算）'!R70*'件数(合算）'!K70*$G69,0)</f>
        <v>5400</v>
      </c>
      <c r="R69" s="5">
        <f>ROUND('件数(合算）'!S70*'件数(合算）'!K70*$G69,0)</f>
        <v>5400</v>
      </c>
      <c r="S69" s="5">
        <f>ROUND('件数(合算）'!T70*'件数(合算）'!K70*$G69,0)</f>
        <v>5400</v>
      </c>
      <c r="T69" s="5">
        <f>ROUND('件数(合算）'!U70*'件数(合算）'!K70*$G69,0)</f>
        <v>5400</v>
      </c>
      <c r="U69" s="5">
        <f>ROUND('件数(合算）'!V70*'件数(合算）'!K70*$G69,0)</f>
        <v>5400</v>
      </c>
      <c r="V69" s="5">
        <f>ROUND('件数(合算）'!W70*'件数(合算）'!K70*$G69,0)</f>
        <v>5400</v>
      </c>
      <c r="W69" s="5">
        <f>ROUND('件数(合算）'!X70*'件数(合算）'!K70*$G69,0)</f>
        <v>5400</v>
      </c>
      <c r="X69" s="5">
        <f>ROUND('件数(合算）'!Y70*'件数(合算）'!K70*$G69,0)</f>
        <v>5400</v>
      </c>
      <c r="Y69" s="5">
        <f>ROUND('件数(合算）'!Z70*'件数(合算）'!K70*$G69,0)</f>
        <v>5400</v>
      </c>
      <c r="Z69" s="5">
        <f>ROUND('件数(合算）'!AA70*'件数(合算）'!K70*$F69,0)</f>
        <v>5400</v>
      </c>
      <c r="AA69" s="5">
        <f>ROUND('件数(合算）'!AB70*'件数(合算）'!K70*$F69,0)</f>
        <v>5400</v>
      </c>
      <c r="AB69" s="5">
        <f>ROUND('件数(合算）'!AC70*'件数(合算）'!K70*$F69,0)</f>
        <v>5400</v>
      </c>
      <c r="AC69" s="5">
        <f>ROUND('件数(合算）'!AD70*'件数(合算）'!K70*$F69,0)</f>
        <v>5400</v>
      </c>
      <c r="AD69" s="5">
        <f>ROUND('件数(合算）'!AE70*'件数(合算）'!K70*$F69,0)</f>
        <v>5400</v>
      </c>
      <c r="AE69" s="5">
        <f>ROUND('件数(合算）'!AF70*'件数(合算）'!K70*$F69,0)</f>
        <v>5400</v>
      </c>
      <c r="AF69" s="5">
        <f>ROUND('件数(合算）'!AG70*'件数(合算）'!K70*$E69,0)</f>
        <v>5400</v>
      </c>
      <c r="AG69" s="5">
        <f>ROUND('件数(合算）'!AH70*'件数(合算）'!K70*$E69,0)</f>
        <v>5400</v>
      </c>
      <c r="AH69" s="5">
        <f>ROUND('件数(合算）'!AI70*'件数(合算）'!K70*$E69,0)</f>
        <v>5400</v>
      </c>
      <c r="AI69" s="5">
        <f>ROUND('件数(合算）'!AJ70*'件数(合算）'!K70*$E69,0)</f>
        <v>5400</v>
      </c>
      <c r="AJ69" s="5">
        <f>ROUND('件数(合算）'!AK70*'件数(合算）'!K70*$E69,0)</f>
        <v>5400</v>
      </c>
      <c r="AK69" s="5">
        <f>ROUND('件数(合算）'!AL70*'件数(合算）'!K70*$F69,0)</f>
        <v>5400</v>
      </c>
      <c r="AL69" s="5">
        <f>ROUND('件数(合算）'!AM70*'件数(合算）'!K70*$F69,0)</f>
        <v>5400</v>
      </c>
      <c r="AM69" s="5">
        <f>ROUND('件数(合算）'!AN70*'件数(合算）'!K70*$E69,0)</f>
        <v>5400</v>
      </c>
      <c r="AN69" s="5">
        <f>ROUND('件数(合算）'!AO70*'件数(合算）'!K70*$E69,0)</f>
        <v>5400</v>
      </c>
      <c r="AO69" s="5">
        <f>ROUND('件数(合算）'!AP70*'件数(合算）'!K70*$E69,0)</f>
        <v>5400</v>
      </c>
      <c r="AP69" s="5">
        <f>ROUND('件数(合算）'!AQ70*'件数(合算）'!K70*$E69,0)</f>
        <v>0</v>
      </c>
      <c r="AQ69" s="5">
        <f>ROUND('件数(合算）'!AR70*'件数(合算）'!K70*$E69,0)</f>
        <v>0</v>
      </c>
      <c r="AR69" s="5">
        <f>ROUND('件数(合算）'!AS70*'件数(合算）'!K70*$E69,0)</f>
        <v>0</v>
      </c>
      <c r="AS69" s="5">
        <f>ROUND('件数(合算）'!AT70*'件数(合算）'!K70*$E69,0)</f>
        <v>0</v>
      </c>
      <c r="AT69" s="5">
        <f>ROUND('件数(合算）'!AU70*'件数(合算）'!K70*$E69,0)</f>
        <v>0</v>
      </c>
      <c r="AU69" s="5">
        <f>ROUND('件数(合算）'!AV70*'件数(合算）'!K70*$E69,0)</f>
        <v>0</v>
      </c>
      <c r="AV69" s="12">
        <f t="shared" si="5"/>
        <v>145800</v>
      </c>
    </row>
    <row r="70" spans="1:48" ht="22" customHeight="1">
      <c r="A70" s="34">
        <v>395211</v>
      </c>
      <c r="B70" s="35" t="s">
        <v>165</v>
      </c>
      <c r="C70" s="32" t="s">
        <v>212</v>
      </c>
      <c r="D70" s="39"/>
      <c r="E70" s="49">
        <f>'件数(合算）'!E71</f>
        <v>4500</v>
      </c>
      <c r="F70" s="49">
        <f>'件数(合算）'!F71</f>
        <v>4500</v>
      </c>
      <c r="G70" s="49">
        <f>'件数(合算）'!G71</f>
        <v>4500</v>
      </c>
      <c r="K70" s="37">
        <f>'件数(合算）'!K71</f>
        <v>0.22222222222222221</v>
      </c>
      <c r="L70" s="37">
        <f>'件数(合算）'!K71</f>
        <v>0.22222222222222221</v>
      </c>
      <c r="M70" s="37">
        <f>'件数(合算）'!K71</f>
        <v>0.22222222222222221</v>
      </c>
      <c r="N70" s="37">
        <f>'件数(合算）'!K71</f>
        <v>0.22222222222222221</v>
      </c>
      <c r="O70" s="49">
        <f>ROUND('件数(合算）'!P71*'件数(合算）'!K71*$G70,0)</f>
        <v>1000</v>
      </c>
      <c r="P70" s="49">
        <f>ROUND('件数(合算）'!Q71*'件数(合算）'!K71*$G70,0)</f>
        <v>1000</v>
      </c>
      <c r="Q70" s="49">
        <f>ROUND('件数(合算）'!R71*'件数(合算）'!K71*$G70,0)</f>
        <v>1000</v>
      </c>
      <c r="R70" s="49">
        <f>ROUND('件数(合算）'!S71*'件数(合算）'!K71*$G70,0)</f>
        <v>1000</v>
      </c>
      <c r="S70" s="49">
        <f>ROUND('件数(合算）'!T71*'件数(合算）'!K71*$G70,0)</f>
        <v>1000</v>
      </c>
      <c r="T70" s="49">
        <f>ROUND('件数(合算）'!U71*'件数(合算）'!K71*$G70,0)</f>
        <v>1000</v>
      </c>
      <c r="U70" s="49">
        <f>ROUND('件数(合算）'!V71*'件数(合算）'!K71*$G70,0)</f>
        <v>1000</v>
      </c>
      <c r="V70" s="49">
        <f>ROUND('件数(合算）'!W71*'件数(合算）'!K71*$G70,0)</f>
        <v>1000</v>
      </c>
      <c r="W70" s="49">
        <f>ROUND('件数(合算）'!X71*'件数(合算）'!K71*$G70,0)</f>
        <v>1000</v>
      </c>
      <c r="X70" s="49">
        <f>ROUND('件数(合算）'!Y71*'件数(合算）'!K71*$G70,0)</f>
        <v>1000</v>
      </c>
      <c r="Y70" s="49">
        <f>ROUND('件数(合算）'!Z71*'件数(合算）'!K71*$G70,0)</f>
        <v>1000</v>
      </c>
      <c r="Z70" s="49">
        <f>ROUND('件数(合算）'!AA71*'件数(合算）'!K71*$F70,0)</f>
        <v>1000</v>
      </c>
      <c r="AA70" s="49">
        <f>ROUND('件数(合算）'!AB71*'件数(合算）'!K71*$F70,0)</f>
        <v>1000</v>
      </c>
      <c r="AB70" s="49">
        <f>ROUND('件数(合算）'!AC71*'件数(合算）'!K71*$F70,0)</f>
        <v>1000</v>
      </c>
      <c r="AC70" s="49">
        <f>ROUND('件数(合算）'!AD71*'件数(合算）'!K71*$F70,0)</f>
        <v>1000</v>
      </c>
      <c r="AD70" s="49">
        <f>ROUND('件数(合算）'!AE71*'件数(合算）'!K71*$F70,0)</f>
        <v>1000</v>
      </c>
      <c r="AE70" s="49">
        <f>ROUND('件数(合算）'!AF71*'件数(合算）'!K71*$F70,0)</f>
        <v>1000</v>
      </c>
      <c r="AF70" s="49">
        <f>ROUND('件数(合算）'!AG71*'件数(合算）'!K71*$E70,0)</f>
        <v>1000</v>
      </c>
      <c r="AG70" s="49">
        <f>ROUND('件数(合算）'!AH71*'件数(合算）'!K71*$E70,0)</f>
        <v>1000</v>
      </c>
      <c r="AH70" s="49">
        <f>ROUND('件数(合算）'!AI71*'件数(合算）'!K71*$E70,0)</f>
        <v>1000</v>
      </c>
      <c r="AI70" s="49">
        <f>ROUND('件数(合算）'!AJ71*'件数(合算）'!K71*$E70,0)</f>
        <v>0</v>
      </c>
      <c r="AJ70" s="49">
        <f>ROUND('件数(合算）'!AK71*'件数(合算）'!K71*$E70,0)</f>
        <v>0</v>
      </c>
      <c r="AK70" s="49">
        <f>ROUND('件数(合算）'!AL71*'件数(合算）'!K71*$F70,0)</f>
        <v>0</v>
      </c>
      <c r="AL70" s="49">
        <f>ROUND('件数(合算）'!AM71*'件数(合算）'!K71*$F70,0)</f>
        <v>0</v>
      </c>
      <c r="AM70" s="49">
        <f>ROUND('件数(合算）'!AN71*'件数(合算）'!K71*$E70,0)</f>
        <v>0</v>
      </c>
      <c r="AN70" s="49">
        <f>ROUND('件数(合算）'!AO71*'件数(合算）'!K71*$E70,0)</f>
        <v>0</v>
      </c>
      <c r="AO70" s="49">
        <f>ROUND('件数(合算）'!AP71*'件数(合算）'!K71*$E70,0)</f>
        <v>0</v>
      </c>
      <c r="AP70" s="49">
        <f>ROUND('件数(合算）'!AQ71*'件数(合算）'!K71*$E70,0)</f>
        <v>0</v>
      </c>
      <c r="AQ70" s="49">
        <f>ROUND('件数(合算）'!AR71*'件数(合算）'!K71*$E70,0)</f>
        <v>0</v>
      </c>
      <c r="AR70" s="49">
        <f>ROUND('件数(合算）'!AS71*'件数(合算）'!K71*$E70,0)</f>
        <v>0</v>
      </c>
      <c r="AS70" s="49">
        <f>ROUND('件数(合算）'!AT71*'件数(合算）'!K71*$E70,0)</f>
        <v>0</v>
      </c>
      <c r="AT70" s="49">
        <f>ROUND('件数(合算）'!AU71*'件数(合算）'!K71*$E70,0)</f>
        <v>0</v>
      </c>
      <c r="AU70" s="49">
        <f>ROUND('件数(合算）'!AV71*'件数(合算）'!K71*$E70,0)</f>
        <v>0</v>
      </c>
      <c r="AV70" s="12">
        <f t="shared" si="5"/>
        <v>20000</v>
      </c>
    </row>
    <row r="71" spans="1:48" ht="22" customHeight="1">
      <c r="A71" s="26">
        <v>395324</v>
      </c>
      <c r="B71" s="27" t="s">
        <v>167</v>
      </c>
      <c r="C71" s="25"/>
      <c r="D71" s="9"/>
      <c r="E71" s="5">
        <f>'件数(合算）'!E72</f>
        <v>1300</v>
      </c>
      <c r="F71" s="5">
        <f>'件数(合算）'!F72</f>
        <v>1300</v>
      </c>
      <c r="G71" s="5">
        <f>'件数(合算）'!G72</f>
        <v>1300</v>
      </c>
      <c r="K71" s="4">
        <f>'件数(合算）'!K72</f>
        <v>0.1</v>
      </c>
      <c r="L71" s="4">
        <f>'件数(合算）'!K72</f>
        <v>0.1</v>
      </c>
      <c r="M71" s="4">
        <f>'件数(合算）'!K72</f>
        <v>0.1</v>
      </c>
      <c r="N71" s="4">
        <f>'件数(合算）'!K72</f>
        <v>0.1</v>
      </c>
      <c r="O71" s="5">
        <f>ROUND('件数(合算）'!P72*'件数(合算）'!K72*$G71,0)</f>
        <v>130</v>
      </c>
      <c r="P71" s="5">
        <f>ROUND('件数(合算）'!Q72*'件数(合算）'!K72*$G71,0)</f>
        <v>130</v>
      </c>
      <c r="Q71" s="5">
        <f>ROUND('件数(合算）'!R72*'件数(合算）'!K72*$G71,0)</f>
        <v>130</v>
      </c>
      <c r="R71" s="5">
        <f>ROUND('件数(合算）'!S72*'件数(合算）'!K72*$G71,0)</f>
        <v>130</v>
      </c>
      <c r="S71" s="5">
        <f>ROUND('件数(合算）'!T72*'件数(合算）'!K72*$G71,0)</f>
        <v>130</v>
      </c>
      <c r="T71" s="5">
        <f>ROUND('件数(合算）'!U72*'件数(合算）'!K72*$G71,0)</f>
        <v>130</v>
      </c>
      <c r="U71" s="5">
        <f>ROUND('件数(合算）'!V72*'件数(合算）'!K72*$G71,0)</f>
        <v>130</v>
      </c>
      <c r="V71" s="5">
        <f>ROUND('件数(合算）'!W72*'件数(合算）'!K72*$G71,0)</f>
        <v>130</v>
      </c>
      <c r="W71" s="5">
        <f>ROUND('件数(合算）'!X72*'件数(合算）'!K72*$G71,0)</f>
        <v>130</v>
      </c>
      <c r="X71" s="5">
        <f>ROUND('件数(合算）'!Y72*'件数(合算）'!K72*$G71,0)</f>
        <v>130</v>
      </c>
      <c r="Y71" s="5">
        <f>ROUND('件数(合算）'!Z72*'件数(合算）'!K72*$G71,0)</f>
        <v>130</v>
      </c>
      <c r="Z71" s="5">
        <f>ROUND('件数(合算）'!AA72*'件数(合算）'!K72*$F71,0)</f>
        <v>130</v>
      </c>
      <c r="AA71" s="5">
        <f>ROUND('件数(合算）'!AB72*'件数(合算）'!K72*$F71,0)</f>
        <v>130</v>
      </c>
      <c r="AB71" s="5">
        <f>ROUND('件数(合算）'!AC72*'件数(合算）'!K72*$F71,0)</f>
        <v>130</v>
      </c>
      <c r="AC71" s="5">
        <f>ROUND('件数(合算）'!AD72*'件数(合算）'!K72*$F71,0)</f>
        <v>130</v>
      </c>
      <c r="AD71" s="5">
        <f>ROUND('件数(合算）'!AE72*'件数(合算）'!K72*$F71,0)</f>
        <v>130</v>
      </c>
      <c r="AE71" s="5">
        <f>ROUND('件数(合算）'!AF72*'件数(合算）'!K72*$F71,0)</f>
        <v>130</v>
      </c>
      <c r="AF71" s="5">
        <f>ROUND('件数(合算）'!AG72*'件数(合算）'!K72*$E71,0)</f>
        <v>130</v>
      </c>
      <c r="AG71" s="5">
        <f>ROUND('件数(合算）'!AH72*'件数(合算）'!K72*$E71,0)</f>
        <v>130</v>
      </c>
      <c r="AH71" s="5">
        <f>ROUND('件数(合算）'!AI72*'件数(合算）'!K72*$E71,0)</f>
        <v>130</v>
      </c>
      <c r="AI71" s="5">
        <f>ROUND('件数(合算）'!AJ72*'件数(合算）'!K72*$E71,0)</f>
        <v>130</v>
      </c>
      <c r="AJ71" s="5">
        <f>ROUND('件数(合算）'!AK72*'件数(合算）'!K72*$E71,0)</f>
        <v>130</v>
      </c>
      <c r="AK71" s="5">
        <f>ROUND('件数(合算）'!AL72*'件数(合算）'!K72*$F71,0)</f>
        <v>130</v>
      </c>
      <c r="AL71" s="5">
        <f>ROUND('件数(合算）'!AM72*'件数(合算）'!K72*$F71,0)</f>
        <v>130</v>
      </c>
      <c r="AM71" s="5">
        <f>ROUND('件数(合算）'!AN72*'件数(合算）'!K72*$E71,0)</f>
        <v>130</v>
      </c>
      <c r="AN71" s="5">
        <f>ROUND('件数(合算）'!AO72*'件数(合算）'!K72*$E71,0)</f>
        <v>130</v>
      </c>
      <c r="AO71" s="5">
        <f>ROUND('件数(合算）'!AP72*'件数(合算）'!K72*$E71,0)</f>
        <v>130</v>
      </c>
      <c r="AP71" s="5">
        <f>ROUND('件数(合算）'!AQ72*'件数(合算）'!K72*$E71,0)</f>
        <v>130</v>
      </c>
      <c r="AQ71" s="5">
        <f>ROUND('件数(合算）'!AR72*'件数(合算）'!K72*$E71,0)</f>
        <v>130</v>
      </c>
      <c r="AR71" s="5">
        <f>ROUND('件数(合算）'!AS72*'件数(合算）'!K72*$E71,0)</f>
        <v>130</v>
      </c>
      <c r="AS71" s="5">
        <f>ROUND('件数(合算）'!AT72*'件数(合算）'!K72*$E71,0)</f>
        <v>130</v>
      </c>
      <c r="AT71" s="5">
        <f>ROUND('件数(合算）'!AU72*'件数(合算）'!K72*$E71,0)</f>
        <v>130</v>
      </c>
      <c r="AU71" s="5">
        <f>ROUND('件数(合算）'!AV72*'件数(合算）'!K72*$E71,0)</f>
        <v>130</v>
      </c>
      <c r="AV71" s="12">
        <f t="shared" ref="AV71:AV102" si="6">SUM(O71:AU71)</f>
        <v>4290</v>
      </c>
    </row>
    <row r="72" spans="1:48" ht="22" customHeight="1">
      <c r="A72" s="34">
        <v>395465</v>
      </c>
      <c r="B72" s="35" t="s">
        <v>169</v>
      </c>
      <c r="C72" s="32"/>
      <c r="D72" s="39"/>
      <c r="E72" s="49">
        <f>'件数(合算）'!E73</f>
        <v>18000</v>
      </c>
      <c r="F72" s="49">
        <f>'件数(合算）'!F73</f>
        <v>18000</v>
      </c>
      <c r="G72" s="49">
        <f>'件数(合算）'!G73</f>
        <v>18000</v>
      </c>
      <c r="K72" s="37">
        <f>'件数(合算）'!K73</f>
        <v>0.25641025641025639</v>
      </c>
      <c r="L72" s="37">
        <f>'件数(合算）'!K73</f>
        <v>0.25641025641025639</v>
      </c>
      <c r="M72" s="37">
        <f>'件数(合算）'!K73</f>
        <v>0.25641025641025639</v>
      </c>
      <c r="N72" s="37">
        <f>'件数(合算）'!K73</f>
        <v>0.25641025641025639</v>
      </c>
      <c r="O72" s="49">
        <f>ROUND('件数(合算）'!P73*'件数(合算）'!K73*$G72,0)</f>
        <v>36923</v>
      </c>
      <c r="P72" s="49">
        <f>ROUND('件数(合算）'!Q73*'件数(合算）'!K73*$G72,0)</f>
        <v>36923</v>
      </c>
      <c r="Q72" s="49">
        <f>ROUND('件数(合算）'!R73*'件数(合算）'!K73*$G72,0)</f>
        <v>36923</v>
      </c>
      <c r="R72" s="49">
        <f>ROUND('件数(合算）'!S73*'件数(合算）'!K73*$G72,0)</f>
        <v>36923</v>
      </c>
      <c r="S72" s="49">
        <f>ROUND('件数(合算）'!T73*'件数(合算）'!K73*$G72,0)</f>
        <v>36923</v>
      </c>
      <c r="T72" s="49">
        <f>ROUND('件数(合算）'!U73*'件数(合算）'!K73*$G72,0)</f>
        <v>36923</v>
      </c>
      <c r="U72" s="49">
        <f>ROUND('件数(合算）'!V73*'件数(合算）'!K73*$G72,0)</f>
        <v>36923</v>
      </c>
      <c r="V72" s="49">
        <f>ROUND('件数(合算）'!W73*'件数(合算）'!K73*$G72,0)</f>
        <v>36923</v>
      </c>
      <c r="W72" s="49">
        <f>ROUND('件数(合算）'!X73*'件数(合算）'!K73*$G72,0)</f>
        <v>50769</v>
      </c>
      <c r="X72" s="49">
        <f>ROUND('件数(合算）'!Y73*'件数(合算）'!K73*$G72,0)</f>
        <v>50769</v>
      </c>
      <c r="Y72" s="49">
        <f>ROUND('件数(合算）'!Z73*'件数(合算）'!K73*$G72,0)</f>
        <v>36923</v>
      </c>
      <c r="Z72" s="49">
        <f>ROUND('件数(合算）'!AA73*'件数(合算）'!K73*$F72,0)</f>
        <v>13846</v>
      </c>
      <c r="AA72" s="49">
        <f>ROUND('件数(合算）'!AB73*'件数(合算）'!K73*$F72,0)</f>
        <v>13846</v>
      </c>
      <c r="AB72" s="49">
        <f>ROUND('件数(合算）'!AC73*'件数(合算）'!K73*$F72,0)</f>
        <v>13846</v>
      </c>
      <c r="AC72" s="49">
        <f>ROUND('件数(合算）'!AD73*'件数(合算）'!K73*$F72,0)</f>
        <v>13846</v>
      </c>
      <c r="AD72" s="49">
        <f>ROUND('件数(合算）'!AE73*'件数(合算）'!K73*$F72,0)</f>
        <v>13846</v>
      </c>
      <c r="AE72" s="49">
        <f>ROUND('件数(合算）'!AF73*'件数(合算）'!K73*$F72,0)</f>
        <v>13846</v>
      </c>
      <c r="AF72" s="49">
        <f>ROUND('件数(合算）'!AG73*'件数(合算）'!K73*$E72,0)</f>
        <v>13846</v>
      </c>
      <c r="AG72" s="49">
        <f>ROUND('件数(合算）'!AH73*'件数(合算）'!K73*$E72,0)</f>
        <v>13846</v>
      </c>
      <c r="AH72" s="49">
        <f>ROUND('件数(合算）'!AI73*'件数(合算）'!K73*$E72,0)</f>
        <v>13846</v>
      </c>
      <c r="AI72" s="49">
        <f>ROUND('件数(合算）'!AJ73*'件数(合算）'!K73*$E72,0)</f>
        <v>13846</v>
      </c>
      <c r="AJ72" s="49">
        <f>ROUND('件数(合算）'!AK73*'件数(合算）'!K73*$E72,0)</f>
        <v>13846</v>
      </c>
      <c r="AK72" s="49">
        <f>ROUND('件数(合算）'!AL73*'件数(合算）'!K73*$F72,0)</f>
        <v>13846</v>
      </c>
      <c r="AL72" s="49">
        <f>ROUND('件数(合算）'!AM73*'件数(合算）'!K73*$F72,0)</f>
        <v>13846</v>
      </c>
      <c r="AM72" s="49">
        <f>ROUND('件数(合算）'!AN73*'件数(合算）'!K73*$E72,0)</f>
        <v>13846</v>
      </c>
      <c r="AN72" s="49">
        <f>ROUND('件数(合算）'!AO73*'件数(合算）'!K73*$E72,0)</f>
        <v>13846</v>
      </c>
      <c r="AO72" s="49">
        <f>ROUND('件数(合算）'!AP73*'件数(合算）'!K73*$E72,0)</f>
        <v>13846</v>
      </c>
      <c r="AP72" s="49">
        <f>ROUND('件数(合算）'!AQ73*'件数(合算）'!K73*$E72,0)</f>
        <v>13846</v>
      </c>
      <c r="AQ72" s="49">
        <f>ROUND('件数(合算）'!AR73*'件数(合算）'!K73*$E72,0)</f>
        <v>13846</v>
      </c>
      <c r="AR72" s="49">
        <f>ROUND('件数(合算）'!AS73*'件数(合算）'!K73*$E72,0)</f>
        <v>13846</v>
      </c>
      <c r="AS72" s="49">
        <f>ROUND('件数(合算）'!AT73*'件数(合算）'!K73*$E72,0)</f>
        <v>13846</v>
      </c>
      <c r="AT72" s="49">
        <f>ROUND('件数(合算）'!AU73*'件数(合算）'!K73*$E72,0)</f>
        <v>9231</v>
      </c>
      <c r="AU72" s="49">
        <f>ROUND('件数(合算）'!AV73*'件数(合算）'!K73*$E72,0)</f>
        <v>9231</v>
      </c>
      <c r="AV72" s="12">
        <f t="shared" si="6"/>
        <v>729227</v>
      </c>
    </row>
    <row r="73" spans="1:48" ht="22" customHeight="1">
      <c r="A73" s="26">
        <v>1695</v>
      </c>
      <c r="B73" s="27" t="s">
        <v>170</v>
      </c>
      <c r="C73" s="25" t="s">
        <v>212</v>
      </c>
      <c r="D73" s="9"/>
      <c r="E73" s="5">
        <f>'件数(合算）'!E74</f>
        <v>9000</v>
      </c>
      <c r="F73" s="5">
        <f>'件数(合算）'!F74</f>
        <v>9000</v>
      </c>
      <c r="G73" s="5">
        <f>'件数(合算）'!G74</f>
        <v>11000</v>
      </c>
      <c r="K73" s="4">
        <f>'件数(合算）'!K74</f>
        <v>0.1</v>
      </c>
      <c r="L73" s="4">
        <f>'件数(合算）'!K74</f>
        <v>0.1</v>
      </c>
      <c r="M73" s="4">
        <f>'件数(合算）'!K74</f>
        <v>0.1</v>
      </c>
      <c r="N73" s="4">
        <f>'件数(合算）'!K74</f>
        <v>0.1</v>
      </c>
      <c r="O73" s="5">
        <f>ROUND('件数(合算）'!P74*'件数(合算）'!K74*$G73,0)</f>
        <v>0</v>
      </c>
      <c r="P73" s="5">
        <f>ROUND('件数(合算）'!Q74*'件数(合算）'!K74*$G73,0)</f>
        <v>2200</v>
      </c>
      <c r="Q73" s="5">
        <f>ROUND('件数(合算）'!R74*'件数(合算）'!K74*$G73,0)</f>
        <v>2200</v>
      </c>
      <c r="R73" s="5">
        <f>ROUND('件数(合算）'!S74*'件数(合算）'!K74*$G73,0)</f>
        <v>0</v>
      </c>
      <c r="S73" s="5">
        <f>ROUND('件数(合算）'!T74*'件数(合算）'!K74*$G73,0)</f>
        <v>0</v>
      </c>
      <c r="T73" s="5">
        <f>ROUND('件数(合算）'!U74*'件数(合算）'!K74*$G73,0)</f>
        <v>0</v>
      </c>
      <c r="U73" s="5">
        <f>ROUND('件数(合算）'!V74*'件数(合算）'!K74*$G73,0)</f>
        <v>0</v>
      </c>
      <c r="V73" s="5">
        <f>ROUND('件数(合算）'!W74*'件数(合算）'!K74*$G73,0)</f>
        <v>0</v>
      </c>
      <c r="W73" s="5">
        <f>ROUND('件数(合算）'!X74*'件数(合算）'!K74*$G73,0)</f>
        <v>2200</v>
      </c>
      <c r="X73" s="5">
        <f>ROUND('件数(合算）'!Y74*'件数(合算）'!K74*$G73,0)</f>
        <v>0</v>
      </c>
      <c r="Y73" s="5">
        <f>ROUND('件数(合算）'!Z74*'件数(合算）'!K74*$G73,0)</f>
        <v>0</v>
      </c>
      <c r="Z73" s="5">
        <f>ROUND('件数(合算）'!AA74*'件数(合算）'!K74*$F73,0)</f>
        <v>0</v>
      </c>
      <c r="AA73" s="5">
        <f>ROUND('件数(合算）'!AB74*'件数(合算）'!K74*$F73,0)</f>
        <v>0</v>
      </c>
      <c r="AB73" s="5">
        <f>ROUND('件数(合算）'!AC74*'件数(合算）'!K74*$F73,0)</f>
        <v>0</v>
      </c>
      <c r="AC73" s="5">
        <f>ROUND('件数(合算）'!AD74*'件数(合算）'!K74*$F73,0)</f>
        <v>0</v>
      </c>
      <c r="AD73" s="5">
        <f>ROUND('件数(合算）'!AE74*'件数(合算）'!K74*$F73,0)</f>
        <v>0</v>
      </c>
      <c r="AE73" s="5">
        <f>ROUND('件数(合算）'!AF74*'件数(合算）'!K74*$F73,0)</f>
        <v>0</v>
      </c>
      <c r="AF73" s="5">
        <f>ROUND('件数(合算）'!AG74*'件数(合算）'!K74*$E73,0)</f>
        <v>0</v>
      </c>
      <c r="AG73" s="5">
        <f>ROUND('件数(合算）'!AH74*'件数(合算）'!K74*$E73,0)</f>
        <v>0</v>
      </c>
      <c r="AH73" s="5">
        <f>ROUND('件数(合算）'!AI74*'件数(合算）'!K74*$E73,0)</f>
        <v>0</v>
      </c>
      <c r="AI73" s="5">
        <f>ROUND('件数(合算）'!AJ74*'件数(合算）'!K74*$E73,0)</f>
        <v>0</v>
      </c>
      <c r="AJ73" s="5">
        <f>ROUND('件数(合算）'!AK74*'件数(合算）'!K74*$E73,0)</f>
        <v>0</v>
      </c>
      <c r="AK73" s="5">
        <f>ROUND('件数(合算）'!AL74*'件数(合算）'!K74*$F73,0)</f>
        <v>0</v>
      </c>
      <c r="AL73" s="5">
        <f>ROUND('件数(合算）'!AM74*'件数(合算）'!K74*$F73,0)</f>
        <v>0</v>
      </c>
      <c r="AM73" s="5">
        <f>ROUND('件数(合算）'!AN74*'件数(合算）'!K74*$E73,0)</f>
        <v>0</v>
      </c>
      <c r="AN73" s="5">
        <f>ROUND('件数(合算）'!AO74*'件数(合算）'!K74*$E73,0)</f>
        <v>0</v>
      </c>
      <c r="AO73" s="5">
        <f>ROUND('件数(合算）'!AP74*'件数(合算）'!K74*$E73,0)</f>
        <v>0</v>
      </c>
      <c r="AP73" s="5">
        <f>ROUND('件数(合算）'!AQ74*'件数(合算）'!K74*$E73,0)</f>
        <v>0</v>
      </c>
      <c r="AQ73" s="5">
        <f>ROUND('件数(合算）'!AR74*'件数(合算）'!K74*$E73,0)</f>
        <v>0</v>
      </c>
      <c r="AR73" s="5">
        <f>ROUND('件数(合算）'!AS74*'件数(合算）'!K74*$E73,0)</f>
        <v>0</v>
      </c>
      <c r="AS73" s="5">
        <f>ROUND('件数(合算）'!AT74*'件数(合算）'!K74*$E73,0)</f>
        <v>0</v>
      </c>
      <c r="AT73" s="5">
        <f>ROUND('件数(合算）'!AU74*'件数(合算）'!K74*$E73,0)</f>
        <v>0</v>
      </c>
      <c r="AU73" s="5">
        <f>ROUND('件数(合算）'!AV74*'件数(合算）'!K74*$E73,0)</f>
        <v>0</v>
      </c>
      <c r="AV73" s="12">
        <f t="shared" si="6"/>
        <v>6600</v>
      </c>
    </row>
    <row r="74" spans="1:48" ht="22" customHeight="1">
      <c r="A74" s="34">
        <v>33077</v>
      </c>
      <c r="B74" s="35" t="s">
        <v>171</v>
      </c>
      <c r="C74" s="32" t="s">
        <v>212</v>
      </c>
      <c r="D74" s="39"/>
      <c r="E74" s="49">
        <f>'件数(合算）'!E75</f>
        <v>9000</v>
      </c>
      <c r="F74" s="49">
        <f>'件数(合算）'!F75</f>
        <v>9000</v>
      </c>
      <c r="G74" s="49">
        <f>'件数(合算）'!G75</f>
        <v>13000</v>
      </c>
      <c r="K74" s="37">
        <f>'件数(合算）'!K75</f>
        <v>0.1785714285714286</v>
      </c>
      <c r="L74" s="37">
        <f>'件数(合算）'!K75</f>
        <v>0.1785714285714286</v>
      </c>
      <c r="M74" s="37">
        <f>'件数(合算）'!K75</f>
        <v>0.1785714285714286</v>
      </c>
      <c r="N74" s="37">
        <f>'件数(合算）'!K75</f>
        <v>0.1785714285714286</v>
      </c>
      <c r="O74" s="49">
        <f>ROUND('件数(合算）'!P75*'件数(合算）'!K75*$G74,0)</f>
        <v>0</v>
      </c>
      <c r="P74" s="49">
        <f>ROUND('件数(合算）'!Q75*'件数(合算）'!K75*$G74,0)</f>
        <v>4643</v>
      </c>
      <c r="Q74" s="49">
        <f>ROUND('件数(合算）'!R75*'件数(合算）'!K75*$G74,0)</f>
        <v>0</v>
      </c>
      <c r="R74" s="49">
        <f>ROUND('件数(合算）'!S75*'件数(合算）'!K75*$G74,0)</f>
        <v>0</v>
      </c>
      <c r="S74" s="49">
        <f>ROUND('件数(合算）'!T75*'件数(合算）'!K75*$G74,0)</f>
        <v>0</v>
      </c>
      <c r="T74" s="49">
        <f>ROUND('件数(合算）'!U75*'件数(合算）'!K75*$G74,0)</f>
        <v>0</v>
      </c>
      <c r="U74" s="49">
        <f>ROUND('件数(合算）'!V75*'件数(合算）'!K75*$G74,0)</f>
        <v>0</v>
      </c>
      <c r="V74" s="49">
        <f>ROUND('件数(合算）'!W75*'件数(合算）'!K75*$G74,0)</f>
        <v>0</v>
      </c>
      <c r="W74" s="49">
        <f>ROUND('件数(合算）'!X75*'件数(合算）'!K75*$G74,0)</f>
        <v>4643</v>
      </c>
      <c r="X74" s="49">
        <f>ROUND('件数(合算）'!Y75*'件数(合算）'!K75*$G74,0)</f>
        <v>0</v>
      </c>
      <c r="Y74" s="49">
        <f>ROUND('件数(合算）'!Z75*'件数(合算）'!K75*$G74,0)</f>
        <v>0</v>
      </c>
      <c r="Z74" s="49">
        <f>ROUND('件数(合算）'!AA75*'件数(合算）'!K75*$F74,0)</f>
        <v>0</v>
      </c>
      <c r="AA74" s="49">
        <f>ROUND('件数(合算）'!AB75*'件数(合算）'!K75*$F74,0)</f>
        <v>0</v>
      </c>
      <c r="AB74" s="49">
        <f>ROUND('件数(合算）'!AC75*'件数(合算）'!K75*$F74,0)</f>
        <v>0</v>
      </c>
      <c r="AC74" s="49">
        <f>ROUND('件数(合算）'!AD75*'件数(合算）'!K75*$F74,0)</f>
        <v>0</v>
      </c>
      <c r="AD74" s="49">
        <f>ROUND('件数(合算）'!AE75*'件数(合算）'!K75*$F74,0)</f>
        <v>0</v>
      </c>
      <c r="AE74" s="49">
        <f>ROUND('件数(合算）'!AF75*'件数(合算）'!K75*$F74,0)</f>
        <v>0</v>
      </c>
      <c r="AF74" s="49">
        <f>ROUND('件数(合算）'!AG75*'件数(合算）'!K75*$E74,0)</f>
        <v>0</v>
      </c>
      <c r="AG74" s="49">
        <f>ROUND('件数(合算）'!AH75*'件数(合算）'!K75*$E74,0)</f>
        <v>0</v>
      </c>
      <c r="AH74" s="49">
        <f>ROUND('件数(合算）'!AI75*'件数(合算）'!K75*$E74,0)</f>
        <v>0</v>
      </c>
      <c r="AI74" s="49">
        <f>ROUND('件数(合算）'!AJ75*'件数(合算）'!K75*$E74,0)</f>
        <v>0</v>
      </c>
      <c r="AJ74" s="49">
        <f>ROUND('件数(合算）'!AK75*'件数(合算）'!K75*$E74,0)</f>
        <v>0</v>
      </c>
      <c r="AK74" s="49">
        <f>ROUND('件数(合算）'!AL75*'件数(合算）'!K75*$F74,0)</f>
        <v>0</v>
      </c>
      <c r="AL74" s="49">
        <f>ROUND('件数(合算）'!AM75*'件数(合算）'!K75*$F74,0)</f>
        <v>0</v>
      </c>
      <c r="AM74" s="49">
        <f>ROUND('件数(合算）'!AN75*'件数(合算）'!K75*$E74,0)</f>
        <v>0</v>
      </c>
      <c r="AN74" s="49">
        <f>ROUND('件数(合算）'!AO75*'件数(合算）'!K75*$E74,0)</f>
        <v>0</v>
      </c>
      <c r="AO74" s="49">
        <f>ROUND('件数(合算）'!AP75*'件数(合算）'!K75*$E74,0)</f>
        <v>0</v>
      </c>
      <c r="AP74" s="49">
        <f>ROUND('件数(合算）'!AQ75*'件数(合算）'!K75*$E74,0)</f>
        <v>0</v>
      </c>
      <c r="AQ74" s="49">
        <f>ROUND('件数(合算）'!AR75*'件数(合算）'!K75*$E74,0)</f>
        <v>0</v>
      </c>
      <c r="AR74" s="49">
        <f>ROUND('件数(合算）'!AS75*'件数(合算）'!K75*$E74,0)</f>
        <v>0</v>
      </c>
      <c r="AS74" s="49">
        <f>ROUND('件数(合算）'!AT75*'件数(合算）'!K75*$E74,0)</f>
        <v>0</v>
      </c>
      <c r="AT74" s="49">
        <f>ROUND('件数(合算）'!AU75*'件数(合算）'!K75*$E74,0)</f>
        <v>0</v>
      </c>
      <c r="AU74" s="49">
        <f>ROUND('件数(合算）'!AV75*'件数(合算）'!K75*$E74,0)</f>
        <v>0</v>
      </c>
      <c r="AV74" s="12">
        <f t="shared" si="6"/>
        <v>9286</v>
      </c>
    </row>
    <row r="75" spans="1:48" ht="22" customHeight="1">
      <c r="A75" s="26">
        <v>74401</v>
      </c>
      <c r="B75" s="27" t="s">
        <v>172</v>
      </c>
      <c r="C75" s="25" t="s">
        <v>212</v>
      </c>
      <c r="D75" s="9"/>
      <c r="E75" s="5">
        <f>'件数(合算）'!E76</f>
        <v>9000</v>
      </c>
      <c r="F75" s="5">
        <f>'件数(合算）'!F76</f>
        <v>9000</v>
      </c>
      <c r="G75" s="5">
        <f>'件数(合算）'!G76</f>
        <v>13000</v>
      </c>
      <c r="K75" s="4">
        <f>'件数(合算）'!K76</f>
        <v>3.3333333333333333E-2</v>
      </c>
      <c r="L75" s="4">
        <f>'件数(合算）'!K76</f>
        <v>3.3333333333333333E-2</v>
      </c>
      <c r="M75" s="4">
        <f>'件数(合算）'!K76</f>
        <v>3.3333333333333333E-2</v>
      </c>
      <c r="N75" s="4">
        <f>'件数(合算）'!K76</f>
        <v>3.3333333333333333E-2</v>
      </c>
      <c r="O75" s="5">
        <f>ROUND('件数(合算）'!P76*'件数(合算）'!K76*$G75,0)</f>
        <v>0</v>
      </c>
      <c r="P75" s="5">
        <f>ROUND('件数(合算）'!Q76*'件数(合算）'!K76*$G75,0)</f>
        <v>0</v>
      </c>
      <c r="Q75" s="5">
        <f>ROUND('件数(合算）'!R76*'件数(合算）'!K76*$G75,0)</f>
        <v>867</v>
      </c>
      <c r="R75" s="5">
        <f>ROUND('件数(合算）'!S76*'件数(合算）'!K76*$G75,0)</f>
        <v>0</v>
      </c>
      <c r="S75" s="5">
        <f>ROUND('件数(合算）'!T76*'件数(合算）'!K76*$G75,0)</f>
        <v>0</v>
      </c>
      <c r="T75" s="5">
        <f>ROUND('件数(合算）'!U76*'件数(合算）'!K76*$G75,0)</f>
        <v>0</v>
      </c>
      <c r="U75" s="5">
        <f>ROUND('件数(合算）'!V76*'件数(合算）'!K76*$G75,0)</f>
        <v>0</v>
      </c>
      <c r="V75" s="5">
        <f>ROUND('件数(合算）'!W76*'件数(合算）'!K76*$G75,0)</f>
        <v>0</v>
      </c>
      <c r="W75" s="5">
        <f>ROUND('件数(合算）'!X76*'件数(合算）'!K76*$G75,0)</f>
        <v>0</v>
      </c>
      <c r="X75" s="5">
        <f>ROUND('件数(合算）'!Y76*'件数(合算）'!K76*$G75,0)</f>
        <v>0</v>
      </c>
      <c r="Y75" s="5">
        <f>ROUND('件数(合算）'!Z76*'件数(合算）'!K76*$G75,0)</f>
        <v>0</v>
      </c>
      <c r="Z75" s="5">
        <f>ROUND('件数(合算）'!AA76*'件数(合算）'!K76*$F75,0)</f>
        <v>0</v>
      </c>
      <c r="AA75" s="5">
        <f>ROUND('件数(合算）'!AB76*'件数(合算）'!K76*$F75,0)</f>
        <v>0</v>
      </c>
      <c r="AB75" s="5">
        <f>ROUND('件数(合算）'!AC76*'件数(合算）'!K76*$F75,0)</f>
        <v>0</v>
      </c>
      <c r="AC75" s="5">
        <f>ROUND('件数(合算）'!AD76*'件数(合算）'!K76*$F75,0)</f>
        <v>0</v>
      </c>
      <c r="AD75" s="5">
        <f>ROUND('件数(合算）'!AE76*'件数(合算）'!K76*$F75,0)</f>
        <v>0</v>
      </c>
      <c r="AE75" s="5">
        <f>ROUND('件数(合算）'!AF76*'件数(合算）'!K76*$F75,0)</f>
        <v>0</v>
      </c>
      <c r="AF75" s="5">
        <f>ROUND('件数(合算）'!AG76*'件数(合算）'!K76*$E75,0)</f>
        <v>0</v>
      </c>
      <c r="AG75" s="5">
        <f>ROUND('件数(合算）'!AH76*'件数(合算）'!K76*$E75,0)</f>
        <v>0</v>
      </c>
      <c r="AH75" s="5">
        <f>ROUND('件数(合算）'!AI76*'件数(合算）'!K76*$E75,0)</f>
        <v>0</v>
      </c>
      <c r="AI75" s="5">
        <f>ROUND('件数(合算）'!AJ76*'件数(合算）'!K76*$E75,0)</f>
        <v>0</v>
      </c>
      <c r="AJ75" s="5">
        <f>ROUND('件数(合算）'!AK76*'件数(合算）'!K76*$E75,0)</f>
        <v>0</v>
      </c>
      <c r="AK75" s="5">
        <f>ROUND('件数(合算）'!AL76*'件数(合算）'!K76*$F75,0)</f>
        <v>0</v>
      </c>
      <c r="AL75" s="5">
        <f>ROUND('件数(合算）'!AM76*'件数(合算）'!K76*$F75,0)</f>
        <v>0</v>
      </c>
      <c r="AM75" s="5">
        <f>ROUND('件数(合算）'!AN76*'件数(合算）'!K76*$E75,0)</f>
        <v>0</v>
      </c>
      <c r="AN75" s="5">
        <f>ROUND('件数(合算）'!AO76*'件数(合算）'!K76*$E75,0)</f>
        <v>0</v>
      </c>
      <c r="AO75" s="5">
        <f>ROUND('件数(合算）'!AP76*'件数(合算）'!K76*$E75,0)</f>
        <v>0</v>
      </c>
      <c r="AP75" s="5">
        <f>ROUND('件数(合算）'!AQ76*'件数(合算）'!K76*$E75,0)</f>
        <v>0</v>
      </c>
      <c r="AQ75" s="5">
        <f>ROUND('件数(合算）'!AR76*'件数(合算）'!K76*$E75,0)</f>
        <v>0</v>
      </c>
      <c r="AR75" s="5">
        <f>ROUND('件数(合算）'!AS76*'件数(合算）'!K76*$E75,0)</f>
        <v>0</v>
      </c>
      <c r="AS75" s="5">
        <f>ROUND('件数(合算）'!AT76*'件数(合算）'!K76*$E75,0)</f>
        <v>0</v>
      </c>
      <c r="AT75" s="5">
        <f>ROUND('件数(合算）'!AU76*'件数(合算）'!K76*$E75,0)</f>
        <v>0</v>
      </c>
      <c r="AU75" s="5">
        <f>ROUND('件数(合算）'!AV76*'件数(合算）'!K76*$E75,0)</f>
        <v>0</v>
      </c>
      <c r="AV75" s="12">
        <f t="shared" si="6"/>
        <v>867</v>
      </c>
    </row>
    <row r="76" spans="1:48" ht="22" customHeight="1">
      <c r="A76" s="34">
        <v>129217</v>
      </c>
      <c r="B76" s="35" t="s">
        <v>173</v>
      </c>
      <c r="C76" s="32"/>
      <c r="D76" s="39"/>
      <c r="E76" s="49">
        <f>'件数(合算）'!E77</f>
        <v>9000</v>
      </c>
      <c r="F76" s="49">
        <f>'件数(合算）'!F77</f>
        <v>9000</v>
      </c>
      <c r="G76" s="49">
        <f>'件数(合算）'!G77</f>
        <v>14000</v>
      </c>
      <c r="K76" s="37">
        <f>'件数(合算）'!K77</f>
        <v>6.8965517241379309E-2</v>
      </c>
      <c r="L76" s="37">
        <f>'件数(合算）'!K77</f>
        <v>6.8965517241379309E-2</v>
      </c>
      <c r="M76" s="37">
        <f>'件数(合算）'!K77</f>
        <v>6.8965517241379309E-2</v>
      </c>
      <c r="N76" s="37">
        <f>'件数(合算）'!K77</f>
        <v>6.8965517241379309E-2</v>
      </c>
      <c r="O76" s="49">
        <f>ROUND('件数(合算）'!P77*'件数(合算）'!K77*$G76,0)</f>
        <v>0</v>
      </c>
      <c r="P76" s="49">
        <f>ROUND('件数(合算）'!Q77*'件数(合算）'!K77*$G76,0)</f>
        <v>0</v>
      </c>
      <c r="Q76" s="49">
        <f>ROUND('件数(合算）'!R77*'件数(合算）'!K77*$G76,0)</f>
        <v>0</v>
      </c>
      <c r="R76" s="49">
        <f>ROUND('件数(合算）'!S77*'件数(合算）'!K77*$G76,0)</f>
        <v>0</v>
      </c>
      <c r="S76" s="49">
        <f>ROUND('件数(合算）'!T77*'件数(合算）'!K77*$G76,0)</f>
        <v>0</v>
      </c>
      <c r="T76" s="49">
        <f>ROUND('件数(合算）'!U77*'件数(合算）'!K77*$G76,0)</f>
        <v>0</v>
      </c>
      <c r="U76" s="49">
        <f>ROUND('件数(合算）'!V77*'件数(合算）'!K77*$G76,0)</f>
        <v>0</v>
      </c>
      <c r="V76" s="49">
        <f>ROUND('件数(合算）'!W77*'件数(合算）'!K77*$G76,0)</f>
        <v>0</v>
      </c>
      <c r="W76" s="49">
        <f>ROUND('件数(合算）'!X77*'件数(合算）'!K77*$G76,0)</f>
        <v>0</v>
      </c>
      <c r="X76" s="49">
        <f>ROUND('件数(合算）'!Y77*'件数(合算）'!K77*$G76,0)</f>
        <v>0</v>
      </c>
      <c r="Y76" s="49">
        <f>ROUND('件数(合算）'!Z77*'件数(合算）'!K77*$G76,0)</f>
        <v>0</v>
      </c>
      <c r="Z76" s="49">
        <f>ROUND('件数(合算）'!AA77*'件数(合算）'!K77*$F76,0)</f>
        <v>0</v>
      </c>
      <c r="AA76" s="49">
        <f>ROUND('件数(合算）'!AB77*'件数(合算）'!K77*$F76,0)</f>
        <v>0</v>
      </c>
      <c r="AB76" s="49">
        <f>ROUND('件数(合算）'!AC77*'件数(合算）'!K77*$F76,0)</f>
        <v>0</v>
      </c>
      <c r="AC76" s="49">
        <f>ROUND('件数(合算）'!AD77*'件数(合算）'!K77*$F76,0)</f>
        <v>0</v>
      </c>
      <c r="AD76" s="49">
        <f>ROUND('件数(合算）'!AE77*'件数(合算）'!K77*$F76,0)</f>
        <v>0</v>
      </c>
      <c r="AE76" s="49">
        <f>ROUND('件数(合算）'!AF77*'件数(合算）'!K77*$F76,0)</f>
        <v>0</v>
      </c>
      <c r="AF76" s="49">
        <f>ROUND('件数(合算）'!AG77*'件数(合算）'!K77*$E76,0)</f>
        <v>0</v>
      </c>
      <c r="AG76" s="49">
        <f>ROUND('件数(合算）'!AH77*'件数(合算）'!K77*$E76,0)</f>
        <v>0</v>
      </c>
      <c r="AH76" s="49">
        <f>ROUND('件数(合算）'!AI77*'件数(合算）'!K77*$E76,0)</f>
        <v>0</v>
      </c>
      <c r="AI76" s="49">
        <f>ROUND('件数(合算）'!AJ77*'件数(合算）'!K77*$E76,0)</f>
        <v>0</v>
      </c>
      <c r="AJ76" s="49">
        <f>ROUND('件数(合算）'!AK77*'件数(合算）'!K77*$E76,0)</f>
        <v>0</v>
      </c>
      <c r="AK76" s="49">
        <f>ROUND('件数(合算）'!AL77*'件数(合算）'!K77*$F76,0)</f>
        <v>0</v>
      </c>
      <c r="AL76" s="49">
        <f>ROUND('件数(合算）'!AM77*'件数(合算）'!K77*$F76,0)</f>
        <v>0</v>
      </c>
      <c r="AM76" s="49">
        <f>ROUND('件数(合算）'!AN77*'件数(合算）'!K77*$E76,0)</f>
        <v>0</v>
      </c>
      <c r="AN76" s="49">
        <f>ROUND('件数(合算）'!AO77*'件数(合算）'!K77*$E76,0)</f>
        <v>0</v>
      </c>
      <c r="AO76" s="49">
        <f>ROUND('件数(合算）'!AP77*'件数(合算）'!K77*$E76,0)</f>
        <v>0</v>
      </c>
      <c r="AP76" s="49">
        <f>ROUND('件数(合算）'!AQ77*'件数(合算）'!K77*$E76,0)</f>
        <v>0</v>
      </c>
      <c r="AQ76" s="49">
        <f>ROUND('件数(合算）'!AR77*'件数(合算）'!K77*$E76,0)</f>
        <v>0</v>
      </c>
      <c r="AR76" s="49">
        <f>ROUND('件数(合算）'!AS77*'件数(合算）'!K77*$E76,0)</f>
        <v>621</v>
      </c>
      <c r="AS76" s="49">
        <f>ROUND('件数(合算）'!AT77*'件数(合算）'!K77*$E76,0)</f>
        <v>621</v>
      </c>
      <c r="AT76" s="49">
        <f>ROUND('件数(合算）'!AU77*'件数(合算）'!K77*$E76,0)</f>
        <v>0</v>
      </c>
      <c r="AU76" s="49">
        <f>ROUND('件数(合算）'!AV77*'件数(合算）'!K77*$E76,0)</f>
        <v>0</v>
      </c>
      <c r="AV76" s="12">
        <f t="shared" si="6"/>
        <v>1242</v>
      </c>
    </row>
    <row r="77" spans="1:48" ht="22" customHeight="1">
      <c r="A77" s="26">
        <v>135749</v>
      </c>
      <c r="B77" s="27" t="s">
        <v>174</v>
      </c>
      <c r="C77" s="25" t="s">
        <v>212</v>
      </c>
      <c r="D77" s="9"/>
      <c r="E77" s="5">
        <f>'件数(合算）'!E78</f>
        <v>9000</v>
      </c>
      <c r="F77" s="5">
        <f>'件数(合算）'!F78</f>
        <v>9000</v>
      </c>
      <c r="G77" s="5">
        <f>'件数(合算）'!G78</f>
        <v>12000</v>
      </c>
      <c r="K77" s="4">
        <f>'件数(合算）'!K78</f>
        <v>0.1</v>
      </c>
      <c r="L77" s="4">
        <f>'件数(合算）'!K78</f>
        <v>0.1</v>
      </c>
      <c r="M77" s="4">
        <f>'件数(合算）'!K78</f>
        <v>0.1</v>
      </c>
      <c r="N77" s="4">
        <f>'件数(合算）'!K78</f>
        <v>0.1</v>
      </c>
      <c r="O77" s="5">
        <f>ROUND('件数(合算）'!P78*'件数(合算）'!K78*$G77,0)</f>
        <v>0</v>
      </c>
      <c r="P77" s="5">
        <f>ROUND('件数(合算）'!Q78*'件数(合算）'!K78*$G77,0)</f>
        <v>0</v>
      </c>
      <c r="Q77" s="5">
        <f>ROUND('件数(合算）'!R78*'件数(合算）'!K78*$G77,0)</f>
        <v>0</v>
      </c>
      <c r="R77" s="5">
        <f>ROUND('件数(合算）'!S78*'件数(合算）'!K78*$G77,0)</f>
        <v>0</v>
      </c>
      <c r="S77" s="5">
        <f>ROUND('件数(合算）'!T78*'件数(合算）'!K78*$G77,0)</f>
        <v>0</v>
      </c>
      <c r="T77" s="5">
        <f>ROUND('件数(合算）'!U78*'件数(合算）'!K78*$G77,0)</f>
        <v>0</v>
      </c>
      <c r="U77" s="5">
        <f>ROUND('件数(合算）'!V78*'件数(合算）'!K78*$G77,0)</f>
        <v>0</v>
      </c>
      <c r="V77" s="5">
        <f>ROUND('件数(合算）'!W78*'件数(合算）'!K78*$G77,0)</f>
        <v>0</v>
      </c>
      <c r="W77" s="5">
        <f>ROUND('件数(合算）'!X78*'件数(合算）'!K78*$G77,0)</f>
        <v>0</v>
      </c>
      <c r="X77" s="5">
        <f>ROUND('件数(合算）'!Y78*'件数(合算）'!K78*$G77,0)</f>
        <v>0</v>
      </c>
      <c r="Y77" s="5">
        <f>ROUND('件数(合算）'!Z78*'件数(合算）'!K78*$G77,0)</f>
        <v>0</v>
      </c>
      <c r="Z77" s="5">
        <f>ROUND('件数(合算）'!AA78*'件数(合算）'!K78*$F77,0)</f>
        <v>0</v>
      </c>
      <c r="AA77" s="5">
        <f>ROUND('件数(合算）'!AB78*'件数(合算）'!K78*$F77,0)</f>
        <v>0</v>
      </c>
      <c r="AB77" s="5">
        <f>ROUND('件数(合算）'!AC78*'件数(合算）'!K78*$F77,0)</f>
        <v>0</v>
      </c>
      <c r="AC77" s="5">
        <f>ROUND('件数(合算）'!AD78*'件数(合算）'!K78*$F77,0)</f>
        <v>0</v>
      </c>
      <c r="AD77" s="5">
        <f>ROUND('件数(合算）'!AE78*'件数(合算）'!K78*$F77,0)</f>
        <v>0</v>
      </c>
      <c r="AE77" s="5">
        <f>ROUND('件数(合算）'!AF78*'件数(合算）'!K78*$F77,0)</f>
        <v>0</v>
      </c>
      <c r="AF77" s="5">
        <f>ROUND('件数(合算）'!AG78*'件数(合算）'!K78*$E77,0)</f>
        <v>0</v>
      </c>
      <c r="AG77" s="5">
        <f>ROUND('件数(合算）'!AH78*'件数(合算）'!K78*$E77,0)</f>
        <v>0</v>
      </c>
      <c r="AH77" s="5">
        <f>ROUND('件数(合算）'!AI78*'件数(合算）'!K78*$E77,0)</f>
        <v>0</v>
      </c>
      <c r="AI77" s="5">
        <f>ROUND('件数(合算）'!AJ78*'件数(合算）'!K78*$E77,0)</f>
        <v>0</v>
      </c>
      <c r="AJ77" s="5">
        <f>ROUND('件数(合算）'!AK78*'件数(合算）'!K78*$E77,0)</f>
        <v>0</v>
      </c>
      <c r="AK77" s="5">
        <f>ROUND('件数(合算）'!AL78*'件数(合算）'!K78*$F77,0)</f>
        <v>0</v>
      </c>
      <c r="AL77" s="5">
        <f>ROUND('件数(合算）'!AM78*'件数(合算）'!K78*$F77,0)</f>
        <v>0</v>
      </c>
      <c r="AM77" s="5">
        <f>ROUND('件数(合算）'!AN78*'件数(合算）'!K78*$E77,0)</f>
        <v>0</v>
      </c>
      <c r="AN77" s="5">
        <f>ROUND('件数(合算）'!AO78*'件数(合算）'!K78*$E77,0)</f>
        <v>0</v>
      </c>
      <c r="AO77" s="5">
        <f>ROUND('件数(合算）'!AP78*'件数(合算）'!K78*$E77,0)</f>
        <v>0</v>
      </c>
      <c r="AP77" s="5">
        <f>ROUND('件数(合算）'!AQ78*'件数(合算）'!K78*$E77,0)</f>
        <v>0</v>
      </c>
      <c r="AQ77" s="5">
        <f>ROUND('件数(合算）'!AR78*'件数(合算）'!K78*$E77,0)</f>
        <v>0</v>
      </c>
      <c r="AR77" s="5">
        <f>ROUND('件数(合算）'!AS78*'件数(合算）'!K78*$E77,0)</f>
        <v>900</v>
      </c>
      <c r="AS77" s="5">
        <f>ROUND('件数(合算）'!AT78*'件数(合算）'!K78*$E77,0)</f>
        <v>900</v>
      </c>
      <c r="AT77" s="5">
        <f>ROUND('件数(合算）'!AU78*'件数(合算）'!K78*$E77,0)</f>
        <v>0</v>
      </c>
      <c r="AU77" s="5">
        <f>ROUND('件数(合算）'!AV78*'件数(合算）'!K78*$E77,0)</f>
        <v>0</v>
      </c>
      <c r="AV77" s="12">
        <f t="shared" si="6"/>
        <v>1800</v>
      </c>
    </row>
    <row r="78" spans="1:48" ht="22" customHeight="1">
      <c r="A78" s="34">
        <v>162253</v>
      </c>
      <c r="B78" s="35" t="s">
        <v>175</v>
      </c>
      <c r="C78" s="32" t="s">
        <v>212</v>
      </c>
      <c r="D78" s="39"/>
      <c r="E78" s="49">
        <f>'件数(合算）'!E79</f>
        <v>9000</v>
      </c>
      <c r="F78" s="49">
        <f>'件数(合算）'!F79</f>
        <v>9000</v>
      </c>
      <c r="G78" s="49">
        <f>'件数(合算）'!G79</f>
        <v>19000</v>
      </c>
      <c r="K78" s="37">
        <f>'件数(合算）'!K79</f>
        <v>0.19538461538461541</v>
      </c>
      <c r="L78" s="37">
        <f>'件数(合算）'!K79</f>
        <v>0.19538461538461541</v>
      </c>
      <c r="M78" s="37">
        <f>'件数(合算）'!K79</f>
        <v>0.19538461538461541</v>
      </c>
      <c r="N78" s="37">
        <f>'件数(合算）'!K79</f>
        <v>0.19538461538461541</v>
      </c>
      <c r="O78" s="49">
        <f>ROUND('件数(合算）'!P79*'件数(合算）'!K79*$G78,0)</f>
        <v>3712</v>
      </c>
      <c r="P78" s="49">
        <f>ROUND('件数(合算）'!Q79*'件数(合算）'!K79*$G78,0)</f>
        <v>7425</v>
      </c>
      <c r="Q78" s="49">
        <f>ROUND('件数(合算）'!R79*'件数(合算）'!K79*$G78,0)</f>
        <v>3712</v>
      </c>
      <c r="R78" s="49">
        <f>ROUND('件数(合算）'!S79*'件数(合算）'!K79*$G78,0)</f>
        <v>3712</v>
      </c>
      <c r="S78" s="49">
        <f>ROUND('件数(合算）'!T79*'件数(合算）'!K79*$G78,0)</f>
        <v>3712</v>
      </c>
      <c r="T78" s="49">
        <f>ROUND('件数(合算）'!U79*'件数(合算）'!K79*$G78,0)</f>
        <v>3712</v>
      </c>
      <c r="U78" s="49">
        <f>ROUND('件数(合算）'!V79*'件数(合算）'!K79*$G78,0)</f>
        <v>3712</v>
      </c>
      <c r="V78" s="49">
        <f>ROUND('件数(合算）'!W79*'件数(合算）'!K79*$G78,0)</f>
        <v>3712</v>
      </c>
      <c r="W78" s="49">
        <f>ROUND('件数(合算）'!X79*'件数(合算）'!K79*$G78,0)</f>
        <v>3712</v>
      </c>
      <c r="X78" s="49">
        <f>ROUND('件数(合算）'!Y79*'件数(合算）'!K79*$G78,0)</f>
        <v>3712</v>
      </c>
      <c r="Y78" s="49">
        <f>ROUND('件数(合算）'!Z79*'件数(合算）'!K79*$G78,0)</f>
        <v>3712</v>
      </c>
      <c r="Z78" s="49">
        <f>ROUND('件数(合算）'!AA79*'件数(合算）'!K79*$F78,0)</f>
        <v>1758</v>
      </c>
      <c r="AA78" s="49">
        <f>ROUND('件数(合算）'!AB79*'件数(合算）'!K79*$F78,0)</f>
        <v>1758</v>
      </c>
      <c r="AB78" s="49">
        <f>ROUND('件数(合算）'!AC79*'件数(合算）'!K79*$F78,0)</f>
        <v>1758</v>
      </c>
      <c r="AC78" s="49">
        <f>ROUND('件数(合算）'!AD79*'件数(合算）'!K79*$F78,0)</f>
        <v>1758</v>
      </c>
      <c r="AD78" s="49">
        <f>ROUND('件数(合算）'!AE79*'件数(合算）'!K79*$F78,0)</f>
        <v>1758</v>
      </c>
      <c r="AE78" s="49">
        <f>ROUND('件数(合算）'!AF79*'件数(合算）'!K79*$F78,0)</f>
        <v>1758</v>
      </c>
      <c r="AF78" s="49">
        <f>ROUND('件数(合算）'!AG79*'件数(合算）'!K79*$E78,0)</f>
        <v>1758</v>
      </c>
      <c r="AG78" s="49">
        <f>ROUND('件数(合算）'!AH79*'件数(合算）'!K79*$E78,0)</f>
        <v>1758</v>
      </c>
      <c r="AH78" s="49">
        <f>ROUND('件数(合算）'!AI79*'件数(合算）'!K79*$E78,0)</f>
        <v>1758</v>
      </c>
      <c r="AI78" s="49">
        <f>ROUND('件数(合算）'!AJ79*'件数(合算）'!K79*$E78,0)</f>
        <v>1758</v>
      </c>
      <c r="AJ78" s="49">
        <f>ROUND('件数(合算）'!AK79*'件数(合算）'!K79*$E78,0)</f>
        <v>1758</v>
      </c>
      <c r="AK78" s="49">
        <f>ROUND('件数(合算）'!AL79*'件数(合算）'!K79*$F78,0)</f>
        <v>1758</v>
      </c>
      <c r="AL78" s="49">
        <f>ROUND('件数(合算）'!AM79*'件数(合算）'!K79*$F78,0)</f>
        <v>1758</v>
      </c>
      <c r="AM78" s="49">
        <f>ROUND('件数(合算）'!AN79*'件数(合算）'!K79*$E78,0)</f>
        <v>1758</v>
      </c>
      <c r="AN78" s="49">
        <f>ROUND('件数(合算）'!AO79*'件数(合算）'!K79*$E78,0)</f>
        <v>1758</v>
      </c>
      <c r="AO78" s="49">
        <f>ROUND('件数(合算）'!AP79*'件数(合算）'!K79*$E78,0)</f>
        <v>1758</v>
      </c>
      <c r="AP78" s="49">
        <f>ROUND('件数(合算）'!AQ79*'件数(合算）'!K79*$E78,0)</f>
        <v>1758</v>
      </c>
      <c r="AQ78" s="49">
        <f>ROUND('件数(合算）'!AR79*'件数(合算）'!K79*$E78,0)</f>
        <v>1758</v>
      </c>
      <c r="AR78" s="49">
        <f>ROUND('件数(合算）'!AS79*'件数(合算）'!K79*$E78,0)</f>
        <v>1758</v>
      </c>
      <c r="AS78" s="49">
        <f>ROUND('件数(合算）'!AT79*'件数(合算）'!K79*$E78,0)</f>
        <v>3517</v>
      </c>
      <c r="AT78" s="49">
        <f>ROUND('件数(合算）'!AU79*'件数(合算）'!K79*$E78,0)</f>
        <v>1758</v>
      </c>
      <c r="AU78" s="49">
        <f>ROUND('件数(合算）'!AV79*'件数(合算）'!K79*$E78,0)</f>
        <v>1758</v>
      </c>
      <c r="AV78" s="12">
        <f t="shared" si="6"/>
        <v>84980</v>
      </c>
    </row>
    <row r="79" spans="1:48" ht="22" customHeight="1">
      <c r="A79" s="26">
        <v>250381</v>
      </c>
      <c r="B79" s="27" t="s">
        <v>176</v>
      </c>
      <c r="C79" s="25" t="s">
        <v>212</v>
      </c>
      <c r="D79" s="9"/>
      <c r="E79" s="5">
        <f>'件数(合算）'!E80</f>
        <v>9000</v>
      </c>
      <c r="F79" s="5">
        <f>'件数(合算）'!F80</f>
        <v>9000</v>
      </c>
      <c r="G79" s="5">
        <f>'件数(合算）'!G80</f>
        <v>18000</v>
      </c>
      <c r="K79" s="4">
        <f>'件数(合算）'!K80</f>
        <v>0.1125541125541126</v>
      </c>
      <c r="L79" s="4">
        <f>'件数(合算）'!K80</f>
        <v>0.1125541125541126</v>
      </c>
      <c r="M79" s="4">
        <f>'件数(合算）'!K80</f>
        <v>0.1125541125541126</v>
      </c>
      <c r="N79" s="4">
        <f>'件数(合算）'!K80</f>
        <v>0.1125541125541126</v>
      </c>
      <c r="O79" s="5">
        <f>ROUND('件数(合算）'!P80*'件数(合算）'!K80*$G79,0)</f>
        <v>2026</v>
      </c>
      <c r="P79" s="5">
        <f>ROUND('件数(合算）'!Q80*'件数(合算）'!K80*$G79,0)</f>
        <v>4052</v>
      </c>
      <c r="Q79" s="5">
        <f>ROUND('件数(合算）'!R80*'件数(合算）'!K80*$G79,0)</f>
        <v>2026</v>
      </c>
      <c r="R79" s="5">
        <f>ROUND('件数(合算）'!S80*'件数(合算）'!K80*$G79,0)</f>
        <v>2026</v>
      </c>
      <c r="S79" s="5">
        <f>ROUND('件数(合算）'!T80*'件数(合算）'!K80*$G79,0)</f>
        <v>2026</v>
      </c>
      <c r="T79" s="5">
        <f>ROUND('件数(合算）'!U80*'件数(合算）'!K80*$G79,0)</f>
        <v>2026</v>
      </c>
      <c r="U79" s="5">
        <f>ROUND('件数(合算）'!V80*'件数(合算）'!K80*$G79,0)</f>
        <v>2026</v>
      </c>
      <c r="V79" s="5">
        <f>ROUND('件数(合算）'!W80*'件数(合算）'!K80*$G79,0)</f>
        <v>2026</v>
      </c>
      <c r="W79" s="5">
        <f>ROUND('件数(合算）'!X80*'件数(合算）'!K80*$G79,0)</f>
        <v>2026</v>
      </c>
      <c r="X79" s="5">
        <f>ROUND('件数(合算）'!Y80*'件数(合算）'!K80*$G79,0)</f>
        <v>2026</v>
      </c>
      <c r="Y79" s="5">
        <f>ROUND('件数(合算）'!Z80*'件数(合算）'!K80*$G79,0)</f>
        <v>2026</v>
      </c>
      <c r="Z79" s="5">
        <f>ROUND('件数(合算）'!AA80*'件数(合算）'!K80*$F79,0)</f>
        <v>1013</v>
      </c>
      <c r="AA79" s="5">
        <f>ROUND('件数(合算）'!AB80*'件数(合算）'!K80*$F79,0)</f>
        <v>1013</v>
      </c>
      <c r="AB79" s="5">
        <f>ROUND('件数(合算）'!AC80*'件数(合算）'!K80*$F79,0)</f>
        <v>1013</v>
      </c>
      <c r="AC79" s="5">
        <f>ROUND('件数(合算）'!AD80*'件数(合算）'!K80*$F79,0)</f>
        <v>1013</v>
      </c>
      <c r="AD79" s="5">
        <f>ROUND('件数(合算）'!AE80*'件数(合算）'!K80*$F79,0)</f>
        <v>1013</v>
      </c>
      <c r="AE79" s="5">
        <f>ROUND('件数(合算）'!AF80*'件数(合算）'!K80*$F79,0)</f>
        <v>1013</v>
      </c>
      <c r="AF79" s="5">
        <f>ROUND('件数(合算）'!AG80*'件数(合算）'!K80*$E79,0)</f>
        <v>1013</v>
      </c>
      <c r="AG79" s="5">
        <f>ROUND('件数(合算）'!AH80*'件数(合算）'!K80*$E79,0)</f>
        <v>1013</v>
      </c>
      <c r="AH79" s="5">
        <f>ROUND('件数(合算）'!AI80*'件数(合算）'!K80*$E79,0)</f>
        <v>1013</v>
      </c>
      <c r="AI79" s="5">
        <f>ROUND('件数(合算）'!AJ80*'件数(合算）'!K80*$E79,0)</f>
        <v>1013</v>
      </c>
      <c r="AJ79" s="5">
        <f>ROUND('件数(合算）'!AK80*'件数(合算）'!K80*$E79,0)</f>
        <v>1013</v>
      </c>
      <c r="AK79" s="5">
        <f>ROUND('件数(合算）'!AL80*'件数(合算）'!K80*$F79,0)</f>
        <v>1013</v>
      </c>
      <c r="AL79" s="5">
        <f>ROUND('件数(合算）'!AM80*'件数(合算）'!K80*$F79,0)</f>
        <v>1013</v>
      </c>
      <c r="AM79" s="5">
        <f>ROUND('件数(合算）'!AN80*'件数(合算）'!K80*$E79,0)</f>
        <v>1013</v>
      </c>
      <c r="AN79" s="5">
        <f>ROUND('件数(合算）'!AO80*'件数(合算）'!K80*$E79,0)</f>
        <v>1013</v>
      </c>
      <c r="AO79" s="5">
        <f>ROUND('件数(合算）'!AP80*'件数(合算）'!K80*$E79,0)</f>
        <v>1013</v>
      </c>
      <c r="AP79" s="5">
        <f>ROUND('件数(合算）'!AQ80*'件数(合算）'!K80*$E79,0)</f>
        <v>1013</v>
      </c>
      <c r="AQ79" s="5">
        <f>ROUND('件数(合算）'!AR80*'件数(合算）'!K80*$E79,0)</f>
        <v>1013</v>
      </c>
      <c r="AR79" s="5">
        <f>ROUND('件数(合算）'!AS80*'件数(合算）'!K80*$E79,0)</f>
        <v>1013</v>
      </c>
      <c r="AS79" s="5">
        <f>ROUND('件数(合算）'!AT80*'件数(合算）'!K80*$E79,0)</f>
        <v>2026</v>
      </c>
      <c r="AT79" s="5">
        <f>ROUND('件数(合算）'!AU80*'件数(合算）'!K80*$E79,0)</f>
        <v>1013</v>
      </c>
      <c r="AU79" s="5">
        <f>ROUND('件数(合算）'!AV80*'件数(合算）'!K80*$E79,0)</f>
        <v>1013</v>
      </c>
      <c r="AV79" s="12">
        <f t="shared" si="6"/>
        <v>47611</v>
      </c>
    </row>
    <row r="80" spans="1:48" ht="22" customHeight="1">
      <c r="A80" s="34">
        <v>346991</v>
      </c>
      <c r="B80" s="35" t="s">
        <v>177</v>
      </c>
      <c r="C80" s="32" t="s">
        <v>212</v>
      </c>
      <c r="D80" s="39"/>
      <c r="E80" s="49">
        <f>'件数(合算）'!E81</f>
        <v>9000</v>
      </c>
      <c r="F80" s="49">
        <f>'件数(合算）'!F81</f>
        <v>9000</v>
      </c>
      <c r="G80" s="49">
        <f>'件数(合算）'!G81</f>
        <v>12000</v>
      </c>
      <c r="K80" s="37">
        <f>'件数(合算）'!K81</f>
        <v>0.1</v>
      </c>
      <c r="L80" s="37">
        <f>'件数(合算）'!K81</f>
        <v>0.1</v>
      </c>
      <c r="M80" s="37">
        <f>'件数(合算）'!K81</f>
        <v>0.1</v>
      </c>
      <c r="N80" s="37">
        <f>'件数(合算）'!K81</f>
        <v>0.1</v>
      </c>
      <c r="O80" s="49">
        <f>ROUND('件数(合算）'!P81*'件数(合算）'!K81*$G80,0)</f>
        <v>0</v>
      </c>
      <c r="P80" s="49">
        <f>ROUND('件数(合算）'!Q81*'件数(合算）'!K81*$G80,0)</f>
        <v>0</v>
      </c>
      <c r="Q80" s="49">
        <f>ROUND('件数(合算）'!R81*'件数(合算）'!K81*$G80,0)</f>
        <v>0</v>
      </c>
      <c r="R80" s="49">
        <f>ROUND('件数(合算）'!S81*'件数(合算）'!K81*$G80,0)</f>
        <v>0</v>
      </c>
      <c r="S80" s="49">
        <f>ROUND('件数(合算）'!T81*'件数(合算）'!K81*$G80,0)</f>
        <v>0</v>
      </c>
      <c r="T80" s="49">
        <f>ROUND('件数(合算）'!U81*'件数(合算）'!K81*$G80,0)</f>
        <v>0</v>
      </c>
      <c r="U80" s="49">
        <f>ROUND('件数(合算）'!V81*'件数(合算）'!K81*$G80,0)</f>
        <v>0</v>
      </c>
      <c r="V80" s="49">
        <f>ROUND('件数(合算）'!W81*'件数(合算）'!K81*$G80,0)</f>
        <v>0</v>
      </c>
      <c r="W80" s="49">
        <f>ROUND('件数(合算）'!X81*'件数(合算）'!K81*$G80,0)</f>
        <v>0</v>
      </c>
      <c r="X80" s="49">
        <f>ROUND('件数(合算）'!Y81*'件数(合算）'!K81*$G80,0)</f>
        <v>0</v>
      </c>
      <c r="Y80" s="49">
        <f>ROUND('件数(合算）'!Z81*'件数(合算）'!K81*$G80,0)</f>
        <v>0</v>
      </c>
      <c r="Z80" s="49">
        <f>ROUND('件数(合算）'!AA81*'件数(合算）'!K81*$F80,0)</f>
        <v>0</v>
      </c>
      <c r="AA80" s="49">
        <f>ROUND('件数(合算）'!AB81*'件数(合算）'!K81*$F80,0)</f>
        <v>0</v>
      </c>
      <c r="AB80" s="49">
        <f>ROUND('件数(合算）'!AC81*'件数(合算）'!K81*$F80,0)</f>
        <v>0</v>
      </c>
      <c r="AC80" s="49">
        <f>ROUND('件数(合算）'!AD81*'件数(合算）'!K81*$F80,0)</f>
        <v>0</v>
      </c>
      <c r="AD80" s="49">
        <f>ROUND('件数(合算）'!AE81*'件数(合算）'!K81*$F80,0)</f>
        <v>0</v>
      </c>
      <c r="AE80" s="49">
        <f>ROUND('件数(合算）'!AF81*'件数(合算）'!K81*$F80,0)</f>
        <v>0</v>
      </c>
      <c r="AF80" s="49">
        <f>ROUND('件数(合算）'!AG81*'件数(合算）'!K81*$E80,0)</f>
        <v>0</v>
      </c>
      <c r="AG80" s="49">
        <f>ROUND('件数(合算）'!AH81*'件数(合算）'!K81*$E80,0)</f>
        <v>0</v>
      </c>
      <c r="AH80" s="49">
        <f>ROUND('件数(合算）'!AI81*'件数(合算）'!K81*$E80,0)</f>
        <v>0</v>
      </c>
      <c r="AI80" s="49">
        <f>ROUND('件数(合算）'!AJ81*'件数(合算）'!K81*$E80,0)</f>
        <v>0</v>
      </c>
      <c r="AJ80" s="49">
        <f>ROUND('件数(合算）'!AK81*'件数(合算）'!K81*$E80,0)</f>
        <v>0</v>
      </c>
      <c r="AK80" s="49">
        <f>ROUND('件数(合算）'!AL81*'件数(合算）'!K81*$F80,0)</f>
        <v>900</v>
      </c>
      <c r="AL80" s="49">
        <f>ROUND('件数(合算）'!AM81*'件数(合算）'!K81*$F80,0)</f>
        <v>900</v>
      </c>
      <c r="AM80" s="49">
        <f>ROUND('件数(合算）'!AN81*'件数(合算）'!K81*$E80,0)</f>
        <v>0</v>
      </c>
      <c r="AN80" s="49">
        <f>ROUND('件数(合算）'!AO81*'件数(合算）'!K81*$E80,0)</f>
        <v>0</v>
      </c>
      <c r="AO80" s="49">
        <f>ROUND('件数(合算）'!AP81*'件数(合算）'!K81*$E80,0)</f>
        <v>0</v>
      </c>
      <c r="AP80" s="49">
        <f>ROUND('件数(合算）'!AQ81*'件数(合算）'!K81*$E80,0)</f>
        <v>0</v>
      </c>
      <c r="AQ80" s="49">
        <f>ROUND('件数(合算）'!AR81*'件数(合算）'!K81*$E80,0)</f>
        <v>0</v>
      </c>
      <c r="AR80" s="49">
        <f>ROUND('件数(合算）'!AS81*'件数(合算）'!K81*$E80,0)</f>
        <v>0</v>
      </c>
      <c r="AS80" s="49">
        <f>ROUND('件数(合算）'!AT81*'件数(合算）'!K81*$E80,0)</f>
        <v>0</v>
      </c>
      <c r="AT80" s="49">
        <f>ROUND('件数(合算）'!AU81*'件数(合算）'!K81*$E80,0)</f>
        <v>0</v>
      </c>
      <c r="AU80" s="49">
        <f>ROUND('件数(合算）'!AV81*'件数(合算）'!K81*$E80,0)</f>
        <v>0</v>
      </c>
      <c r="AV80" s="12">
        <f t="shared" si="6"/>
        <v>1800</v>
      </c>
    </row>
    <row r="81" spans="1:48" ht="22" customHeight="1">
      <c r="A81" s="26">
        <v>354876</v>
      </c>
      <c r="B81" s="27" t="s">
        <v>178</v>
      </c>
      <c r="C81" s="25" t="s">
        <v>212</v>
      </c>
      <c r="D81" s="9"/>
      <c r="E81" s="5">
        <f>'件数(合算）'!E82</f>
        <v>9000</v>
      </c>
      <c r="F81" s="5">
        <f>'件数(合算）'!F82</f>
        <v>9000</v>
      </c>
      <c r="G81" s="5">
        <f>'件数(合算）'!G82</f>
        <v>14000</v>
      </c>
      <c r="K81" s="4">
        <f>'件数(合算）'!K82</f>
        <v>0.1</v>
      </c>
      <c r="L81" s="4">
        <f>'件数(合算）'!K82</f>
        <v>0.1</v>
      </c>
      <c r="M81" s="4">
        <f>'件数(合算）'!K82</f>
        <v>0.1</v>
      </c>
      <c r="N81" s="4">
        <f>'件数(合算）'!K82</f>
        <v>0.1</v>
      </c>
      <c r="O81" s="5">
        <f>ROUND('件数(合算）'!P82*'件数(合算）'!K82*$G81,0)</f>
        <v>0</v>
      </c>
      <c r="P81" s="5">
        <f>ROUND('件数(合算）'!Q82*'件数(合算）'!K82*$G81,0)</f>
        <v>1400</v>
      </c>
      <c r="Q81" s="5">
        <f>ROUND('件数(合算）'!R82*'件数(合算）'!K82*$G81,0)</f>
        <v>1400</v>
      </c>
      <c r="R81" s="5">
        <f>ROUND('件数(合算）'!S82*'件数(合算）'!K82*$G81,0)</f>
        <v>0</v>
      </c>
      <c r="S81" s="5">
        <f>ROUND('件数(合算）'!T82*'件数(合算）'!K82*$G81,0)</f>
        <v>0</v>
      </c>
      <c r="T81" s="5">
        <f>ROUND('件数(合算）'!U82*'件数(合算）'!K82*$G81,0)</f>
        <v>0</v>
      </c>
      <c r="U81" s="5">
        <f>ROUND('件数(合算）'!V82*'件数(合算）'!K82*$G81,0)</f>
        <v>0</v>
      </c>
      <c r="V81" s="5">
        <f>ROUND('件数(合算）'!W82*'件数(合算）'!K82*$G81,0)</f>
        <v>0</v>
      </c>
      <c r="W81" s="5">
        <f>ROUND('件数(合算）'!X82*'件数(合算）'!K82*$G81,0)</f>
        <v>1400</v>
      </c>
      <c r="X81" s="5">
        <f>ROUND('件数(合算）'!Y82*'件数(合算）'!K82*$G81,0)</f>
        <v>1400</v>
      </c>
      <c r="Y81" s="5">
        <f>ROUND('件数(合算）'!Z82*'件数(合算）'!K82*$G81,0)</f>
        <v>0</v>
      </c>
      <c r="Z81" s="5">
        <f>ROUND('件数(合算）'!AA82*'件数(合算）'!K82*$F81,0)</f>
        <v>0</v>
      </c>
      <c r="AA81" s="5">
        <f>ROUND('件数(合算）'!AB82*'件数(合算）'!K82*$F81,0)</f>
        <v>0</v>
      </c>
      <c r="AB81" s="5">
        <f>ROUND('件数(合算）'!AC82*'件数(合算）'!K82*$F81,0)</f>
        <v>0</v>
      </c>
      <c r="AC81" s="5">
        <f>ROUND('件数(合算）'!AD82*'件数(合算）'!K82*$F81,0)</f>
        <v>0</v>
      </c>
      <c r="AD81" s="5">
        <f>ROUND('件数(合算）'!AE82*'件数(合算）'!K82*$F81,0)</f>
        <v>0</v>
      </c>
      <c r="AE81" s="5">
        <f>ROUND('件数(合算）'!AF82*'件数(合算）'!K82*$F81,0)</f>
        <v>0</v>
      </c>
      <c r="AF81" s="5">
        <f>ROUND('件数(合算）'!AG82*'件数(合算）'!K82*$E81,0)</f>
        <v>0</v>
      </c>
      <c r="AG81" s="5">
        <f>ROUND('件数(合算）'!AH82*'件数(合算）'!K82*$E81,0)</f>
        <v>900</v>
      </c>
      <c r="AH81" s="5">
        <f>ROUND('件数(合算）'!AI82*'件数(合算）'!K82*$E81,0)</f>
        <v>0</v>
      </c>
      <c r="AI81" s="5">
        <f>ROUND('件数(合算）'!AJ82*'件数(合算）'!K82*$E81,0)</f>
        <v>0</v>
      </c>
      <c r="AJ81" s="5">
        <f>ROUND('件数(合算）'!AK82*'件数(合算）'!K82*$E81,0)</f>
        <v>0</v>
      </c>
      <c r="AK81" s="5">
        <f>ROUND('件数(合算）'!AL82*'件数(合算）'!K82*$F81,0)</f>
        <v>0</v>
      </c>
      <c r="AL81" s="5">
        <f>ROUND('件数(合算）'!AM82*'件数(合算）'!K82*$F81,0)</f>
        <v>0</v>
      </c>
      <c r="AM81" s="5">
        <f>ROUND('件数(合算）'!AN82*'件数(合算）'!K82*$E81,0)</f>
        <v>0</v>
      </c>
      <c r="AN81" s="5">
        <f>ROUND('件数(合算）'!AO82*'件数(合算）'!K82*$E81,0)</f>
        <v>0</v>
      </c>
      <c r="AO81" s="5">
        <f>ROUND('件数(合算）'!AP82*'件数(合算）'!K82*$E81,0)</f>
        <v>0</v>
      </c>
      <c r="AP81" s="5">
        <f>ROUND('件数(合算）'!AQ82*'件数(合算）'!K82*$E81,0)</f>
        <v>0</v>
      </c>
      <c r="AQ81" s="5">
        <f>ROUND('件数(合算）'!AR82*'件数(合算）'!K82*$E81,0)</f>
        <v>0</v>
      </c>
      <c r="AR81" s="5">
        <f>ROUND('件数(合算）'!AS82*'件数(合算）'!K82*$E81,0)</f>
        <v>0</v>
      </c>
      <c r="AS81" s="5">
        <f>ROUND('件数(合算）'!AT82*'件数(合算）'!K82*$E81,0)</f>
        <v>0</v>
      </c>
      <c r="AT81" s="5">
        <f>ROUND('件数(合算）'!AU82*'件数(合算）'!K82*$E81,0)</f>
        <v>0</v>
      </c>
      <c r="AU81" s="5">
        <f>ROUND('件数(合算）'!AV82*'件数(合算）'!K82*$E81,0)</f>
        <v>0</v>
      </c>
      <c r="AV81" s="12">
        <f t="shared" si="6"/>
        <v>6500</v>
      </c>
    </row>
    <row r="82" spans="1:48" ht="22" customHeight="1">
      <c r="A82" s="34">
        <v>354959</v>
      </c>
      <c r="B82" s="35" t="s">
        <v>179</v>
      </c>
      <c r="C82" s="32" t="s">
        <v>212</v>
      </c>
      <c r="D82" s="39"/>
      <c r="E82" s="49">
        <f>'件数(合算）'!E83</f>
        <v>9000</v>
      </c>
      <c r="F82" s="49">
        <f>'件数(合算）'!F83</f>
        <v>9000</v>
      </c>
      <c r="G82" s="49">
        <f>'件数(合算）'!G83</f>
        <v>14000</v>
      </c>
      <c r="K82" s="37">
        <f>'件数(合算）'!K83</f>
        <v>0.1</v>
      </c>
      <c r="L82" s="37">
        <f>'件数(合算）'!K83</f>
        <v>0.1</v>
      </c>
      <c r="M82" s="37">
        <f>'件数(合算）'!K83</f>
        <v>0.1</v>
      </c>
      <c r="N82" s="37">
        <f>'件数(合算）'!K83</f>
        <v>0.1</v>
      </c>
      <c r="O82" s="49">
        <f>ROUND('件数(合算）'!P83*'件数(合算）'!K83*$G82,0)</f>
        <v>0</v>
      </c>
      <c r="P82" s="49">
        <f>ROUND('件数(合算）'!Q83*'件数(合算）'!K83*$G82,0)</f>
        <v>1400</v>
      </c>
      <c r="Q82" s="49">
        <f>ROUND('件数(合算）'!R83*'件数(合算）'!K83*$G82,0)</f>
        <v>1400</v>
      </c>
      <c r="R82" s="49">
        <f>ROUND('件数(合算）'!S83*'件数(合算）'!K83*$G82,0)</f>
        <v>0</v>
      </c>
      <c r="S82" s="49">
        <f>ROUND('件数(合算）'!T83*'件数(合算）'!K83*$G82,0)</f>
        <v>0</v>
      </c>
      <c r="T82" s="49">
        <f>ROUND('件数(合算）'!U83*'件数(合算）'!K83*$G82,0)</f>
        <v>0</v>
      </c>
      <c r="U82" s="49">
        <f>ROUND('件数(合算）'!V83*'件数(合算）'!K83*$G82,0)</f>
        <v>0</v>
      </c>
      <c r="V82" s="49">
        <f>ROUND('件数(合算）'!W83*'件数(合算）'!K83*$G82,0)</f>
        <v>0</v>
      </c>
      <c r="W82" s="49">
        <f>ROUND('件数(合算）'!X83*'件数(合算）'!K83*$G82,0)</f>
        <v>1400</v>
      </c>
      <c r="X82" s="49">
        <f>ROUND('件数(合算）'!Y83*'件数(合算）'!K83*$G82,0)</f>
        <v>1400</v>
      </c>
      <c r="Y82" s="49">
        <f>ROUND('件数(合算）'!Z83*'件数(合算）'!K83*$G82,0)</f>
        <v>0</v>
      </c>
      <c r="Z82" s="49">
        <f>ROUND('件数(合算）'!AA83*'件数(合算）'!K83*$F82,0)</f>
        <v>0</v>
      </c>
      <c r="AA82" s="49">
        <f>ROUND('件数(合算）'!AB83*'件数(合算）'!K83*$F82,0)</f>
        <v>0</v>
      </c>
      <c r="AB82" s="49">
        <f>ROUND('件数(合算）'!AC83*'件数(合算）'!K83*$F82,0)</f>
        <v>0</v>
      </c>
      <c r="AC82" s="49">
        <f>ROUND('件数(合算）'!AD83*'件数(合算）'!K83*$F82,0)</f>
        <v>0</v>
      </c>
      <c r="AD82" s="49">
        <f>ROUND('件数(合算）'!AE83*'件数(合算）'!K83*$F82,0)</f>
        <v>0</v>
      </c>
      <c r="AE82" s="49">
        <f>ROUND('件数(合算）'!AF83*'件数(合算）'!K83*$F82,0)</f>
        <v>0</v>
      </c>
      <c r="AF82" s="49">
        <f>ROUND('件数(合算）'!AG83*'件数(合算）'!K83*$E82,0)</f>
        <v>0</v>
      </c>
      <c r="AG82" s="49">
        <f>ROUND('件数(合算）'!AH83*'件数(合算）'!K83*$E82,0)</f>
        <v>0</v>
      </c>
      <c r="AH82" s="49">
        <f>ROUND('件数(合算）'!AI83*'件数(合算）'!K83*$E82,0)</f>
        <v>0</v>
      </c>
      <c r="AI82" s="49">
        <f>ROUND('件数(合算）'!AJ83*'件数(合算）'!K83*$E82,0)</f>
        <v>0</v>
      </c>
      <c r="AJ82" s="49">
        <f>ROUND('件数(合算）'!AK83*'件数(合算）'!K83*$E82,0)</f>
        <v>0</v>
      </c>
      <c r="AK82" s="49">
        <f>ROUND('件数(合算）'!AL83*'件数(合算）'!K83*$F82,0)</f>
        <v>0</v>
      </c>
      <c r="AL82" s="49">
        <f>ROUND('件数(合算）'!AM83*'件数(合算）'!K83*$F82,0)</f>
        <v>0</v>
      </c>
      <c r="AM82" s="49">
        <f>ROUND('件数(合算）'!AN83*'件数(合算）'!K83*$E82,0)</f>
        <v>0</v>
      </c>
      <c r="AN82" s="49">
        <f>ROUND('件数(合算）'!AO83*'件数(合算）'!K83*$E82,0)</f>
        <v>0</v>
      </c>
      <c r="AO82" s="49">
        <f>ROUND('件数(合算）'!AP83*'件数(合算）'!K83*$E82,0)</f>
        <v>0</v>
      </c>
      <c r="AP82" s="49">
        <f>ROUND('件数(合算）'!AQ83*'件数(合算）'!K83*$E82,0)</f>
        <v>0</v>
      </c>
      <c r="AQ82" s="49">
        <f>ROUND('件数(合算）'!AR83*'件数(合算）'!K83*$E82,0)</f>
        <v>0</v>
      </c>
      <c r="AR82" s="49">
        <f>ROUND('件数(合算）'!AS83*'件数(合算）'!K83*$E82,0)</f>
        <v>0</v>
      </c>
      <c r="AS82" s="49">
        <f>ROUND('件数(合算）'!AT83*'件数(合算）'!K83*$E82,0)</f>
        <v>0</v>
      </c>
      <c r="AT82" s="49">
        <f>ROUND('件数(合算）'!AU83*'件数(合算）'!K83*$E82,0)</f>
        <v>0</v>
      </c>
      <c r="AU82" s="49">
        <f>ROUND('件数(合算）'!AV83*'件数(合算）'!K83*$E82,0)</f>
        <v>0</v>
      </c>
      <c r="AV82" s="12">
        <f t="shared" si="6"/>
        <v>5600</v>
      </c>
    </row>
    <row r="83" spans="1:48" ht="22" customHeight="1">
      <c r="A83" s="26">
        <v>368894</v>
      </c>
      <c r="B83" s="27" t="s">
        <v>180</v>
      </c>
      <c r="C83" s="25" t="s">
        <v>212</v>
      </c>
      <c r="D83" s="9"/>
      <c r="E83" s="5">
        <f>'件数(合算）'!E84</f>
        <v>9000</v>
      </c>
      <c r="F83" s="5">
        <f>'件数(合算）'!F84</f>
        <v>9000</v>
      </c>
      <c r="G83" s="5">
        <f>'件数(合算）'!G84</f>
        <v>13000</v>
      </c>
      <c r="K83" s="4">
        <f>'件数(合算）'!K84</f>
        <v>0.1</v>
      </c>
      <c r="L83" s="4">
        <f>'件数(合算）'!K84</f>
        <v>0.1</v>
      </c>
      <c r="M83" s="4">
        <f>'件数(合算）'!K84</f>
        <v>0.1</v>
      </c>
      <c r="N83" s="4">
        <f>'件数(合算）'!K84</f>
        <v>0.1</v>
      </c>
      <c r="O83" s="5">
        <f>ROUND('件数(合算）'!P84*'件数(合算）'!K84*$G83,0)</f>
        <v>0</v>
      </c>
      <c r="P83" s="5">
        <f>ROUND('件数(合算）'!Q84*'件数(合算）'!K84*$G83,0)</f>
        <v>2600</v>
      </c>
      <c r="Q83" s="5">
        <f>ROUND('件数(合算）'!R84*'件数(合算）'!K84*$G83,0)</f>
        <v>0</v>
      </c>
      <c r="R83" s="5">
        <f>ROUND('件数(合算）'!S84*'件数(合算）'!K84*$G83,0)</f>
        <v>0</v>
      </c>
      <c r="S83" s="5">
        <f>ROUND('件数(合算）'!T84*'件数(合算）'!K84*$G83,0)</f>
        <v>0</v>
      </c>
      <c r="T83" s="5">
        <f>ROUND('件数(合算）'!U84*'件数(合算）'!K84*$G83,0)</f>
        <v>0</v>
      </c>
      <c r="U83" s="5">
        <f>ROUND('件数(合算）'!V84*'件数(合算）'!K84*$G83,0)</f>
        <v>0</v>
      </c>
      <c r="V83" s="5">
        <f>ROUND('件数(合算）'!W84*'件数(合算）'!K84*$G83,0)</f>
        <v>0</v>
      </c>
      <c r="W83" s="5">
        <f>ROUND('件数(合算）'!X84*'件数(合算）'!K84*$G83,0)</f>
        <v>2600</v>
      </c>
      <c r="X83" s="5">
        <f>ROUND('件数(合算）'!Y84*'件数(合算）'!K84*$G83,0)</f>
        <v>0</v>
      </c>
      <c r="Y83" s="5">
        <f>ROUND('件数(合算）'!Z84*'件数(合算）'!K84*$G83,0)</f>
        <v>0</v>
      </c>
      <c r="Z83" s="5">
        <f>ROUND('件数(合算）'!AA84*'件数(合算）'!K84*$F83,0)</f>
        <v>0</v>
      </c>
      <c r="AA83" s="5">
        <f>ROUND('件数(合算）'!AB84*'件数(合算）'!K84*$F83,0)</f>
        <v>0</v>
      </c>
      <c r="AB83" s="5">
        <f>ROUND('件数(合算）'!AC84*'件数(合算）'!K84*$F83,0)</f>
        <v>0</v>
      </c>
      <c r="AC83" s="5">
        <f>ROUND('件数(合算）'!AD84*'件数(合算）'!K84*$F83,0)</f>
        <v>0</v>
      </c>
      <c r="AD83" s="5">
        <f>ROUND('件数(合算）'!AE84*'件数(合算）'!K84*$F83,0)</f>
        <v>0</v>
      </c>
      <c r="AE83" s="5">
        <f>ROUND('件数(合算）'!AF84*'件数(合算）'!K84*$F83,0)</f>
        <v>0</v>
      </c>
      <c r="AF83" s="5">
        <f>ROUND('件数(合算）'!AG84*'件数(合算）'!K84*$E83,0)</f>
        <v>0</v>
      </c>
      <c r="AG83" s="5">
        <f>ROUND('件数(合算）'!AH84*'件数(合算）'!K84*$E83,0)</f>
        <v>0</v>
      </c>
      <c r="AH83" s="5">
        <f>ROUND('件数(合算）'!AI84*'件数(合算）'!K84*$E83,0)</f>
        <v>0</v>
      </c>
      <c r="AI83" s="5">
        <f>ROUND('件数(合算）'!AJ84*'件数(合算）'!K84*$E83,0)</f>
        <v>0</v>
      </c>
      <c r="AJ83" s="5">
        <f>ROUND('件数(合算）'!AK84*'件数(合算）'!K84*$E83,0)</f>
        <v>0</v>
      </c>
      <c r="AK83" s="5">
        <f>ROUND('件数(合算）'!AL84*'件数(合算）'!K84*$F83,0)</f>
        <v>0</v>
      </c>
      <c r="AL83" s="5">
        <f>ROUND('件数(合算）'!AM84*'件数(合算）'!K84*$F83,0)</f>
        <v>0</v>
      </c>
      <c r="AM83" s="5">
        <f>ROUND('件数(合算）'!AN84*'件数(合算）'!K84*$E83,0)</f>
        <v>0</v>
      </c>
      <c r="AN83" s="5">
        <f>ROUND('件数(合算）'!AO84*'件数(合算）'!K84*$E83,0)</f>
        <v>0</v>
      </c>
      <c r="AO83" s="5">
        <f>ROUND('件数(合算）'!AP84*'件数(合算）'!K84*$E83,0)</f>
        <v>0</v>
      </c>
      <c r="AP83" s="5">
        <f>ROUND('件数(合算）'!AQ84*'件数(合算）'!K84*$E83,0)</f>
        <v>0</v>
      </c>
      <c r="AQ83" s="5">
        <f>ROUND('件数(合算）'!AR84*'件数(合算）'!K84*$E83,0)</f>
        <v>0</v>
      </c>
      <c r="AR83" s="5">
        <f>ROUND('件数(合算）'!AS84*'件数(合算）'!K84*$E83,0)</f>
        <v>0</v>
      </c>
      <c r="AS83" s="5">
        <f>ROUND('件数(合算）'!AT84*'件数(合算）'!K84*$E83,0)</f>
        <v>0</v>
      </c>
      <c r="AT83" s="5">
        <f>ROUND('件数(合算）'!AU84*'件数(合算）'!K84*$E83,0)</f>
        <v>0</v>
      </c>
      <c r="AU83" s="5">
        <f>ROUND('件数(合算）'!AV84*'件数(合算）'!K84*$E83,0)</f>
        <v>0</v>
      </c>
      <c r="AV83" s="12">
        <f t="shared" si="6"/>
        <v>5200</v>
      </c>
    </row>
    <row r="84" spans="1:48" ht="22" customHeight="1">
      <c r="A84" s="34">
        <v>387654</v>
      </c>
      <c r="B84" s="35" t="s">
        <v>181</v>
      </c>
      <c r="C84" s="32" t="s">
        <v>212</v>
      </c>
      <c r="D84" s="39"/>
      <c r="E84" s="49">
        <f>'件数(合算）'!E85</f>
        <v>9000</v>
      </c>
      <c r="F84" s="49">
        <f>'件数(合算）'!F85</f>
        <v>9000</v>
      </c>
      <c r="G84" s="49">
        <f>'件数(合算）'!G85</f>
        <v>14000</v>
      </c>
      <c r="K84" s="37">
        <f>'件数(合算）'!K85</f>
        <v>3.0303030303030299E-3</v>
      </c>
      <c r="L84" s="37">
        <f>'件数(合算）'!K85</f>
        <v>3.0303030303030299E-3</v>
      </c>
      <c r="M84" s="37">
        <f>'件数(合算）'!K85</f>
        <v>3.0303030303030299E-3</v>
      </c>
      <c r="N84" s="37">
        <f>'件数(合算）'!K85</f>
        <v>3.0303030303030299E-3</v>
      </c>
      <c r="O84" s="49">
        <f>ROUND('件数(合算）'!P85*'件数(合算）'!K85*$G84,0)</f>
        <v>0</v>
      </c>
      <c r="P84" s="49">
        <f>ROUND('件数(合算）'!Q85*'件数(合算）'!K85*$G84,0)</f>
        <v>0</v>
      </c>
      <c r="Q84" s="49">
        <f>ROUND('件数(合算）'!R85*'件数(合算）'!K85*$G84,0)</f>
        <v>85</v>
      </c>
      <c r="R84" s="49">
        <f>ROUND('件数(合算）'!S85*'件数(合算）'!K85*$G84,0)</f>
        <v>0</v>
      </c>
      <c r="S84" s="49">
        <f>ROUND('件数(合算）'!T85*'件数(合算）'!K85*$G84,0)</f>
        <v>0</v>
      </c>
      <c r="T84" s="49">
        <f>ROUND('件数(合算）'!U85*'件数(合算）'!K85*$G84,0)</f>
        <v>0</v>
      </c>
      <c r="U84" s="49">
        <f>ROUND('件数(合算）'!V85*'件数(合算）'!K85*$G84,0)</f>
        <v>0</v>
      </c>
      <c r="V84" s="49">
        <f>ROUND('件数(合算）'!W85*'件数(合算）'!K85*$G84,0)</f>
        <v>0</v>
      </c>
      <c r="W84" s="49">
        <f>ROUND('件数(合算）'!X85*'件数(合算）'!K85*$G84,0)</f>
        <v>0</v>
      </c>
      <c r="X84" s="49">
        <f>ROUND('件数(合算）'!Y85*'件数(合算）'!K85*$G84,0)</f>
        <v>0</v>
      </c>
      <c r="Y84" s="49">
        <f>ROUND('件数(合算）'!Z85*'件数(合算）'!K85*$G84,0)</f>
        <v>0</v>
      </c>
      <c r="Z84" s="49">
        <f>ROUND('件数(合算）'!AA85*'件数(合算）'!K85*$F84,0)</f>
        <v>0</v>
      </c>
      <c r="AA84" s="49">
        <f>ROUND('件数(合算）'!AB85*'件数(合算）'!K85*$F84,0)</f>
        <v>0</v>
      </c>
      <c r="AB84" s="49">
        <f>ROUND('件数(合算）'!AC85*'件数(合算）'!K85*$F84,0)</f>
        <v>0</v>
      </c>
      <c r="AC84" s="49">
        <f>ROUND('件数(合算）'!AD85*'件数(合算）'!K85*$F84,0)</f>
        <v>0</v>
      </c>
      <c r="AD84" s="49">
        <f>ROUND('件数(合算）'!AE85*'件数(合算）'!K85*$F84,0)</f>
        <v>0</v>
      </c>
      <c r="AE84" s="49">
        <f>ROUND('件数(合算）'!AF85*'件数(合算）'!K85*$F84,0)</f>
        <v>0</v>
      </c>
      <c r="AF84" s="49">
        <f>ROUND('件数(合算）'!AG85*'件数(合算）'!K85*$E84,0)</f>
        <v>0</v>
      </c>
      <c r="AG84" s="49">
        <f>ROUND('件数(合算）'!AH85*'件数(合算）'!K85*$E84,0)</f>
        <v>0</v>
      </c>
      <c r="AH84" s="49">
        <f>ROUND('件数(合算）'!AI85*'件数(合算）'!K85*$E84,0)</f>
        <v>0</v>
      </c>
      <c r="AI84" s="49">
        <f>ROUND('件数(合算）'!AJ85*'件数(合算）'!K85*$E84,0)</f>
        <v>0</v>
      </c>
      <c r="AJ84" s="49">
        <f>ROUND('件数(合算）'!AK85*'件数(合算）'!K85*$E84,0)</f>
        <v>0</v>
      </c>
      <c r="AK84" s="49">
        <f>ROUND('件数(合算）'!AL85*'件数(合算）'!K85*$F84,0)</f>
        <v>0</v>
      </c>
      <c r="AL84" s="49">
        <f>ROUND('件数(合算）'!AM85*'件数(合算）'!K85*$F84,0)</f>
        <v>0</v>
      </c>
      <c r="AM84" s="49">
        <f>ROUND('件数(合算）'!AN85*'件数(合算）'!K85*$E84,0)</f>
        <v>0</v>
      </c>
      <c r="AN84" s="49">
        <f>ROUND('件数(合算）'!AO85*'件数(合算）'!K85*$E84,0)</f>
        <v>0</v>
      </c>
      <c r="AO84" s="49">
        <f>ROUND('件数(合算）'!AP85*'件数(合算）'!K85*$E84,0)</f>
        <v>0</v>
      </c>
      <c r="AP84" s="49">
        <f>ROUND('件数(合算）'!AQ85*'件数(合算）'!K85*$E84,0)</f>
        <v>0</v>
      </c>
      <c r="AQ84" s="49">
        <f>ROUND('件数(合算）'!AR85*'件数(合算）'!K85*$E84,0)</f>
        <v>0</v>
      </c>
      <c r="AR84" s="49">
        <f>ROUND('件数(合算）'!AS85*'件数(合算）'!K85*$E84,0)</f>
        <v>0</v>
      </c>
      <c r="AS84" s="49">
        <f>ROUND('件数(合算）'!AT85*'件数(合算）'!K85*$E84,0)</f>
        <v>0</v>
      </c>
      <c r="AT84" s="49">
        <f>ROUND('件数(合算）'!AU85*'件数(合算）'!K85*$E84,0)</f>
        <v>0</v>
      </c>
      <c r="AU84" s="49">
        <f>ROUND('件数(合算）'!AV85*'件数(合算）'!K85*$E84,0)</f>
        <v>0</v>
      </c>
      <c r="AV84" s="12">
        <f t="shared" si="6"/>
        <v>85</v>
      </c>
    </row>
    <row r="85" spans="1:48" ht="22" customHeight="1">
      <c r="A85" s="26">
        <v>388064</v>
      </c>
      <c r="B85" s="27" t="s">
        <v>182</v>
      </c>
      <c r="C85" s="25" t="s">
        <v>212</v>
      </c>
      <c r="D85" s="9"/>
      <c r="E85" s="5">
        <f>'件数(合算）'!E86</f>
        <v>9000</v>
      </c>
      <c r="F85" s="5">
        <f>'件数(合算）'!F86</f>
        <v>9000</v>
      </c>
      <c r="G85" s="5">
        <f>'件数(合算）'!G86</f>
        <v>19000</v>
      </c>
      <c r="K85" s="4">
        <f>'件数(合算）'!K86</f>
        <v>0.1</v>
      </c>
      <c r="L85" s="4">
        <f>'件数(合算）'!K86</f>
        <v>0.1</v>
      </c>
      <c r="M85" s="4">
        <f>'件数(合算）'!K86</f>
        <v>0.1</v>
      </c>
      <c r="N85" s="4">
        <f>'件数(合算）'!K86</f>
        <v>0.1</v>
      </c>
      <c r="O85" s="5">
        <f>ROUND('件数(合算）'!P86*'件数(合算）'!K86*$G85,0)</f>
        <v>0</v>
      </c>
      <c r="P85" s="5">
        <f>ROUND('件数(合算）'!Q86*'件数(合算）'!K86*$G85,0)</f>
        <v>0</v>
      </c>
      <c r="Q85" s="5">
        <f>ROUND('件数(合算）'!R86*'件数(合算）'!K86*$G85,0)</f>
        <v>0</v>
      </c>
      <c r="R85" s="5">
        <f>ROUND('件数(合算）'!S86*'件数(合算）'!K86*$G85,0)</f>
        <v>0</v>
      </c>
      <c r="S85" s="5">
        <f>ROUND('件数(合算）'!T86*'件数(合算）'!K86*$G85,0)</f>
        <v>0</v>
      </c>
      <c r="T85" s="5">
        <f>ROUND('件数(合算）'!U86*'件数(合算）'!K86*$G85,0)</f>
        <v>0</v>
      </c>
      <c r="U85" s="5">
        <f>ROUND('件数(合算）'!V86*'件数(合算）'!K86*$G85,0)</f>
        <v>0</v>
      </c>
      <c r="V85" s="5">
        <f>ROUND('件数(合算）'!W86*'件数(合算）'!K86*$G85,0)</f>
        <v>0</v>
      </c>
      <c r="W85" s="5">
        <f>ROUND('件数(合算）'!X86*'件数(合算）'!K86*$G85,0)</f>
        <v>0</v>
      </c>
      <c r="X85" s="5">
        <f>ROUND('件数(合算）'!Y86*'件数(合算）'!K86*$G85,0)</f>
        <v>0</v>
      </c>
      <c r="Y85" s="5">
        <f>ROUND('件数(合算）'!Z86*'件数(合算）'!K86*$G85,0)</f>
        <v>0</v>
      </c>
      <c r="Z85" s="5">
        <f>ROUND('件数(合算）'!AA86*'件数(合算）'!K86*$F85,0)</f>
        <v>0</v>
      </c>
      <c r="AA85" s="5">
        <f>ROUND('件数(合算）'!AB86*'件数(合算）'!K86*$F85,0)</f>
        <v>0</v>
      </c>
      <c r="AB85" s="5">
        <f>ROUND('件数(合算）'!AC86*'件数(合算）'!K86*$F85,0)</f>
        <v>0</v>
      </c>
      <c r="AC85" s="5">
        <f>ROUND('件数(合算）'!AD86*'件数(合算）'!K86*$F85,0)</f>
        <v>0</v>
      </c>
      <c r="AD85" s="5">
        <f>ROUND('件数(合算）'!AE86*'件数(合算）'!K86*$F85,0)</f>
        <v>0</v>
      </c>
      <c r="AE85" s="5">
        <f>ROUND('件数(合算）'!AF86*'件数(合算）'!K86*$F85,0)</f>
        <v>0</v>
      </c>
      <c r="AF85" s="5">
        <f>ROUND('件数(合算）'!AG86*'件数(合算）'!K86*$E85,0)</f>
        <v>0</v>
      </c>
      <c r="AG85" s="5">
        <f>ROUND('件数(合算）'!AH86*'件数(合算）'!K86*$E85,0)</f>
        <v>0</v>
      </c>
      <c r="AH85" s="5">
        <f>ROUND('件数(合算）'!AI86*'件数(合算）'!K86*$E85,0)</f>
        <v>0</v>
      </c>
      <c r="AI85" s="5">
        <f>ROUND('件数(合算）'!AJ86*'件数(合算）'!K86*$E85,0)</f>
        <v>0</v>
      </c>
      <c r="AJ85" s="5">
        <f>ROUND('件数(合算）'!AK86*'件数(合算）'!K86*$E85,0)</f>
        <v>0</v>
      </c>
      <c r="AK85" s="5">
        <f>ROUND('件数(合算）'!AL86*'件数(合算）'!K86*$F85,0)</f>
        <v>0</v>
      </c>
      <c r="AL85" s="5">
        <f>ROUND('件数(合算）'!AM86*'件数(合算）'!K86*$F85,0)</f>
        <v>0</v>
      </c>
      <c r="AM85" s="5">
        <f>ROUND('件数(合算）'!AN86*'件数(合算）'!K86*$E85,0)</f>
        <v>0</v>
      </c>
      <c r="AN85" s="5">
        <f>ROUND('件数(合算）'!AO86*'件数(合算）'!K86*$E85,0)</f>
        <v>0</v>
      </c>
      <c r="AO85" s="5">
        <f>ROUND('件数(合算）'!AP86*'件数(合算）'!K86*$E85,0)</f>
        <v>0</v>
      </c>
      <c r="AP85" s="5">
        <f>ROUND('件数(合算）'!AQ86*'件数(合算）'!K86*$E85,0)</f>
        <v>0</v>
      </c>
      <c r="AQ85" s="5">
        <f>ROUND('件数(合算）'!AR86*'件数(合算）'!K86*$E85,0)</f>
        <v>0</v>
      </c>
      <c r="AR85" s="5">
        <f>ROUND('件数(合算）'!AS86*'件数(合算）'!K86*$E85,0)</f>
        <v>0</v>
      </c>
      <c r="AS85" s="5">
        <f>ROUND('件数(合算）'!AT86*'件数(合算）'!K86*$E85,0)</f>
        <v>0</v>
      </c>
      <c r="AT85" s="5">
        <f>ROUND('件数(合算）'!AU86*'件数(合算）'!K86*$E85,0)</f>
        <v>0</v>
      </c>
      <c r="AU85" s="5">
        <f>ROUND('件数(合算）'!AV86*'件数(合算）'!K86*$E85,0)</f>
        <v>0</v>
      </c>
      <c r="AV85" s="12">
        <f t="shared" si="6"/>
        <v>0</v>
      </c>
    </row>
    <row r="86" spans="1:48" ht="22" customHeight="1">
      <c r="A86" s="34">
        <v>388297</v>
      </c>
      <c r="B86" s="35" t="s">
        <v>183</v>
      </c>
      <c r="C86" s="32"/>
      <c r="D86" s="39"/>
      <c r="E86" s="49">
        <f>'件数(合算）'!E87</f>
        <v>9000</v>
      </c>
      <c r="F86" s="49">
        <f>'件数(合算）'!F87</f>
        <v>9000</v>
      </c>
      <c r="G86" s="49">
        <f>'件数(合算）'!G87</f>
        <v>13000</v>
      </c>
      <c r="K86" s="37">
        <f>'件数(合算）'!K87</f>
        <v>0.1</v>
      </c>
      <c r="L86" s="37">
        <f>'件数(合算）'!K87</f>
        <v>0.1</v>
      </c>
      <c r="M86" s="37">
        <f>'件数(合算）'!K87</f>
        <v>0.1</v>
      </c>
      <c r="N86" s="37">
        <f>'件数(合算）'!K87</f>
        <v>0.1</v>
      </c>
      <c r="O86" s="49">
        <f>ROUND('件数(合算）'!P87*'件数(合算）'!K87*$G86,0)</f>
        <v>0</v>
      </c>
      <c r="P86" s="49">
        <f>ROUND('件数(合算）'!Q87*'件数(合算）'!K87*$G86,0)</f>
        <v>0</v>
      </c>
      <c r="Q86" s="49">
        <f>ROUND('件数(合算）'!R87*'件数(合算）'!K87*$G86,0)</f>
        <v>2600</v>
      </c>
      <c r="R86" s="49">
        <f>ROUND('件数(合算）'!S87*'件数(合算）'!K87*$G86,0)</f>
        <v>0</v>
      </c>
      <c r="S86" s="49">
        <f>ROUND('件数(合算）'!T87*'件数(合算）'!K87*$G86,0)</f>
        <v>0</v>
      </c>
      <c r="T86" s="49">
        <f>ROUND('件数(合算）'!U87*'件数(合算）'!K87*$G86,0)</f>
        <v>0</v>
      </c>
      <c r="U86" s="49">
        <f>ROUND('件数(合算）'!V87*'件数(合算）'!K87*$G86,0)</f>
        <v>0</v>
      </c>
      <c r="V86" s="49">
        <f>ROUND('件数(合算）'!W87*'件数(合算）'!K87*$G86,0)</f>
        <v>0</v>
      </c>
      <c r="W86" s="49">
        <f>ROUND('件数(合算）'!X87*'件数(合算）'!K87*$G86,0)</f>
        <v>0</v>
      </c>
      <c r="X86" s="49">
        <f>ROUND('件数(合算）'!Y87*'件数(合算）'!K87*$G86,0)</f>
        <v>0</v>
      </c>
      <c r="Y86" s="49">
        <f>ROUND('件数(合算）'!Z87*'件数(合算）'!K87*$G86,0)</f>
        <v>0</v>
      </c>
      <c r="Z86" s="49">
        <f>ROUND('件数(合算）'!AA87*'件数(合算）'!K87*$F86,0)</f>
        <v>0</v>
      </c>
      <c r="AA86" s="49">
        <f>ROUND('件数(合算）'!AB87*'件数(合算）'!K87*$F86,0)</f>
        <v>0</v>
      </c>
      <c r="AB86" s="49">
        <f>ROUND('件数(合算）'!AC87*'件数(合算）'!K87*$F86,0)</f>
        <v>0</v>
      </c>
      <c r="AC86" s="49">
        <f>ROUND('件数(合算）'!AD87*'件数(合算）'!K87*$F86,0)</f>
        <v>0</v>
      </c>
      <c r="AD86" s="49">
        <f>ROUND('件数(合算）'!AE87*'件数(合算）'!K87*$F86,0)</f>
        <v>0</v>
      </c>
      <c r="AE86" s="49">
        <f>ROUND('件数(合算）'!AF87*'件数(合算）'!K87*$F86,0)</f>
        <v>0</v>
      </c>
      <c r="AF86" s="49">
        <f>ROUND('件数(合算）'!AG87*'件数(合算）'!K87*$E86,0)</f>
        <v>0</v>
      </c>
      <c r="AG86" s="49">
        <f>ROUND('件数(合算）'!AH87*'件数(合算）'!K87*$E86,0)</f>
        <v>0</v>
      </c>
      <c r="AH86" s="49">
        <f>ROUND('件数(合算）'!AI87*'件数(合算）'!K87*$E86,0)</f>
        <v>0</v>
      </c>
      <c r="AI86" s="49">
        <f>ROUND('件数(合算）'!AJ87*'件数(合算）'!K87*$E86,0)</f>
        <v>0</v>
      </c>
      <c r="AJ86" s="49">
        <f>ROUND('件数(合算）'!AK87*'件数(合算）'!K87*$E86,0)</f>
        <v>0</v>
      </c>
      <c r="AK86" s="49">
        <f>ROUND('件数(合算）'!AL87*'件数(合算）'!K87*$F86,0)</f>
        <v>0</v>
      </c>
      <c r="AL86" s="49">
        <f>ROUND('件数(合算）'!AM87*'件数(合算）'!K87*$F86,0)</f>
        <v>0</v>
      </c>
      <c r="AM86" s="49">
        <f>ROUND('件数(合算）'!AN87*'件数(合算）'!K87*$E86,0)</f>
        <v>0</v>
      </c>
      <c r="AN86" s="49">
        <f>ROUND('件数(合算）'!AO87*'件数(合算）'!K87*$E86,0)</f>
        <v>0</v>
      </c>
      <c r="AO86" s="49">
        <f>ROUND('件数(合算）'!AP87*'件数(合算）'!K87*$E86,0)</f>
        <v>0</v>
      </c>
      <c r="AP86" s="49">
        <f>ROUND('件数(合算）'!AQ87*'件数(合算）'!K87*$E86,0)</f>
        <v>0</v>
      </c>
      <c r="AQ86" s="49">
        <f>ROUND('件数(合算）'!AR87*'件数(合算）'!K87*$E86,0)</f>
        <v>0</v>
      </c>
      <c r="AR86" s="49">
        <f>ROUND('件数(合算）'!AS87*'件数(合算）'!K87*$E86,0)</f>
        <v>0</v>
      </c>
      <c r="AS86" s="49">
        <f>ROUND('件数(合算）'!AT87*'件数(合算）'!K87*$E86,0)</f>
        <v>0</v>
      </c>
      <c r="AT86" s="49">
        <f>ROUND('件数(合算）'!AU87*'件数(合算）'!K87*$E86,0)</f>
        <v>0</v>
      </c>
      <c r="AU86" s="49">
        <f>ROUND('件数(合算）'!AV87*'件数(合算）'!K87*$E86,0)</f>
        <v>0</v>
      </c>
      <c r="AV86" s="12">
        <f t="shared" si="6"/>
        <v>2600</v>
      </c>
    </row>
    <row r="87" spans="1:48" ht="22" customHeight="1">
      <c r="A87" s="26">
        <v>390299</v>
      </c>
      <c r="B87" s="27" t="s">
        <v>184</v>
      </c>
      <c r="C87" s="25" t="s">
        <v>212</v>
      </c>
      <c r="D87" s="9"/>
      <c r="E87" s="5">
        <f>'件数(合算）'!E88</f>
        <v>9000</v>
      </c>
      <c r="F87" s="5">
        <f>'件数(合算）'!F88</f>
        <v>9000</v>
      </c>
      <c r="G87" s="5">
        <f>'件数(合算）'!G88</f>
        <v>12000</v>
      </c>
      <c r="K87" s="4">
        <f>'件数(合算）'!K88</f>
        <v>0.1</v>
      </c>
      <c r="L87" s="4">
        <f>'件数(合算）'!K88</f>
        <v>0.1</v>
      </c>
      <c r="M87" s="4">
        <f>'件数(合算）'!K88</f>
        <v>0.1</v>
      </c>
      <c r="N87" s="4">
        <f>'件数(合算）'!K88</f>
        <v>0.1</v>
      </c>
      <c r="O87" s="5">
        <f>ROUND('件数(合算）'!P88*'件数(合算）'!K88*$G87,0)</f>
        <v>0</v>
      </c>
      <c r="P87" s="5">
        <f>ROUND('件数(合算）'!Q88*'件数(合算）'!K88*$G87,0)</f>
        <v>0</v>
      </c>
      <c r="Q87" s="5">
        <f>ROUND('件数(合算）'!R88*'件数(合算）'!K88*$G87,0)</f>
        <v>0</v>
      </c>
      <c r="R87" s="5">
        <f>ROUND('件数(合算）'!S88*'件数(合算）'!K88*$G87,0)</f>
        <v>0</v>
      </c>
      <c r="S87" s="5">
        <f>ROUND('件数(合算）'!T88*'件数(合算）'!K88*$G87,0)</f>
        <v>0</v>
      </c>
      <c r="T87" s="5">
        <f>ROUND('件数(合算）'!U88*'件数(合算）'!K88*$G87,0)</f>
        <v>0</v>
      </c>
      <c r="U87" s="5">
        <f>ROUND('件数(合算）'!V88*'件数(合算）'!K88*$G87,0)</f>
        <v>0</v>
      </c>
      <c r="V87" s="5">
        <f>ROUND('件数(合算）'!W88*'件数(合算）'!K88*$G87,0)</f>
        <v>0</v>
      </c>
      <c r="W87" s="5">
        <f>ROUND('件数(合算）'!X88*'件数(合算）'!K88*$G87,0)</f>
        <v>0</v>
      </c>
      <c r="X87" s="5">
        <f>ROUND('件数(合算）'!Y88*'件数(合算）'!K88*$G87,0)</f>
        <v>3600</v>
      </c>
      <c r="Y87" s="5">
        <f>ROUND('件数(合算）'!Z88*'件数(合算）'!K88*$G87,0)</f>
        <v>0</v>
      </c>
      <c r="Z87" s="5">
        <f>ROUND('件数(合算）'!AA88*'件数(合算）'!K88*$F87,0)</f>
        <v>0</v>
      </c>
      <c r="AA87" s="5">
        <f>ROUND('件数(合算）'!AB88*'件数(合算）'!K88*$F87,0)</f>
        <v>0</v>
      </c>
      <c r="AB87" s="5">
        <f>ROUND('件数(合算）'!AC88*'件数(合算）'!K88*$F87,0)</f>
        <v>0</v>
      </c>
      <c r="AC87" s="5">
        <f>ROUND('件数(合算）'!AD88*'件数(合算）'!K88*$F87,0)</f>
        <v>0</v>
      </c>
      <c r="AD87" s="5">
        <f>ROUND('件数(合算）'!AE88*'件数(合算）'!K88*$F87,0)</f>
        <v>0</v>
      </c>
      <c r="AE87" s="5">
        <f>ROUND('件数(合算）'!AF88*'件数(合算）'!K88*$F87,0)</f>
        <v>0</v>
      </c>
      <c r="AF87" s="5">
        <f>ROUND('件数(合算）'!AG88*'件数(合算）'!K88*$E87,0)</f>
        <v>0</v>
      </c>
      <c r="AG87" s="5">
        <f>ROUND('件数(合算）'!AH88*'件数(合算）'!K88*$E87,0)</f>
        <v>0</v>
      </c>
      <c r="AH87" s="5">
        <f>ROUND('件数(合算）'!AI88*'件数(合算）'!K88*$E87,0)</f>
        <v>0</v>
      </c>
      <c r="AI87" s="5">
        <f>ROUND('件数(合算）'!AJ88*'件数(合算）'!K88*$E87,0)</f>
        <v>0</v>
      </c>
      <c r="AJ87" s="5">
        <f>ROUND('件数(合算）'!AK88*'件数(合算）'!K88*$E87,0)</f>
        <v>0</v>
      </c>
      <c r="AK87" s="5">
        <f>ROUND('件数(合算）'!AL88*'件数(合算）'!K88*$F87,0)</f>
        <v>0</v>
      </c>
      <c r="AL87" s="5">
        <f>ROUND('件数(合算）'!AM88*'件数(合算）'!K88*$F87,0)</f>
        <v>0</v>
      </c>
      <c r="AM87" s="5">
        <f>ROUND('件数(合算）'!AN88*'件数(合算）'!K88*$E87,0)</f>
        <v>0</v>
      </c>
      <c r="AN87" s="5">
        <f>ROUND('件数(合算）'!AO88*'件数(合算）'!K88*$E87,0)</f>
        <v>0</v>
      </c>
      <c r="AO87" s="5">
        <f>ROUND('件数(合算）'!AP88*'件数(合算）'!K88*$E87,0)</f>
        <v>0</v>
      </c>
      <c r="AP87" s="5">
        <f>ROUND('件数(合算）'!AQ88*'件数(合算）'!K88*$E87,0)</f>
        <v>0</v>
      </c>
      <c r="AQ87" s="5">
        <f>ROUND('件数(合算）'!AR88*'件数(合算）'!K88*$E87,0)</f>
        <v>0</v>
      </c>
      <c r="AR87" s="5">
        <f>ROUND('件数(合算）'!AS88*'件数(合算）'!K88*$E87,0)</f>
        <v>0</v>
      </c>
      <c r="AS87" s="5">
        <f>ROUND('件数(合算）'!AT88*'件数(合算）'!K88*$E87,0)</f>
        <v>0</v>
      </c>
      <c r="AT87" s="5">
        <f>ROUND('件数(合算）'!AU88*'件数(合算）'!K88*$E87,0)</f>
        <v>0</v>
      </c>
      <c r="AU87" s="5">
        <f>ROUND('件数(合算）'!AV88*'件数(合算）'!K88*$E87,0)</f>
        <v>0</v>
      </c>
      <c r="AV87" s="12">
        <f t="shared" si="6"/>
        <v>3600</v>
      </c>
    </row>
    <row r="88" spans="1:48" ht="22" customHeight="1">
      <c r="A88" s="34">
        <v>1695</v>
      </c>
      <c r="B88" s="35" t="s">
        <v>185</v>
      </c>
      <c r="C88" s="32" t="s">
        <v>212</v>
      </c>
      <c r="D88" s="39"/>
      <c r="E88" s="49">
        <f>'件数(合算）'!E89</f>
        <v>9000</v>
      </c>
      <c r="F88" s="49">
        <f>'件数(合算）'!F89</f>
        <v>9000</v>
      </c>
      <c r="G88" s="49">
        <f>'件数(合算）'!G89</f>
        <v>11000</v>
      </c>
      <c r="K88" s="37">
        <f>'件数(合算）'!K89</f>
        <v>6.25E-2</v>
      </c>
      <c r="L88" s="37">
        <f>'件数(合算）'!K89</f>
        <v>6.25E-2</v>
      </c>
      <c r="M88" s="37">
        <f>'件数(合算）'!K89</f>
        <v>6.25E-2</v>
      </c>
      <c r="N88" s="37">
        <f>'件数(合算）'!K89</f>
        <v>6.25E-2</v>
      </c>
      <c r="O88" s="49">
        <f>ROUND('件数(合算）'!P89*'件数(合算）'!K89*$G88,0)</f>
        <v>0</v>
      </c>
      <c r="P88" s="49">
        <f>ROUND('件数(合算）'!Q89*'件数(合算）'!K89*$G88,0)</f>
        <v>0</v>
      </c>
      <c r="Q88" s="49">
        <f>ROUND('件数(合算）'!R89*'件数(合算）'!K89*$G88,0)</f>
        <v>1375</v>
      </c>
      <c r="R88" s="49">
        <f>ROUND('件数(合算）'!S89*'件数(合算）'!K89*$G88,0)</f>
        <v>0</v>
      </c>
      <c r="S88" s="49">
        <f>ROUND('件数(合算）'!T89*'件数(合算）'!K89*$G88,0)</f>
        <v>0</v>
      </c>
      <c r="T88" s="49">
        <f>ROUND('件数(合算）'!U89*'件数(合算）'!K89*$G88,0)</f>
        <v>0</v>
      </c>
      <c r="U88" s="49">
        <f>ROUND('件数(合算）'!V89*'件数(合算）'!K89*$G88,0)</f>
        <v>0</v>
      </c>
      <c r="V88" s="49">
        <f>ROUND('件数(合算）'!W89*'件数(合算）'!K89*$G88,0)</f>
        <v>0</v>
      </c>
      <c r="W88" s="49">
        <f>ROUND('件数(合算）'!X89*'件数(合算）'!K89*$G88,0)</f>
        <v>0</v>
      </c>
      <c r="X88" s="49">
        <f>ROUND('件数(合算）'!Y89*'件数(合算）'!K89*$G88,0)</f>
        <v>0</v>
      </c>
      <c r="Y88" s="49">
        <f>ROUND('件数(合算）'!Z89*'件数(合算）'!K89*$G88,0)</f>
        <v>0</v>
      </c>
      <c r="Z88" s="49">
        <f>ROUND('件数(合算）'!AA89*'件数(合算）'!K89*$F88,0)</f>
        <v>0</v>
      </c>
      <c r="AA88" s="49">
        <f>ROUND('件数(合算）'!AB89*'件数(合算）'!K89*$F88,0)</f>
        <v>0</v>
      </c>
      <c r="AB88" s="49">
        <f>ROUND('件数(合算）'!AC89*'件数(合算）'!K89*$F88,0)</f>
        <v>0</v>
      </c>
      <c r="AC88" s="49">
        <f>ROUND('件数(合算）'!AD89*'件数(合算）'!K89*$F88,0)</f>
        <v>0</v>
      </c>
      <c r="AD88" s="49">
        <f>ROUND('件数(合算）'!AE89*'件数(合算）'!K89*$F88,0)</f>
        <v>0</v>
      </c>
      <c r="AE88" s="49">
        <f>ROUND('件数(合算）'!AF89*'件数(合算）'!K89*$F88,0)</f>
        <v>0</v>
      </c>
      <c r="AF88" s="49">
        <f>ROUND('件数(合算）'!AG89*'件数(合算）'!K89*$E88,0)</f>
        <v>0</v>
      </c>
      <c r="AG88" s="49">
        <f>ROUND('件数(合算）'!AH89*'件数(合算）'!K89*$E88,0)</f>
        <v>0</v>
      </c>
      <c r="AH88" s="49">
        <f>ROUND('件数(合算）'!AI89*'件数(合算）'!K89*$E88,0)</f>
        <v>0</v>
      </c>
      <c r="AI88" s="49">
        <f>ROUND('件数(合算）'!AJ89*'件数(合算）'!K89*$E88,0)</f>
        <v>0</v>
      </c>
      <c r="AJ88" s="49">
        <f>ROUND('件数(合算）'!AK89*'件数(合算）'!K89*$E88,0)</f>
        <v>0</v>
      </c>
      <c r="AK88" s="49">
        <f>ROUND('件数(合算）'!AL89*'件数(合算）'!K89*$F88,0)</f>
        <v>0</v>
      </c>
      <c r="AL88" s="49">
        <f>ROUND('件数(合算）'!AM89*'件数(合算）'!K89*$F88,0)</f>
        <v>0</v>
      </c>
      <c r="AM88" s="49">
        <f>ROUND('件数(合算）'!AN89*'件数(合算）'!K89*$E88,0)</f>
        <v>0</v>
      </c>
      <c r="AN88" s="49">
        <f>ROUND('件数(合算）'!AO89*'件数(合算）'!K89*$E88,0)</f>
        <v>0</v>
      </c>
      <c r="AO88" s="49">
        <f>ROUND('件数(合算）'!AP89*'件数(合算）'!K89*$E88,0)</f>
        <v>0</v>
      </c>
      <c r="AP88" s="49">
        <f>ROUND('件数(合算）'!AQ89*'件数(合算）'!K89*$E88,0)</f>
        <v>0</v>
      </c>
      <c r="AQ88" s="49">
        <f>ROUND('件数(合算）'!AR89*'件数(合算）'!K89*$E88,0)</f>
        <v>0</v>
      </c>
      <c r="AR88" s="49">
        <f>ROUND('件数(合算）'!AS89*'件数(合算）'!K89*$E88,0)</f>
        <v>0</v>
      </c>
      <c r="AS88" s="49">
        <f>ROUND('件数(合算）'!AT89*'件数(合算）'!K89*$E88,0)</f>
        <v>0</v>
      </c>
      <c r="AT88" s="49">
        <f>ROUND('件数(合算）'!AU89*'件数(合算）'!K89*$E88,0)</f>
        <v>0</v>
      </c>
      <c r="AU88" s="49">
        <f>ROUND('件数(合算）'!AV89*'件数(合算）'!K89*$E88,0)</f>
        <v>0</v>
      </c>
      <c r="AV88" s="12">
        <f t="shared" si="6"/>
        <v>1375</v>
      </c>
    </row>
    <row r="89" spans="1:48" ht="22" customHeight="1">
      <c r="A89" s="26">
        <v>33077</v>
      </c>
      <c r="B89" s="27" t="s">
        <v>186</v>
      </c>
      <c r="C89" s="25" t="s">
        <v>212</v>
      </c>
      <c r="D89" s="9"/>
      <c r="E89" s="5">
        <f>'件数(合算）'!E90</f>
        <v>9000</v>
      </c>
      <c r="F89" s="5">
        <f>'件数(合算）'!F90</f>
        <v>9000</v>
      </c>
      <c r="G89" s="5">
        <f>'件数(合算）'!G90</f>
        <v>13000</v>
      </c>
      <c r="K89" s="4">
        <f>'件数(合算）'!K90</f>
        <v>0.1785714285714286</v>
      </c>
      <c r="L89" s="4">
        <f>'件数(合算）'!K90</f>
        <v>0.1785714285714286</v>
      </c>
      <c r="M89" s="4">
        <f>'件数(合算）'!K90</f>
        <v>0.1785714285714286</v>
      </c>
      <c r="N89" s="4">
        <f>'件数(合算）'!K90</f>
        <v>0.1785714285714286</v>
      </c>
      <c r="O89" s="5">
        <f>ROUND('件数(合算）'!P90*'件数(合算）'!K90*$G89,0)</f>
        <v>0</v>
      </c>
      <c r="P89" s="5">
        <f>ROUND('件数(合算）'!Q90*'件数(合算）'!K90*$G89,0)</f>
        <v>4643</v>
      </c>
      <c r="Q89" s="5">
        <f>ROUND('件数(合算）'!R90*'件数(合算）'!K90*$G89,0)</f>
        <v>4643</v>
      </c>
      <c r="R89" s="5">
        <f>ROUND('件数(合算）'!S90*'件数(合算）'!K90*$G89,0)</f>
        <v>0</v>
      </c>
      <c r="S89" s="5">
        <f>ROUND('件数(合算）'!T90*'件数(合算）'!K90*$G89,0)</f>
        <v>0</v>
      </c>
      <c r="T89" s="5">
        <f>ROUND('件数(合算）'!U90*'件数(合算）'!K90*$G89,0)</f>
        <v>0</v>
      </c>
      <c r="U89" s="5">
        <f>ROUND('件数(合算）'!V90*'件数(合算）'!K90*$G89,0)</f>
        <v>0</v>
      </c>
      <c r="V89" s="5">
        <f>ROUND('件数(合算）'!W90*'件数(合算）'!K90*$G89,0)</f>
        <v>0</v>
      </c>
      <c r="W89" s="5">
        <f>ROUND('件数(合算）'!X90*'件数(合算）'!K90*$G89,0)</f>
        <v>4643</v>
      </c>
      <c r="X89" s="5">
        <f>ROUND('件数(合算）'!Y90*'件数(合算）'!K90*$G89,0)</f>
        <v>0</v>
      </c>
      <c r="Y89" s="5">
        <f>ROUND('件数(合算）'!Z90*'件数(合算）'!K90*$G89,0)</f>
        <v>0</v>
      </c>
      <c r="Z89" s="5">
        <f>ROUND('件数(合算）'!AA90*'件数(合算）'!K90*$F89,0)</f>
        <v>0</v>
      </c>
      <c r="AA89" s="5">
        <f>ROUND('件数(合算）'!AB90*'件数(合算）'!K90*$F89,0)</f>
        <v>0</v>
      </c>
      <c r="AB89" s="5">
        <f>ROUND('件数(合算）'!AC90*'件数(合算）'!K90*$F89,0)</f>
        <v>0</v>
      </c>
      <c r="AC89" s="5">
        <f>ROUND('件数(合算）'!AD90*'件数(合算）'!K90*$F89,0)</f>
        <v>0</v>
      </c>
      <c r="AD89" s="5">
        <f>ROUND('件数(合算）'!AE90*'件数(合算）'!K90*$F89,0)</f>
        <v>0</v>
      </c>
      <c r="AE89" s="5">
        <f>ROUND('件数(合算）'!AF90*'件数(合算）'!K90*$F89,0)</f>
        <v>0</v>
      </c>
      <c r="AF89" s="5">
        <f>ROUND('件数(合算）'!AG90*'件数(合算）'!K90*$E89,0)</f>
        <v>0</v>
      </c>
      <c r="AG89" s="5">
        <f>ROUND('件数(合算）'!AH90*'件数(合算）'!K90*$E89,0)</f>
        <v>0</v>
      </c>
      <c r="AH89" s="5">
        <f>ROUND('件数(合算）'!AI90*'件数(合算）'!K90*$E89,0)</f>
        <v>0</v>
      </c>
      <c r="AI89" s="5">
        <f>ROUND('件数(合算）'!AJ90*'件数(合算）'!K90*$E89,0)</f>
        <v>0</v>
      </c>
      <c r="AJ89" s="5">
        <f>ROUND('件数(合算）'!AK90*'件数(合算）'!K90*$E89,0)</f>
        <v>0</v>
      </c>
      <c r="AK89" s="5">
        <f>ROUND('件数(合算）'!AL90*'件数(合算）'!K90*$F89,0)</f>
        <v>0</v>
      </c>
      <c r="AL89" s="5">
        <f>ROUND('件数(合算）'!AM90*'件数(合算）'!K90*$F89,0)</f>
        <v>0</v>
      </c>
      <c r="AM89" s="5">
        <f>ROUND('件数(合算）'!AN90*'件数(合算）'!K90*$E89,0)</f>
        <v>0</v>
      </c>
      <c r="AN89" s="5">
        <f>ROUND('件数(合算）'!AO90*'件数(合算）'!K90*$E89,0)</f>
        <v>0</v>
      </c>
      <c r="AO89" s="5">
        <f>ROUND('件数(合算）'!AP90*'件数(合算）'!K90*$E89,0)</f>
        <v>0</v>
      </c>
      <c r="AP89" s="5">
        <f>ROUND('件数(合算）'!AQ90*'件数(合算）'!K90*$E89,0)</f>
        <v>0</v>
      </c>
      <c r="AQ89" s="5">
        <f>ROUND('件数(合算）'!AR90*'件数(合算）'!K90*$E89,0)</f>
        <v>0</v>
      </c>
      <c r="AR89" s="5">
        <f>ROUND('件数(合算）'!AS90*'件数(合算）'!K90*$E89,0)</f>
        <v>0</v>
      </c>
      <c r="AS89" s="5">
        <f>ROUND('件数(合算）'!AT90*'件数(合算）'!K90*$E89,0)</f>
        <v>0</v>
      </c>
      <c r="AT89" s="5">
        <f>ROUND('件数(合算）'!AU90*'件数(合算）'!K90*$E89,0)</f>
        <v>0</v>
      </c>
      <c r="AU89" s="5">
        <f>ROUND('件数(合算）'!AV90*'件数(合算）'!K90*$E89,0)</f>
        <v>0</v>
      </c>
      <c r="AV89" s="12">
        <f t="shared" si="6"/>
        <v>13929</v>
      </c>
    </row>
    <row r="90" spans="1:48" ht="22" customHeight="1">
      <c r="A90" s="34">
        <v>74401</v>
      </c>
      <c r="B90" s="35" t="s">
        <v>187</v>
      </c>
      <c r="C90" s="32" t="s">
        <v>212</v>
      </c>
      <c r="D90" s="39"/>
      <c r="E90" s="49">
        <f>'件数(合算）'!E91</f>
        <v>9000</v>
      </c>
      <c r="F90" s="49">
        <f>'件数(合算）'!F91</f>
        <v>9000</v>
      </c>
      <c r="G90" s="49">
        <f>'件数(合算）'!G91</f>
        <v>13000</v>
      </c>
      <c r="K90" s="37">
        <f>'件数(合算）'!K91</f>
        <v>3.3333333333333333E-2</v>
      </c>
      <c r="L90" s="37">
        <f>'件数(合算）'!K91</f>
        <v>3.3333333333333333E-2</v>
      </c>
      <c r="M90" s="37">
        <f>'件数(合算）'!K91</f>
        <v>3.3333333333333333E-2</v>
      </c>
      <c r="N90" s="37">
        <f>'件数(合算）'!K91</f>
        <v>3.3333333333333333E-2</v>
      </c>
      <c r="O90" s="49">
        <f>ROUND('件数(合算）'!P91*'件数(合算）'!K91*$G90,0)</f>
        <v>0</v>
      </c>
      <c r="P90" s="49">
        <f>ROUND('件数(合算）'!Q91*'件数(合算）'!K91*$G90,0)</f>
        <v>867</v>
      </c>
      <c r="Q90" s="49">
        <f>ROUND('件数(合算）'!R91*'件数(合算）'!K91*$G90,0)</f>
        <v>867</v>
      </c>
      <c r="R90" s="49">
        <f>ROUND('件数(合算）'!S91*'件数(合算）'!K91*$G90,0)</f>
        <v>0</v>
      </c>
      <c r="S90" s="49">
        <f>ROUND('件数(合算）'!T91*'件数(合算）'!K91*$G90,0)</f>
        <v>0</v>
      </c>
      <c r="T90" s="49">
        <f>ROUND('件数(合算）'!U91*'件数(合算）'!K91*$G90,0)</f>
        <v>0</v>
      </c>
      <c r="U90" s="49">
        <f>ROUND('件数(合算）'!V91*'件数(合算）'!K91*$G90,0)</f>
        <v>0</v>
      </c>
      <c r="V90" s="49">
        <f>ROUND('件数(合算）'!W91*'件数(合算）'!K91*$G90,0)</f>
        <v>0</v>
      </c>
      <c r="W90" s="49">
        <f>ROUND('件数(合算）'!X91*'件数(合算）'!K91*$G90,0)</f>
        <v>867</v>
      </c>
      <c r="X90" s="49">
        <f>ROUND('件数(合算）'!Y91*'件数(合算）'!K91*$G90,0)</f>
        <v>0</v>
      </c>
      <c r="Y90" s="49">
        <f>ROUND('件数(合算）'!Z91*'件数(合算）'!K91*$G90,0)</f>
        <v>0</v>
      </c>
      <c r="Z90" s="49">
        <f>ROUND('件数(合算）'!AA91*'件数(合算）'!K91*$F90,0)</f>
        <v>0</v>
      </c>
      <c r="AA90" s="49">
        <f>ROUND('件数(合算）'!AB91*'件数(合算）'!K91*$F90,0)</f>
        <v>0</v>
      </c>
      <c r="AB90" s="49">
        <f>ROUND('件数(合算）'!AC91*'件数(合算）'!K91*$F90,0)</f>
        <v>0</v>
      </c>
      <c r="AC90" s="49">
        <f>ROUND('件数(合算）'!AD91*'件数(合算）'!K91*$F90,0)</f>
        <v>0</v>
      </c>
      <c r="AD90" s="49">
        <f>ROUND('件数(合算）'!AE91*'件数(合算）'!K91*$F90,0)</f>
        <v>0</v>
      </c>
      <c r="AE90" s="49">
        <f>ROUND('件数(合算）'!AF91*'件数(合算）'!K91*$F90,0)</f>
        <v>0</v>
      </c>
      <c r="AF90" s="49">
        <f>ROUND('件数(合算）'!AG91*'件数(合算）'!K91*$E90,0)</f>
        <v>0</v>
      </c>
      <c r="AG90" s="49">
        <f>ROUND('件数(合算）'!AH91*'件数(合算）'!K91*$E90,0)</f>
        <v>0</v>
      </c>
      <c r="AH90" s="49">
        <f>ROUND('件数(合算）'!AI91*'件数(合算）'!K91*$E90,0)</f>
        <v>0</v>
      </c>
      <c r="AI90" s="49">
        <f>ROUND('件数(合算）'!AJ91*'件数(合算）'!K91*$E90,0)</f>
        <v>0</v>
      </c>
      <c r="AJ90" s="49">
        <f>ROUND('件数(合算）'!AK91*'件数(合算）'!K91*$E90,0)</f>
        <v>0</v>
      </c>
      <c r="AK90" s="49">
        <f>ROUND('件数(合算）'!AL91*'件数(合算）'!K91*$F90,0)</f>
        <v>0</v>
      </c>
      <c r="AL90" s="49">
        <f>ROUND('件数(合算）'!AM91*'件数(合算）'!K91*$F90,0)</f>
        <v>0</v>
      </c>
      <c r="AM90" s="49">
        <f>ROUND('件数(合算）'!AN91*'件数(合算）'!K91*$E90,0)</f>
        <v>0</v>
      </c>
      <c r="AN90" s="49">
        <f>ROUND('件数(合算）'!AO91*'件数(合算）'!K91*$E90,0)</f>
        <v>0</v>
      </c>
      <c r="AO90" s="49">
        <f>ROUND('件数(合算）'!AP91*'件数(合算）'!K91*$E90,0)</f>
        <v>0</v>
      </c>
      <c r="AP90" s="49">
        <f>ROUND('件数(合算）'!AQ91*'件数(合算）'!K91*$E90,0)</f>
        <v>0</v>
      </c>
      <c r="AQ90" s="49">
        <f>ROUND('件数(合算）'!AR91*'件数(合算）'!K91*$E90,0)</f>
        <v>0</v>
      </c>
      <c r="AR90" s="49">
        <f>ROUND('件数(合算）'!AS91*'件数(合算）'!K91*$E90,0)</f>
        <v>0</v>
      </c>
      <c r="AS90" s="49">
        <f>ROUND('件数(合算）'!AT91*'件数(合算）'!K91*$E90,0)</f>
        <v>0</v>
      </c>
      <c r="AT90" s="49">
        <f>ROUND('件数(合算）'!AU91*'件数(合算）'!K91*$E90,0)</f>
        <v>0</v>
      </c>
      <c r="AU90" s="49">
        <f>ROUND('件数(合算）'!AV91*'件数(合算）'!K91*$E90,0)</f>
        <v>0</v>
      </c>
      <c r="AV90" s="12">
        <f t="shared" si="6"/>
        <v>2601</v>
      </c>
    </row>
    <row r="91" spans="1:48" ht="22" customHeight="1">
      <c r="A91" s="26">
        <v>129217</v>
      </c>
      <c r="B91" s="27" t="s">
        <v>188</v>
      </c>
      <c r="C91" s="25"/>
      <c r="D91" s="9"/>
      <c r="E91" s="5">
        <f>'件数(合算）'!E92</f>
        <v>9000</v>
      </c>
      <c r="F91" s="5">
        <f>'件数(合算）'!F92</f>
        <v>9000</v>
      </c>
      <c r="G91" s="5">
        <f>'件数(合算）'!G92</f>
        <v>14000</v>
      </c>
      <c r="K91" s="4">
        <f>'件数(合算）'!K92</f>
        <v>6.8965517241379309E-2</v>
      </c>
      <c r="L91" s="4">
        <f>'件数(合算）'!K92</f>
        <v>6.8965517241379309E-2</v>
      </c>
      <c r="M91" s="4">
        <f>'件数(合算）'!K92</f>
        <v>6.8965517241379309E-2</v>
      </c>
      <c r="N91" s="4">
        <f>'件数(合算）'!K92</f>
        <v>6.8965517241379309E-2</v>
      </c>
      <c r="O91" s="5">
        <f>ROUND('件数(合算）'!P92*'件数(合算）'!K92*$G91,0)</f>
        <v>0</v>
      </c>
      <c r="P91" s="5">
        <f>ROUND('件数(合算）'!Q92*'件数(合算）'!K92*$G91,0)</f>
        <v>0</v>
      </c>
      <c r="Q91" s="5">
        <f>ROUND('件数(合算）'!R92*'件数(合算）'!K92*$G91,0)</f>
        <v>0</v>
      </c>
      <c r="R91" s="5">
        <f>ROUND('件数(合算）'!S92*'件数(合算）'!K92*$G91,0)</f>
        <v>0</v>
      </c>
      <c r="S91" s="5">
        <f>ROUND('件数(合算）'!T92*'件数(合算）'!K92*$G91,0)</f>
        <v>0</v>
      </c>
      <c r="T91" s="5">
        <f>ROUND('件数(合算）'!U92*'件数(合算）'!K92*$G91,0)</f>
        <v>0</v>
      </c>
      <c r="U91" s="5">
        <f>ROUND('件数(合算）'!V92*'件数(合算）'!K92*$G91,0)</f>
        <v>0</v>
      </c>
      <c r="V91" s="5">
        <f>ROUND('件数(合算）'!W92*'件数(合算）'!K92*$G91,0)</f>
        <v>0</v>
      </c>
      <c r="W91" s="5">
        <f>ROUND('件数(合算）'!X92*'件数(合算）'!K92*$G91,0)</f>
        <v>0</v>
      </c>
      <c r="X91" s="5">
        <f>ROUND('件数(合算）'!Y92*'件数(合算）'!K92*$G91,0)</f>
        <v>0</v>
      </c>
      <c r="Y91" s="5">
        <f>ROUND('件数(合算）'!Z92*'件数(合算）'!K92*$G91,0)</f>
        <v>0</v>
      </c>
      <c r="Z91" s="5">
        <f>ROUND('件数(合算）'!AA92*'件数(合算）'!K92*$F91,0)</f>
        <v>0</v>
      </c>
      <c r="AA91" s="5">
        <f>ROUND('件数(合算）'!AB92*'件数(合算）'!K92*$F91,0)</f>
        <v>0</v>
      </c>
      <c r="AB91" s="5">
        <f>ROUND('件数(合算）'!AC92*'件数(合算）'!K92*$F91,0)</f>
        <v>0</v>
      </c>
      <c r="AC91" s="5">
        <f>ROUND('件数(合算）'!AD92*'件数(合算）'!K92*$F91,0)</f>
        <v>0</v>
      </c>
      <c r="AD91" s="5">
        <f>ROUND('件数(合算）'!AE92*'件数(合算）'!K92*$F91,0)</f>
        <v>0</v>
      </c>
      <c r="AE91" s="5">
        <f>ROUND('件数(合算）'!AF92*'件数(合算）'!K92*$F91,0)</f>
        <v>0</v>
      </c>
      <c r="AF91" s="5">
        <f>ROUND('件数(合算）'!AG92*'件数(合算）'!K92*$E91,0)</f>
        <v>0</v>
      </c>
      <c r="AG91" s="5">
        <f>ROUND('件数(合算）'!AH92*'件数(合算）'!K92*$E91,0)</f>
        <v>0</v>
      </c>
      <c r="AH91" s="5">
        <f>ROUND('件数(合算）'!AI92*'件数(合算）'!K92*$E91,0)</f>
        <v>0</v>
      </c>
      <c r="AI91" s="5">
        <f>ROUND('件数(合算）'!AJ92*'件数(合算）'!K92*$E91,0)</f>
        <v>0</v>
      </c>
      <c r="AJ91" s="5">
        <f>ROUND('件数(合算）'!AK92*'件数(合算）'!K92*$E91,0)</f>
        <v>0</v>
      </c>
      <c r="AK91" s="5">
        <f>ROUND('件数(合算）'!AL92*'件数(合算）'!K92*$F91,0)</f>
        <v>0</v>
      </c>
      <c r="AL91" s="5">
        <f>ROUND('件数(合算）'!AM92*'件数(合算）'!K92*$F91,0)</f>
        <v>0</v>
      </c>
      <c r="AM91" s="5">
        <f>ROUND('件数(合算）'!AN92*'件数(合算）'!K92*$E91,0)</f>
        <v>0</v>
      </c>
      <c r="AN91" s="5">
        <f>ROUND('件数(合算）'!AO92*'件数(合算）'!K92*$E91,0)</f>
        <v>0</v>
      </c>
      <c r="AO91" s="5">
        <f>ROUND('件数(合算）'!AP92*'件数(合算）'!K92*$E91,0)</f>
        <v>0</v>
      </c>
      <c r="AP91" s="5">
        <f>ROUND('件数(合算）'!AQ92*'件数(合算）'!K92*$E91,0)</f>
        <v>0</v>
      </c>
      <c r="AQ91" s="5">
        <f>ROUND('件数(合算）'!AR92*'件数(合算）'!K92*$E91,0)</f>
        <v>0</v>
      </c>
      <c r="AR91" s="5">
        <f>ROUND('件数(合算）'!AS92*'件数(合算）'!K92*$E91,0)</f>
        <v>0</v>
      </c>
      <c r="AS91" s="5">
        <f>ROUND('件数(合算）'!AT92*'件数(合算）'!K92*$E91,0)</f>
        <v>0</v>
      </c>
      <c r="AT91" s="5">
        <f>ROUND('件数(合算）'!AU92*'件数(合算）'!K92*$E91,0)</f>
        <v>0</v>
      </c>
      <c r="AU91" s="5">
        <f>ROUND('件数(合算）'!AV92*'件数(合算）'!K92*$E91,0)</f>
        <v>0</v>
      </c>
      <c r="AV91" s="12">
        <f t="shared" si="6"/>
        <v>0</v>
      </c>
    </row>
    <row r="92" spans="1:48" ht="22" customHeight="1">
      <c r="A92" s="34">
        <v>135749</v>
      </c>
      <c r="B92" s="35" t="s">
        <v>189</v>
      </c>
      <c r="C92" s="32" t="s">
        <v>212</v>
      </c>
      <c r="D92" s="39"/>
      <c r="E92" s="49">
        <f>'件数(合算）'!E93</f>
        <v>9000</v>
      </c>
      <c r="F92" s="49">
        <f>'件数(合算）'!F93</f>
        <v>9000</v>
      </c>
      <c r="G92" s="49">
        <f>'件数(合算）'!G93</f>
        <v>12000</v>
      </c>
      <c r="K92" s="37">
        <f>'件数(合算）'!K93</f>
        <v>0.1</v>
      </c>
      <c r="L92" s="37">
        <f>'件数(合算）'!K93</f>
        <v>0.1</v>
      </c>
      <c r="M92" s="37">
        <f>'件数(合算）'!K93</f>
        <v>0.1</v>
      </c>
      <c r="N92" s="37">
        <f>'件数(合算）'!K93</f>
        <v>0.1</v>
      </c>
      <c r="O92" s="49">
        <f>ROUND('件数(合算）'!P93*'件数(合算）'!K93*$G92,0)</f>
        <v>0</v>
      </c>
      <c r="P92" s="49">
        <f>ROUND('件数(合算）'!Q93*'件数(合算）'!K93*$G92,0)</f>
        <v>0</v>
      </c>
      <c r="Q92" s="49">
        <f>ROUND('件数(合算）'!R93*'件数(合算）'!K93*$G92,0)</f>
        <v>0</v>
      </c>
      <c r="R92" s="49">
        <f>ROUND('件数(合算）'!S93*'件数(合算）'!K93*$G92,0)</f>
        <v>0</v>
      </c>
      <c r="S92" s="49">
        <f>ROUND('件数(合算）'!T93*'件数(合算）'!K93*$G92,0)</f>
        <v>0</v>
      </c>
      <c r="T92" s="49">
        <f>ROUND('件数(合算）'!U93*'件数(合算）'!K93*$G92,0)</f>
        <v>0</v>
      </c>
      <c r="U92" s="49">
        <f>ROUND('件数(合算）'!V93*'件数(合算）'!K93*$G92,0)</f>
        <v>0</v>
      </c>
      <c r="V92" s="49">
        <f>ROUND('件数(合算）'!W93*'件数(合算）'!K93*$G92,0)</f>
        <v>0</v>
      </c>
      <c r="W92" s="49">
        <f>ROUND('件数(合算）'!X93*'件数(合算）'!K93*$G92,0)</f>
        <v>0</v>
      </c>
      <c r="X92" s="49">
        <f>ROUND('件数(合算）'!Y93*'件数(合算）'!K93*$G92,0)</f>
        <v>0</v>
      </c>
      <c r="Y92" s="49">
        <f>ROUND('件数(合算）'!Z93*'件数(合算）'!K93*$G92,0)</f>
        <v>0</v>
      </c>
      <c r="Z92" s="49">
        <f>ROUND('件数(合算）'!AA93*'件数(合算）'!K93*$F92,0)</f>
        <v>0</v>
      </c>
      <c r="AA92" s="49">
        <f>ROUND('件数(合算）'!AB93*'件数(合算）'!K93*$F92,0)</f>
        <v>0</v>
      </c>
      <c r="AB92" s="49">
        <f>ROUND('件数(合算）'!AC93*'件数(合算）'!K93*$F92,0)</f>
        <v>0</v>
      </c>
      <c r="AC92" s="49">
        <f>ROUND('件数(合算）'!AD93*'件数(合算）'!K93*$F92,0)</f>
        <v>0</v>
      </c>
      <c r="AD92" s="49">
        <f>ROUND('件数(合算）'!AE93*'件数(合算）'!K93*$F92,0)</f>
        <v>0</v>
      </c>
      <c r="AE92" s="49">
        <f>ROUND('件数(合算）'!AF93*'件数(合算）'!K93*$F92,0)</f>
        <v>0</v>
      </c>
      <c r="AF92" s="49">
        <f>ROUND('件数(合算）'!AG93*'件数(合算）'!K93*$E92,0)</f>
        <v>0</v>
      </c>
      <c r="AG92" s="49">
        <f>ROUND('件数(合算）'!AH93*'件数(合算）'!K93*$E92,0)</f>
        <v>0</v>
      </c>
      <c r="AH92" s="49">
        <f>ROUND('件数(合算）'!AI93*'件数(合算）'!K93*$E92,0)</f>
        <v>0</v>
      </c>
      <c r="AI92" s="49">
        <f>ROUND('件数(合算）'!AJ93*'件数(合算）'!K93*$E92,0)</f>
        <v>0</v>
      </c>
      <c r="AJ92" s="49">
        <f>ROUND('件数(合算）'!AK93*'件数(合算）'!K93*$E92,0)</f>
        <v>0</v>
      </c>
      <c r="AK92" s="49">
        <f>ROUND('件数(合算）'!AL93*'件数(合算）'!K93*$F92,0)</f>
        <v>0</v>
      </c>
      <c r="AL92" s="49">
        <f>ROUND('件数(合算）'!AM93*'件数(合算）'!K93*$F92,0)</f>
        <v>0</v>
      </c>
      <c r="AM92" s="49">
        <f>ROUND('件数(合算）'!AN93*'件数(合算）'!K93*$E92,0)</f>
        <v>0</v>
      </c>
      <c r="AN92" s="49">
        <f>ROUND('件数(合算）'!AO93*'件数(合算）'!K93*$E92,0)</f>
        <v>0</v>
      </c>
      <c r="AO92" s="49">
        <f>ROUND('件数(合算）'!AP93*'件数(合算）'!K93*$E92,0)</f>
        <v>0</v>
      </c>
      <c r="AP92" s="49">
        <f>ROUND('件数(合算）'!AQ93*'件数(合算）'!K93*$E92,0)</f>
        <v>0</v>
      </c>
      <c r="AQ92" s="49">
        <f>ROUND('件数(合算）'!AR93*'件数(合算）'!K93*$E92,0)</f>
        <v>0</v>
      </c>
      <c r="AR92" s="49">
        <f>ROUND('件数(合算）'!AS93*'件数(合算）'!K93*$E92,0)</f>
        <v>0</v>
      </c>
      <c r="AS92" s="49">
        <f>ROUND('件数(合算）'!AT93*'件数(合算）'!K93*$E92,0)</f>
        <v>0</v>
      </c>
      <c r="AT92" s="49">
        <f>ROUND('件数(合算）'!AU93*'件数(合算）'!K93*$E92,0)</f>
        <v>0</v>
      </c>
      <c r="AU92" s="49">
        <f>ROUND('件数(合算）'!AV93*'件数(合算）'!K93*$E92,0)</f>
        <v>0</v>
      </c>
      <c r="AV92" s="12">
        <f t="shared" si="6"/>
        <v>0</v>
      </c>
    </row>
    <row r="93" spans="1:48" ht="22" customHeight="1">
      <c r="A93" s="26">
        <v>162253</v>
      </c>
      <c r="B93" s="27" t="s">
        <v>190</v>
      </c>
      <c r="C93" s="25" t="s">
        <v>212</v>
      </c>
      <c r="D93" s="9"/>
      <c r="E93" s="5">
        <f>'件数(合算）'!E94</f>
        <v>9000</v>
      </c>
      <c r="F93" s="5">
        <f>'件数(合算）'!F94</f>
        <v>9000</v>
      </c>
      <c r="G93" s="5">
        <f>'件数(合算）'!G94</f>
        <v>19000</v>
      </c>
      <c r="K93" s="4">
        <f>'件数(合算）'!K94</f>
        <v>0.19538461538461541</v>
      </c>
      <c r="L93" s="4">
        <f>'件数(合算）'!K94</f>
        <v>0.19538461538461541</v>
      </c>
      <c r="M93" s="4">
        <f>'件数(合算）'!K94</f>
        <v>0.19538461538461541</v>
      </c>
      <c r="N93" s="4">
        <f>'件数(合算）'!K94</f>
        <v>0.19538461538461541</v>
      </c>
      <c r="O93" s="5">
        <f>ROUND('件数(合算）'!P94*'件数(合算）'!K94*$G93,0)</f>
        <v>3712</v>
      </c>
      <c r="P93" s="5">
        <f>ROUND('件数(合算）'!Q94*'件数(合算）'!K94*$G93,0)</f>
        <v>7425</v>
      </c>
      <c r="Q93" s="5">
        <f>ROUND('件数(合算）'!R94*'件数(合算）'!K94*$G93,0)</f>
        <v>3712</v>
      </c>
      <c r="R93" s="5">
        <f>ROUND('件数(合算）'!S94*'件数(合算）'!K94*$G93,0)</f>
        <v>3712</v>
      </c>
      <c r="S93" s="5">
        <f>ROUND('件数(合算）'!T94*'件数(合算）'!K94*$G93,0)</f>
        <v>3712</v>
      </c>
      <c r="T93" s="5">
        <f>ROUND('件数(合算）'!U94*'件数(合算）'!K94*$G93,0)</f>
        <v>3712</v>
      </c>
      <c r="U93" s="5">
        <f>ROUND('件数(合算）'!V94*'件数(合算）'!K94*$G93,0)</f>
        <v>3712</v>
      </c>
      <c r="V93" s="5">
        <f>ROUND('件数(合算）'!W94*'件数(合算）'!K94*$G93,0)</f>
        <v>3712</v>
      </c>
      <c r="W93" s="5">
        <f>ROUND('件数(合算）'!X94*'件数(合算）'!K94*$G93,0)</f>
        <v>3712</v>
      </c>
      <c r="X93" s="5">
        <f>ROUND('件数(合算）'!Y94*'件数(合算）'!K94*$G93,0)</f>
        <v>3712</v>
      </c>
      <c r="Y93" s="5">
        <f>ROUND('件数(合算）'!Z94*'件数(合算）'!K94*$G93,0)</f>
        <v>3712</v>
      </c>
      <c r="Z93" s="5">
        <f>ROUND('件数(合算）'!AA94*'件数(合算）'!K94*$F93,0)</f>
        <v>1758</v>
      </c>
      <c r="AA93" s="5">
        <f>ROUND('件数(合算）'!AB94*'件数(合算）'!K94*$F93,0)</f>
        <v>1758</v>
      </c>
      <c r="AB93" s="5">
        <f>ROUND('件数(合算）'!AC94*'件数(合算）'!K94*$F93,0)</f>
        <v>1758</v>
      </c>
      <c r="AC93" s="5">
        <f>ROUND('件数(合算）'!AD94*'件数(合算）'!K94*$F93,0)</f>
        <v>1758</v>
      </c>
      <c r="AD93" s="5">
        <f>ROUND('件数(合算）'!AE94*'件数(合算）'!K94*$F93,0)</f>
        <v>1758</v>
      </c>
      <c r="AE93" s="5">
        <f>ROUND('件数(合算）'!AF94*'件数(合算）'!K94*$F93,0)</f>
        <v>1758</v>
      </c>
      <c r="AF93" s="5">
        <f>ROUND('件数(合算）'!AG94*'件数(合算）'!K94*$E93,0)</f>
        <v>1758</v>
      </c>
      <c r="AG93" s="5">
        <f>ROUND('件数(合算）'!AH94*'件数(合算）'!K94*$E93,0)</f>
        <v>1758</v>
      </c>
      <c r="AH93" s="5">
        <f>ROUND('件数(合算）'!AI94*'件数(合算）'!K94*$E93,0)</f>
        <v>1758</v>
      </c>
      <c r="AI93" s="5">
        <f>ROUND('件数(合算）'!AJ94*'件数(合算）'!K94*$E93,0)</f>
        <v>1758</v>
      </c>
      <c r="AJ93" s="5">
        <f>ROUND('件数(合算）'!AK94*'件数(合算）'!K94*$E93,0)</f>
        <v>1758</v>
      </c>
      <c r="AK93" s="5">
        <f>ROUND('件数(合算）'!AL94*'件数(合算）'!K94*$F93,0)</f>
        <v>1758</v>
      </c>
      <c r="AL93" s="5">
        <f>ROUND('件数(合算）'!AM94*'件数(合算）'!K94*$F93,0)</f>
        <v>1758</v>
      </c>
      <c r="AM93" s="5">
        <f>ROUND('件数(合算）'!AN94*'件数(合算）'!K94*$E93,0)</f>
        <v>1758</v>
      </c>
      <c r="AN93" s="5">
        <f>ROUND('件数(合算）'!AO94*'件数(合算）'!K94*$E93,0)</f>
        <v>1758</v>
      </c>
      <c r="AO93" s="5">
        <f>ROUND('件数(合算）'!AP94*'件数(合算）'!K94*$E93,0)</f>
        <v>1758</v>
      </c>
      <c r="AP93" s="5">
        <f>ROUND('件数(合算）'!AQ94*'件数(合算）'!K94*$E93,0)</f>
        <v>1758</v>
      </c>
      <c r="AQ93" s="5">
        <f>ROUND('件数(合算）'!AR94*'件数(合算）'!K94*$E93,0)</f>
        <v>1758</v>
      </c>
      <c r="AR93" s="5">
        <f>ROUND('件数(合算）'!AS94*'件数(合算）'!K94*$E93,0)</f>
        <v>1758</v>
      </c>
      <c r="AS93" s="5">
        <f>ROUND('件数(合算）'!AT94*'件数(合算）'!K94*$E93,0)</f>
        <v>3517</v>
      </c>
      <c r="AT93" s="5">
        <f>ROUND('件数(合算）'!AU94*'件数(合算）'!K94*$E93,0)</f>
        <v>1758</v>
      </c>
      <c r="AU93" s="5">
        <f>ROUND('件数(合算）'!AV94*'件数(合算）'!K94*$E93,0)</f>
        <v>1758</v>
      </c>
      <c r="AV93" s="12">
        <f t="shared" si="6"/>
        <v>84980</v>
      </c>
    </row>
    <row r="94" spans="1:48" ht="22" customHeight="1">
      <c r="A94" s="34">
        <v>250381</v>
      </c>
      <c r="B94" s="35" t="s">
        <v>191</v>
      </c>
      <c r="C94" s="32" t="s">
        <v>212</v>
      </c>
      <c r="D94" s="39"/>
      <c r="E94" s="49">
        <f>'件数(合算）'!E95</f>
        <v>9000</v>
      </c>
      <c r="F94" s="49">
        <f>'件数(合算）'!F95</f>
        <v>9000</v>
      </c>
      <c r="G94" s="49">
        <f>'件数(合算）'!G95</f>
        <v>18000</v>
      </c>
      <c r="K94" s="37">
        <f>'件数(合算）'!K95</f>
        <v>0.1125541125541126</v>
      </c>
      <c r="L94" s="37">
        <f>'件数(合算）'!K95</f>
        <v>0.1125541125541126</v>
      </c>
      <c r="M94" s="37">
        <f>'件数(合算）'!K95</f>
        <v>0.1125541125541126</v>
      </c>
      <c r="N94" s="37">
        <f>'件数(合算）'!K95</f>
        <v>0.1125541125541126</v>
      </c>
      <c r="O94" s="49">
        <f>ROUND('件数(合算）'!P95*'件数(合算）'!K95*$G94,0)</f>
        <v>2026</v>
      </c>
      <c r="P94" s="49">
        <f>ROUND('件数(合算）'!Q95*'件数(合算）'!K95*$G94,0)</f>
        <v>4052</v>
      </c>
      <c r="Q94" s="49">
        <f>ROUND('件数(合算）'!R95*'件数(合算）'!K95*$G94,0)</f>
        <v>2026</v>
      </c>
      <c r="R94" s="49">
        <f>ROUND('件数(合算）'!S95*'件数(合算）'!K95*$G94,0)</f>
        <v>2026</v>
      </c>
      <c r="S94" s="49">
        <f>ROUND('件数(合算）'!T95*'件数(合算）'!K95*$G94,0)</f>
        <v>2026</v>
      </c>
      <c r="T94" s="49">
        <f>ROUND('件数(合算）'!U95*'件数(合算）'!K95*$G94,0)</f>
        <v>2026</v>
      </c>
      <c r="U94" s="49">
        <f>ROUND('件数(合算）'!V95*'件数(合算）'!K95*$G94,0)</f>
        <v>2026</v>
      </c>
      <c r="V94" s="49">
        <f>ROUND('件数(合算）'!W95*'件数(合算）'!K95*$G94,0)</f>
        <v>2026</v>
      </c>
      <c r="W94" s="49">
        <f>ROUND('件数(合算）'!X95*'件数(合算）'!K95*$G94,0)</f>
        <v>2026</v>
      </c>
      <c r="X94" s="49">
        <f>ROUND('件数(合算）'!Y95*'件数(合算）'!K95*$G94,0)</f>
        <v>2026</v>
      </c>
      <c r="Y94" s="49">
        <f>ROUND('件数(合算）'!Z95*'件数(合算）'!K95*$G94,0)</f>
        <v>2026</v>
      </c>
      <c r="Z94" s="49">
        <f>ROUND('件数(合算）'!AA95*'件数(合算）'!K95*$F94,0)</f>
        <v>1013</v>
      </c>
      <c r="AA94" s="49">
        <f>ROUND('件数(合算）'!AB95*'件数(合算）'!K95*$F94,0)</f>
        <v>1013</v>
      </c>
      <c r="AB94" s="49">
        <f>ROUND('件数(合算）'!AC95*'件数(合算）'!K95*$F94,0)</f>
        <v>1013</v>
      </c>
      <c r="AC94" s="49">
        <f>ROUND('件数(合算）'!AD95*'件数(合算）'!K95*$F94,0)</f>
        <v>1013</v>
      </c>
      <c r="AD94" s="49">
        <f>ROUND('件数(合算）'!AE95*'件数(合算）'!K95*$F94,0)</f>
        <v>1013</v>
      </c>
      <c r="AE94" s="49">
        <f>ROUND('件数(合算）'!AF95*'件数(合算）'!K95*$F94,0)</f>
        <v>1013</v>
      </c>
      <c r="AF94" s="49">
        <f>ROUND('件数(合算）'!AG95*'件数(合算）'!K95*$E94,0)</f>
        <v>1013</v>
      </c>
      <c r="AG94" s="49">
        <f>ROUND('件数(合算）'!AH95*'件数(合算）'!K95*$E94,0)</f>
        <v>1013</v>
      </c>
      <c r="AH94" s="49">
        <f>ROUND('件数(合算）'!AI95*'件数(合算）'!K95*$E94,0)</f>
        <v>1013</v>
      </c>
      <c r="AI94" s="49">
        <f>ROUND('件数(合算）'!AJ95*'件数(合算）'!K95*$E94,0)</f>
        <v>1013</v>
      </c>
      <c r="AJ94" s="49">
        <f>ROUND('件数(合算）'!AK95*'件数(合算）'!K95*$E94,0)</f>
        <v>1013</v>
      </c>
      <c r="AK94" s="49">
        <f>ROUND('件数(合算）'!AL95*'件数(合算）'!K95*$F94,0)</f>
        <v>1013</v>
      </c>
      <c r="AL94" s="49">
        <f>ROUND('件数(合算）'!AM95*'件数(合算）'!K95*$F94,0)</f>
        <v>1013</v>
      </c>
      <c r="AM94" s="49">
        <f>ROUND('件数(合算）'!AN95*'件数(合算）'!K95*$E94,0)</f>
        <v>1013</v>
      </c>
      <c r="AN94" s="49">
        <f>ROUND('件数(合算）'!AO95*'件数(合算）'!K95*$E94,0)</f>
        <v>1013</v>
      </c>
      <c r="AO94" s="49">
        <f>ROUND('件数(合算）'!AP95*'件数(合算）'!K95*$E94,0)</f>
        <v>1013</v>
      </c>
      <c r="AP94" s="49">
        <f>ROUND('件数(合算）'!AQ95*'件数(合算）'!K95*$E94,0)</f>
        <v>1013</v>
      </c>
      <c r="AQ94" s="49">
        <f>ROUND('件数(合算）'!AR95*'件数(合算）'!K95*$E94,0)</f>
        <v>1013</v>
      </c>
      <c r="AR94" s="49">
        <f>ROUND('件数(合算）'!AS95*'件数(合算）'!K95*$E94,0)</f>
        <v>1013</v>
      </c>
      <c r="AS94" s="49">
        <f>ROUND('件数(合算）'!AT95*'件数(合算）'!K95*$E94,0)</f>
        <v>2026</v>
      </c>
      <c r="AT94" s="49">
        <f>ROUND('件数(合算）'!AU95*'件数(合算）'!K95*$E94,0)</f>
        <v>1013</v>
      </c>
      <c r="AU94" s="49">
        <f>ROUND('件数(合算）'!AV95*'件数(合算）'!K95*$E94,0)</f>
        <v>1013</v>
      </c>
      <c r="AV94" s="12">
        <f t="shared" si="6"/>
        <v>47611</v>
      </c>
    </row>
    <row r="95" spans="1:48" ht="22" customHeight="1">
      <c r="A95" s="26">
        <v>346991</v>
      </c>
      <c r="B95" s="27" t="s">
        <v>192</v>
      </c>
      <c r="C95" s="25" t="s">
        <v>212</v>
      </c>
      <c r="D95" s="9"/>
      <c r="E95" s="5">
        <f>'件数(合算）'!E96</f>
        <v>9000</v>
      </c>
      <c r="F95" s="5">
        <f>'件数(合算）'!F96</f>
        <v>9000</v>
      </c>
      <c r="G95" s="5">
        <f>'件数(合算）'!G96</f>
        <v>12000</v>
      </c>
      <c r="K95" s="4">
        <f>'件数(合算）'!K96</f>
        <v>0.1</v>
      </c>
      <c r="L95" s="4">
        <f>'件数(合算）'!K96</f>
        <v>0.1</v>
      </c>
      <c r="M95" s="4">
        <f>'件数(合算）'!K96</f>
        <v>0.1</v>
      </c>
      <c r="N95" s="4">
        <f>'件数(合算）'!K96</f>
        <v>0.1</v>
      </c>
      <c r="O95" s="5">
        <f>ROUND('件数(合算）'!P96*'件数(合算）'!K96*$G95,0)</f>
        <v>0</v>
      </c>
      <c r="P95" s="5">
        <f>ROUND('件数(合算）'!Q96*'件数(合算）'!K96*$G95,0)</f>
        <v>0</v>
      </c>
      <c r="Q95" s="5">
        <f>ROUND('件数(合算）'!R96*'件数(合算）'!K96*$G95,0)</f>
        <v>0</v>
      </c>
      <c r="R95" s="5">
        <f>ROUND('件数(合算）'!S96*'件数(合算）'!K96*$G95,0)</f>
        <v>0</v>
      </c>
      <c r="S95" s="5">
        <f>ROUND('件数(合算）'!T96*'件数(合算）'!K96*$G95,0)</f>
        <v>0</v>
      </c>
      <c r="T95" s="5">
        <f>ROUND('件数(合算）'!U96*'件数(合算）'!K96*$G95,0)</f>
        <v>0</v>
      </c>
      <c r="U95" s="5">
        <f>ROUND('件数(合算）'!V96*'件数(合算）'!K96*$G95,0)</f>
        <v>0</v>
      </c>
      <c r="V95" s="5">
        <f>ROUND('件数(合算）'!W96*'件数(合算）'!K96*$G95,0)</f>
        <v>0</v>
      </c>
      <c r="W95" s="5">
        <f>ROUND('件数(合算）'!X96*'件数(合算）'!K96*$G95,0)</f>
        <v>0</v>
      </c>
      <c r="X95" s="5">
        <f>ROUND('件数(合算）'!Y96*'件数(合算）'!K96*$G95,0)</f>
        <v>0</v>
      </c>
      <c r="Y95" s="5">
        <f>ROUND('件数(合算）'!Z96*'件数(合算）'!K96*$G95,0)</f>
        <v>0</v>
      </c>
      <c r="Z95" s="5">
        <f>ROUND('件数(合算）'!AA96*'件数(合算）'!K96*$F95,0)</f>
        <v>0</v>
      </c>
      <c r="AA95" s="5">
        <f>ROUND('件数(合算）'!AB96*'件数(合算）'!K96*$F95,0)</f>
        <v>0</v>
      </c>
      <c r="AB95" s="5">
        <f>ROUND('件数(合算）'!AC96*'件数(合算）'!K96*$F95,0)</f>
        <v>0</v>
      </c>
      <c r="AC95" s="5">
        <f>ROUND('件数(合算）'!AD96*'件数(合算）'!K96*$F95,0)</f>
        <v>0</v>
      </c>
      <c r="AD95" s="5">
        <f>ROUND('件数(合算）'!AE96*'件数(合算）'!K96*$F95,0)</f>
        <v>0</v>
      </c>
      <c r="AE95" s="5">
        <f>ROUND('件数(合算）'!AF96*'件数(合算）'!K96*$F95,0)</f>
        <v>0</v>
      </c>
      <c r="AF95" s="5">
        <f>ROUND('件数(合算）'!AG96*'件数(合算）'!K96*$E95,0)</f>
        <v>0</v>
      </c>
      <c r="AG95" s="5">
        <f>ROUND('件数(合算）'!AH96*'件数(合算）'!K96*$E95,0)</f>
        <v>0</v>
      </c>
      <c r="AH95" s="5">
        <f>ROUND('件数(合算）'!AI96*'件数(合算）'!K96*$E95,0)</f>
        <v>0</v>
      </c>
      <c r="AI95" s="5">
        <f>ROUND('件数(合算）'!AJ96*'件数(合算）'!K96*$E95,0)</f>
        <v>0</v>
      </c>
      <c r="AJ95" s="5">
        <f>ROUND('件数(合算）'!AK96*'件数(合算）'!K96*$E95,0)</f>
        <v>0</v>
      </c>
      <c r="AK95" s="5">
        <f>ROUND('件数(合算）'!AL96*'件数(合算）'!K96*$F95,0)</f>
        <v>0</v>
      </c>
      <c r="AL95" s="5">
        <f>ROUND('件数(合算）'!AM96*'件数(合算）'!K96*$F95,0)</f>
        <v>0</v>
      </c>
      <c r="AM95" s="5">
        <f>ROUND('件数(合算）'!AN96*'件数(合算）'!K96*$E95,0)</f>
        <v>0</v>
      </c>
      <c r="AN95" s="5">
        <f>ROUND('件数(合算）'!AO96*'件数(合算）'!K96*$E95,0)</f>
        <v>0</v>
      </c>
      <c r="AO95" s="5">
        <f>ROUND('件数(合算）'!AP96*'件数(合算）'!K96*$E95,0)</f>
        <v>0</v>
      </c>
      <c r="AP95" s="5">
        <f>ROUND('件数(合算）'!AQ96*'件数(合算）'!K96*$E95,0)</f>
        <v>0</v>
      </c>
      <c r="AQ95" s="5">
        <f>ROUND('件数(合算）'!AR96*'件数(合算）'!K96*$E95,0)</f>
        <v>0</v>
      </c>
      <c r="AR95" s="5">
        <f>ROUND('件数(合算）'!AS96*'件数(合算）'!K96*$E95,0)</f>
        <v>0</v>
      </c>
      <c r="AS95" s="5">
        <f>ROUND('件数(合算）'!AT96*'件数(合算）'!K96*$E95,0)</f>
        <v>0</v>
      </c>
      <c r="AT95" s="5">
        <f>ROUND('件数(合算）'!AU96*'件数(合算）'!K96*$E95,0)</f>
        <v>0</v>
      </c>
      <c r="AU95" s="5">
        <f>ROUND('件数(合算）'!AV96*'件数(合算）'!K96*$E95,0)</f>
        <v>0</v>
      </c>
      <c r="AV95" s="12">
        <f t="shared" si="6"/>
        <v>0</v>
      </c>
    </row>
    <row r="96" spans="1:48" ht="22" customHeight="1">
      <c r="A96" s="34">
        <v>354876</v>
      </c>
      <c r="B96" s="35" t="s">
        <v>193</v>
      </c>
      <c r="C96" s="32" t="s">
        <v>212</v>
      </c>
      <c r="D96" s="39"/>
      <c r="E96" s="49">
        <f>'件数(合算）'!E97</f>
        <v>9000</v>
      </c>
      <c r="F96" s="49">
        <f>'件数(合算）'!F97</f>
        <v>9000</v>
      </c>
      <c r="G96" s="49">
        <f>'件数(合算）'!G97</f>
        <v>14000</v>
      </c>
      <c r="K96" s="37">
        <f>'件数(合算）'!K97</f>
        <v>0.1</v>
      </c>
      <c r="L96" s="37">
        <f>'件数(合算）'!K97</f>
        <v>0.1</v>
      </c>
      <c r="M96" s="37">
        <f>'件数(合算）'!K97</f>
        <v>0.1</v>
      </c>
      <c r="N96" s="37">
        <f>'件数(合算）'!K97</f>
        <v>0.1</v>
      </c>
      <c r="O96" s="49">
        <f>ROUND('件数(合算）'!P97*'件数(合算）'!K97*$G96,0)</f>
        <v>0</v>
      </c>
      <c r="P96" s="49">
        <f>ROUND('件数(合算）'!Q97*'件数(合算）'!K97*$G96,0)</f>
        <v>0</v>
      </c>
      <c r="Q96" s="49">
        <f>ROUND('件数(合算）'!R97*'件数(合算）'!K97*$G96,0)</f>
        <v>0</v>
      </c>
      <c r="R96" s="49">
        <f>ROUND('件数(合算）'!S97*'件数(合算）'!K97*$G96,0)</f>
        <v>0</v>
      </c>
      <c r="S96" s="49">
        <f>ROUND('件数(合算）'!T97*'件数(合算）'!K97*$G96,0)</f>
        <v>0</v>
      </c>
      <c r="T96" s="49">
        <f>ROUND('件数(合算）'!U97*'件数(合算）'!K97*$G96,0)</f>
        <v>0</v>
      </c>
      <c r="U96" s="49">
        <f>ROUND('件数(合算）'!V97*'件数(合算）'!K97*$G96,0)</f>
        <v>0</v>
      </c>
      <c r="V96" s="49">
        <f>ROUND('件数(合算）'!W97*'件数(合算）'!K97*$G96,0)</f>
        <v>0</v>
      </c>
      <c r="W96" s="49">
        <f>ROUND('件数(合算）'!X97*'件数(合算）'!K97*$G96,0)</f>
        <v>0</v>
      </c>
      <c r="X96" s="49">
        <f>ROUND('件数(合算）'!Y97*'件数(合算）'!K97*$G96,0)</f>
        <v>0</v>
      </c>
      <c r="Y96" s="49">
        <f>ROUND('件数(合算）'!Z97*'件数(合算）'!K97*$G96,0)</f>
        <v>0</v>
      </c>
      <c r="Z96" s="49">
        <f>ROUND('件数(合算）'!AA97*'件数(合算）'!K97*$F96,0)</f>
        <v>0</v>
      </c>
      <c r="AA96" s="49">
        <f>ROUND('件数(合算）'!AB97*'件数(合算）'!K97*$F96,0)</f>
        <v>0</v>
      </c>
      <c r="AB96" s="49">
        <f>ROUND('件数(合算）'!AC97*'件数(合算）'!K97*$F96,0)</f>
        <v>0</v>
      </c>
      <c r="AC96" s="49">
        <f>ROUND('件数(合算）'!AD97*'件数(合算）'!K97*$F96,0)</f>
        <v>0</v>
      </c>
      <c r="AD96" s="49">
        <f>ROUND('件数(合算）'!AE97*'件数(合算）'!K97*$F96,0)</f>
        <v>0</v>
      </c>
      <c r="AE96" s="49">
        <f>ROUND('件数(合算）'!AF97*'件数(合算）'!K97*$F96,0)</f>
        <v>0</v>
      </c>
      <c r="AF96" s="49">
        <f>ROUND('件数(合算）'!AG97*'件数(合算）'!K97*$E96,0)</f>
        <v>0</v>
      </c>
      <c r="AG96" s="49">
        <f>ROUND('件数(合算）'!AH97*'件数(合算）'!K97*$E96,0)</f>
        <v>0</v>
      </c>
      <c r="AH96" s="49">
        <f>ROUND('件数(合算）'!AI97*'件数(合算）'!K97*$E96,0)</f>
        <v>0</v>
      </c>
      <c r="AI96" s="49">
        <f>ROUND('件数(合算）'!AJ97*'件数(合算）'!K97*$E96,0)</f>
        <v>0</v>
      </c>
      <c r="AJ96" s="49">
        <f>ROUND('件数(合算）'!AK97*'件数(合算）'!K97*$E96,0)</f>
        <v>0</v>
      </c>
      <c r="AK96" s="49">
        <f>ROUND('件数(合算）'!AL97*'件数(合算）'!K97*$F96,0)</f>
        <v>0</v>
      </c>
      <c r="AL96" s="49">
        <f>ROUND('件数(合算）'!AM97*'件数(合算）'!K97*$F96,0)</f>
        <v>0</v>
      </c>
      <c r="AM96" s="49">
        <f>ROUND('件数(合算）'!AN97*'件数(合算）'!K97*$E96,0)</f>
        <v>0</v>
      </c>
      <c r="AN96" s="49">
        <f>ROUND('件数(合算）'!AO97*'件数(合算）'!K97*$E96,0)</f>
        <v>0</v>
      </c>
      <c r="AO96" s="49">
        <f>ROUND('件数(合算）'!AP97*'件数(合算）'!K97*$E96,0)</f>
        <v>0</v>
      </c>
      <c r="AP96" s="49">
        <f>ROUND('件数(合算）'!AQ97*'件数(合算）'!K97*$E96,0)</f>
        <v>0</v>
      </c>
      <c r="AQ96" s="49">
        <f>ROUND('件数(合算）'!AR97*'件数(合算）'!K97*$E96,0)</f>
        <v>0</v>
      </c>
      <c r="AR96" s="49">
        <f>ROUND('件数(合算）'!AS97*'件数(合算）'!K97*$E96,0)</f>
        <v>0</v>
      </c>
      <c r="AS96" s="49">
        <f>ROUND('件数(合算）'!AT97*'件数(合算）'!K97*$E96,0)</f>
        <v>0</v>
      </c>
      <c r="AT96" s="49">
        <f>ROUND('件数(合算）'!AU97*'件数(合算）'!K97*$E96,0)</f>
        <v>0</v>
      </c>
      <c r="AU96" s="49">
        <f>ROUND('件数(合算）'!AV97*'件数(合算）'!K97*$E96,0)</f>
        <v>0</v>
      </c>
      <c r="AV96" s="12">
        <f t="shared" si="6"/>
        <v>0</v>
      </c>
    </row>
    <row r="97" spans="1:48" ht="22" customHeight="1">
      <c r="A97" s="26">
        <v>354959</v>
      </c>
      <c r="B97" s="27" t="s">
        <v>194</v>
      </c>
      <c r="C97" s="25" t="s">
        <v>212</v>
      </c>
      <c r="D97" s="9"/>
      <c r="E97" s="5">
        <f>'件数(合算）'!E98</f>
        <v>9000</v>
      </c>
      <c r="F97" s="5">
        <f>'件数(合算）'!F98</f>
        <v>9000</v>
      </c>
      <c r="G97" s="5">
        <f>'件数(合算）'!G98</f>
        <v>14000</v>
      </c>
      <c r="K97" s="4">
        <f>'件数(合算）'!K98</f>
        <v>0.1</v>
      </c>
      <c r="L97" s="4">
        <f>'件数(合算）'!K98</f>
        <v>0.1</v>
      </c>
      <c r="M97" s="4">
        <f>'件数(合算）'!K98</f>
        <v>0.1</v>
      </c>
      <c r="N97" s="4">
        <f>'件数(合算）'!K98</f>
        <v>0.1</v>
      </c>
      <c r="O97" s="5">
        <f>ROUND('件数(合算）'!P98*'件数(合算）'!K98*$G97,0)</f>
        <v>0</v>
      </c>
      <c r="P97" s="5">
        <f>ROUND('件数(合算）'!Q98*'件数(合算）'!K98*$G97,0)</f>
        <v>0</v>
      </c>
      <c r="Q97" s="5">
        <f>ROUND('件数(合算）'!R98*'件数(合算）'!K98*$G97,0)</f>
        <v>0</v>
      </c>
      <c r="R97" s="5">
        <f>ROUND('件数(合算）'!S98*'件数(合算）'!K98*$G97,0)</f>
        <v>0</v>
      </c>
      <c r="S97" s="5">
        <f>ROUND('件数(合算）'!T98*'件数(合算）'!K98*$G97,0)</f>
        <v>0</v>
      </c>
      <c r="T97" s="5">
        <f>ROUND('件数(合算）'!U98*'件数(合算）'!K98*$G97,0)</f>
        <v>0</v>
      </c>
      <c r="U97" s="5">
        <f>ROUND('件数(合算）'!V98*'件数(合算）'!K98*$G97,0)</f>
        <v>0</v>
      </c>
      <c r="V97" s="5">
        <f>ROUND('件数(合算）'!W98*'件数(合算）'!K98*$G97,0)</f>
        <v>0</v>
      </c>
      <c r="W97" s="5">
        <f>ROUND('件数(合算）'!X98*'件数(合算）'!K98*$G97,0)</f>
        <v>0</v>
      </c>
      <c r="X97" s="5">
        <f>ROUND('件数(合算）'!Y98*'件数(合算）'!K98*$G97,0)</f>
        <v>0</v>
      </c>
      <c r="Y97" s="5">
        <f>ROUND('件数(合算）'!Z98*'件数(合算）'!K98*$G97,0)</f>
        <v>0</v>
      </c>
      <c r="Z97" s="5">
        <f>ROUND('件数(合算）'!AA98*'件数(合算）'!K98*$F97,0)</f>
        <v>0</v>
      </c>
      <c r="AA97" s="5">
        <f>ROUND('件数(合算）'!AB98*'件数(合算）'!K98*$F97,0)</f>
        <v>0</v>
      </c>
      <c r="AB97" s="5">
        <f>ROUND('件数(合算）'!AC98*'件数(合算）'!K98*$F97,0)</f>
        <v>0</v>
      </c>
      <c r="AC97" s="5">
        <f>ROUND('件数(合算）'!AD98*'件数(合算）'!K98*$F97,0)</f>
        <v>0</v>
      </c>
      <c r="AD97" s="5">
        <f>ROUND('件数(合算）'!AE98*'件数(合算）'!K98*$F97,0)</f>
        <v>0</v>
      </c>
      <c r="AE97" s="5">
        <f>ROUND('件数(合算）'!AF98*'件数(合算）'!K98*$F97,0)</f>
        <v>0</v>
      </c>
      <c r="AF97" s="5">
        <f>ROUND('件数(合算）'!AG98*'件数(合算）'!K98*$E97,0)</f>
        <v>0</v>
      </c>
      <c r="AG97" s="5">
        <f>ROUND('件数(合算）'!AH98*'件数(合算）'!K98*$E97,0)</f>
        <v>0</v>
      </c>
      <c r="AH97" s="5">
        <f>ROUND('件数(合算）'!AI98*'件数(合算）'!K98*$E97,0)</f>
        <v>0</v>
      </c>
      <c r="AI97" s="5">
        <f>ROUND('件数(合算）'!AJ98*'件数(合算）'!K98*$E97,0)</f>
        <v>0</v>
      </c>
      <c r="AJ97" s="5">
        <f>ROUND('件数(合算）'!AK98*'件数(合算）'!K98*$E97,0)</f>
        <v>0</v>
      </c>
      <c r="AK97" s="5">
        <f>ROUND('件数(合算）'!AL98*'件数(合算）'!K98*$F97,0)</f>
        <v>0</v>
      </c>
      <c r="AL97" s="5">
        <f>ROUND('件数(合算）'!AM98*'件数(合算）'!K98*$F97,0)</f>
        <v>0</v>
      </c>
      <c r="AM97" s="5">
        <f>ROUND('件数(合算）'!AN98*'件数(合算）'!K98*$E97,0)</f>
        <v>0</v>
      </c>
      <c r="AN97" s="5">
        <f>ROUND('件数(合算）'!AO98*'件数(合算）'!K98*$E97,0)</f>
        <v>0</v>
      </c>
      <c r="AO97" s="5">
        <f>ROUND('件数(合算）'!AP98*'件数(合算）'!K98*$E97,0)</f>
        <v>0</v>
      </c>
      <c r="AP97" s="5">
        <f>ROUND('件数(合算）'!AQ98*'件数(合算）'!K98*$E97,0)</f>
        <v>0</v>
      </c>
      <c r="AQ97" s="5">
        <f>ROUND('件数(合算）'!AR98*'件数(合算）'!K98*$E97,0)</f>
        <v>0</v>
      </c>
      <c r="AR97" s="5">
        <f>ROUND('件数(合算）'!AS98*'件数(合算）'!K98*$E97,0)</f>
        <v>0</v>
      </c>
      <c r="AS97" s="5">
        <f>ROUND('件数(合算）'!AT98*'件数(合算）'!K98*$E97,0)</f>
        <v>0</v>
      </c>
      <c r="AT97" s="5">
        <f>ROUND('件数(合算）'!AU98*'件数(合算）'!K98*$E97,0)</f>
        <v>0</v>
      </c>
      <c r="AU97" s="5">
        <f>ROUND('件数(合算）'!AV98*'件数(合算）'!K98*$E97,0)</f>
        <v>0</v>
      </c>
      <c r="AV97" s="12">
        <f t="shared" si="6"/>
        <v>0</v>
      </c>
    </row>
    <row r="98" spans="1:48" ht="22" customHeight="1">
      <c r="A98" s="34">
        <v>368894</v>
      </c>
      <c r="B98" s="35" t="s">
        <v>195</v>
      </c>
      <c r="C98" s="32" t="s">
        <v>212</v>
      </c>
      <c r="D98" s="39"/>
      <c r="E98" s="49">
        <f>'件数(合算）'!E99</f>
        <v>9000</v>
      </c>
      <c r="F98" s="49">
        <f>'件数(合算）'!F99</f>
        <v>9000</v>
      </c>
      <c r="G98" s="49">
        <f>'件数(合算）'!G99</f>
        <v>13000</v>
      </c>
      <c r="K98" s="37">
        <f>'件数(合算）'!K99</f>
        <v>0.1</v>
      </c>
      <c r="L98" s="37">
        <f>'件数(合算）'!K99</f>
        <v>0.1</v>
      </c>
      <c r="M98" s="37">
        <f>'件数(合算）'!K99</f>
        <v>0.1</v>
      </c>
      <c r="N98" s="37">
        <f>'件数(合算）'!K99</f>
        <v>0.1</v>
      </c>
      <c r="O98" s="49">
        <f>ROUND('件数(合算）'!P99*'件数(合算）'!K99*$G98,0)</f>
        <v>0</v>
      </c>
      <c r="P98" s="49">
        <f>ROUND('件数(合算）'!Q99*'件数(合算）'!K99*$G98,0)</f>
        <v>1300</v>
      </c>
      <c r="Q98" s="49">
        <f>ROUND('件数(合算）'!R99*'件数(合算）'!K99*$G98,0)</f>
        <v>1300</v>
      </c>
      <c r="R98" s="49">
        <f>ROUND('件数(合算）'!S99*'件数(合算）'!K99*$G98,0)</f>
        <v>0</v>
      </c>
      <c r="S98" s="49">
        <f>ROUND('件数(合算）'!T99*'件数(合算）'!K99*$G98,0)</f>
        <v>0</v>
      </c>
      <c r="T98" s="49">
        <f>ROUND('件数(合算）'!U99*'件数(合算）'!K99*$G98,0)</f>
        <v>0</v>
      </c>
      <c r="U98" s="49">
        <f>ROUND('件数(合算）'!V99*'件数(合算）'!K99*$G98,0)</f>
        <v>0</v>
      </c>
      <c r="V98" s="49">
        <f>ROUND('件数(合算）'!W99*'件数(合算）'!K99*$G98,0)</f>
        <v>0</v>
      </c>
      <c r="W98" s="49">
        <f>ROUND('件数(合算）'!X99*'件数(合算）'!K99*$G98,0)</f>
        <v>1300</v>
      </c>
      <c r="X98" s="49">
        <f>ROUND('件数(合算）'!Y99*'件数(合算）'!K99*$G98,0)</f>
        <v>1300</v>
      </c>
      <c r="Y98" s="49">
        <f>ROUND('件数(合算）'!Z99*'件数(合算）'!K99*$G98,0)</f>
        <v>0</v>
      </c>
      <c r="Z98" s="49">
        <f>ROUND('件数(合算）'!AA99*'件数(合算）'!K99*$F98,0)</f>
        <v>0</v>
      </c>
      <c r="AA98" s="49">
        <f>ROUND('件数(合算）'!AB99*'件数(合算）'!K99*$F98,0)</f>
        <v>0</v>
      </c>
      <c r="AB98" s="49">
        <f>ROUND('件数(合算）'!AC99*'件数(合算）'!K99*$F98,0)</f>
        <v>0</v>
      </c>
      <c r="AC98" s="49">
        <f>ROUND('件数(合算）'!AD99*'件数(合算）'!K99*$F98,0)</f>
        <v>0</v>
      </c>
      <c r="AD98" s="49">
        <f>ROUND('件数(合算）'!AE99*'件数(合算）'!K99*$F98,0)</f>
        <v>900</v>
      </c>
      <c r="AE98" s="49">
        <f>ROUND('件数(合算）'!AF99*'件数(合算）'!K99*$F98,0)</f>
        <v>900</v>
      </c>
      <c r="AF98" s="49">
        <f>ROUND('件数(合算）'!AG99*'件数(合算）'!K99*$E98,0)</f>
        <v>0</v>
      </c>
      <c r="AG98" s="49">
        <f>ROUND('件数(合算）'!AH99*'件数(合算）'!K99*$E98,0)</f>
        <v>0</v>
      </c>
      <c r="AH98" s="49">
        <f>ROUND('件数(合算）'!AI99*'件数(合算）'!K99*$E98,0)</f>
        <v>0</v>
      </c>
      <c r="AI98" s="49">
        <f>ROUND('件数(合算）'!AJ99*'件数(合算）'!K99*$E98,0)</f>
        <v>0</v>
      </c>
      <c r="AJ98" s="49">
        <f>ROUND('件数(合算）'!AK99*'件数(合算）'!K99*$E98,0)</f>
        <v>0</v>
      </c>
      <c r="AK98" s="49">
        <f>ROUND('件数(合算）'!AL99*'件数(合算）'!K99*$F98,0)</f>
        <v>900</v>
      </c>
      <c r="AL98" s="49">
        <f>ROUND('件数(合算）'!AM99*'件数(合算）'!K99*$F98,0)</f>
        <v>900</v>
      </c>
      <c r="AM98" s="49">
        <f>ROUND('件数(合算）'!AN99*'件数(合算）'!K99*$E98,0)</f>
        <v>900</v>
      </c>
      <c r="AN98" s="49">
        <f>ROUND('件数(合算）'!AO99*'件数(合算）'!K99*$E98,0)</f>
        <v>0</v>
      </c>
      <c r="AO98" s="49">
        <f>ROUND('件数(合算）'!AP99*'件数(合算）'!K99*$E98,0)</f>
        <v>0</v>
      </c>
      <c r="AP98" s="49">
        <f>ROUND('件数(合算）'!AQ99*'件数(合算）'!K99*$E98,0)</f>
        <v>0</v>
      </c>
      <c r="AQ98" s="49">
        <f>ROUND('件数(合算）'!AR99*'件数(合算）'!K99*$E98,0)</f>
        <v>0</v>
      </c>
      <c r="AR98" s="49">
        <f>ROUND('件数(合算）'!AS99*'件数(合算）'!K99*$E98,0)</f>
        <v>900</v>
      </c>
      <c r="AS98" s="49">
        <f>ROUND('件数(合算）'!AT99*'件数(合算）'!K99*$E98,0)</f>
        <v>900</v>
      </c>
      <c r="AT98" s="49">
        <f>ROUND('件数(合算）'!AU99*'件数(合算）'!K99*$E98,0)</f>
        <v>0</v>
      </c>
      <c r="AU98" s="49">
        <f>ROUND('件数(合算）'!AV99*'件数(合算）'!K99*$E98,0)</f>
        <v>0</v>
      </c>
      <c r="AV98" s="12">
        <f t="shared" si="6"/>
        <v>11500</v>
      </c>
    </row>
    <row r="99" spans="1:48" ht="22" customHeight="1">
      <c r="A99" s="26">
        <v>387654</v>
      </c>
      <c r="B99" s="27" t="s">
        <v>196</v>
      </c>
      <c r="C99" s="25" t="s">
        <v>212</v>
      </c>
      <c r="D99" s="9"/>
      <c r="E99" s="5">
        <f>'件数(合算）'!E100</f>
        <v>9000</v>
      </c>
      <c r="F99" s="5">
        <f>'件数(合算）'!F100</f>
        <v>9000</v>
      </c>
      <c r="G99" s="5">
        <f>'件数(合算）'!G100</f>
        <v>14000</v>
      </c>
      <c r="K99" s="4">
        <f>'件数(合算）'!K100</f>
        <v>3.0303030303030299E-3</v>
      </c>
      <c r="L99" s="4">
        <f>'件数(合算）'!K100</f>
        <v>3.0303030303030299E-3</v>
      </c>
      <c r="M99" s="4">
        <f>'件数(合算）'!K100</f>
        <v>3.0303030303030299E-3</v>
      </c>
      <c r="N99" s="4">
        <f>'件数(合算）'!K100</f>
        <v>3.0303030303030299E-3</v>
      </c>
      <c r="O99" s="5">
        <f>ROUND('件数(合算）'!P100*'件数(合算）'!K100*$G99,0)</f>
        <v>0</v>
      </c>
      <c r="P99" s="5">
        <f>ROUND('件数(合算）'!Q100*'件数(合算）'!K100*$G99,0)</f>
        <v>42</v>
      </c>
      <c r="Q99" s="5">
        <f>ROUND('件数(合算）'!R100*'件数(合算）'!K100*$G99,0)</f>
        <v>42</v>
      </c>
      <c r="R99" s="5">
        <f>ROUND('件数(合算）'!S100*'件数(合算）'!K100*$G99,0)</f>
        <v>0</v>
      </c>
      <c r="S99" s="5">
        <f>ROUND('件数(合算）'!T100*'件数(合算）'!K100*$G99,0)</f>
        <v>0</v>
      </c>
      <c r="T99" s="5">
        <f>ROUND('件数(合算）'!U100*'件数(合算）'!K100*$G99,0)</f>
        <v>0</v>
      </c>
      <c r="U99" s="5">
        <f>ROUND('件数(合算）'!V100*'件数(合算）'!K100*$G99,0)</f>
        <v>0</v>
      </c>
      <c r="V99" s="5">
        <f>ROUND('件数(合算）'!W100*'件数(合算）'!K100*$G99,0)</f>
        <v>0</v>
      </c>
      <c r="W99" s="5">
        <f>ROUND('件数(合算）'!X100*'件数(合算）'!K100*$G99,0)</f>
        <v>42</v>
      </c>
      <c r="X99" s="5">
        <f>ROUND('件数(合算）'!Y100*'件数(合算）'!K100*$G99,0)</f>
        <v>42</v>
      </c>
      <c r="Y99" s="5">
        <f>ROUND('件数(合算）'!Z100*'件数(合算）'!K100*$G99,0)</f>
        <v>0</v>
      </c>
      <c r="Z99" s="5">
        <f>ROUND('件数(合算）'!AA100*'件数(合算）'!K100*$F99,0)</f>
        <v>0</v>
      </c>
      <c r="AA99" s="5">
        <f>ROUND('件数(合算）'!AB100*'件数(合算）'!K100*$F99,0)</f>
        <v>0</v>
      </c>
      <c r="AB99" s="5">
        <f>ROUND('件数(合算）'!AC100*'件数(合算）'!K100*$F99,0)</f>
        <v>0</v>
      </c>
      <c r="AC99" s="5">
        <f>ROUND('件数(合算）'!AD100*'件数(合算）'!K100*$F99,0)</f>
        <v>0</v>
      </c>
      <c r="AD99" s="5">
        <f>ROUND('件数(合算）'!AE100*'件数(合算）'!K100*$F99,0)</f>
        <v>27</v>
      </c>
      <c r="AE99" s="5">
        <f>ROUND('件数(合算）'!AF100*'件数(合算）'!K100*$F99,0)</f>
        <v>27</v>
      </c>
      <c r="AF99" s="5">
        <f>ROUND('件数(合算）'!AG100*'件数(合算）'!K100*$E99,0)</f>
        <v>0</v>
      </c>
      <c r="AG99" s="5">
        <f>ROUND('件数(合算）'!AH100*'件数(合算）'!K100*$E99,0)</f>
        <v>0</v>
      </c>
      <c r="AH99" s="5">
        <f>ROUND('件数(合算）'!AI100*'件数(合算）'!K100*$E99,0)</f>
        <v>0</v>
      </c>
      <c r="AI99" s="5">
        <f>ROUND('件数(合算）'!AJ100*'件数(合算）'!K100*$E99,0)</f>
        <v>0</v>
      </c>
      <c r="AJ99" s="5">
        <f>ROUND('件数(合算）'!AK100*'件数(合算）'!K100*$E99,0)</f>
        <v>0</v>
      </c>
      <c r="AK99" s="5">
        <f>ROUND('件数(合算）'!AL100*'件数(合算）'!K100*$F99,0)</f>
        <v>27</v>
      </c>
      <c r="AL99" s="5">
        <f>ROUND('件数(合算）'!AM100*'件数(合算）'!K100*$F99,0)</f>
        <v>27</v>
      </c>
      <c r="AM99" s="5">
        <f>ROUND('件数(合算）'!AN100*'件数(合算）'!K100*$E99,0)</f>
        <v>27</v>
      </c>
      <c r="AN99" s="5">
        <f>ROUND('件数(合算）'!AO100*'件数(合算）'!K100*$E99,0)</f>
        <v>0</v>
      </c>
      <c r="AO99" s="5">
        <f>ROUND('件数(合算）'!AP100*'件数(合算）'!K100*$E99,0)</f>
        <v>0</v>
      </c>
      <c r="AP99" s="5">
        <f>ROUND('件数(合算）'!AQ100*'件数(合算）'!K100*$E99,0)</f>
        <v>0</v>
      </c>
      <c r="AQ99" s="5">
        <f>ROUND('件数(合算）'!AR100*'件数(合算）'!K100*$E99,0)</f>
        <v>0</v>
      </c>
      <c r="AR99" s="5">
        <f>ROUND('件数(合算）'!AS100*'件数(合算）'!K100*$E99,0)</f>
        <v>27</v>
      </c>
      <c r="AS99" s="5">
        <f>ROUND('件数(合算）'!AT100*'件数(合算）'!K100*$E99,0)</f>
        <v>27</v>
      </c>
      <c r="AT99" s="5">
        <f>ROUND('件数(合算）'!AU100*'件数(合算）'!K100*$E99,0)</f>
        <v>0</v>
      </c>
      <c r="AU99" s="5">
        <f>ROUND('件数(合算）'!AV100*'件数(合算）'!K100*$E99,0)</f>
        <v>0</v>
      </c>
      <c r="AV99" s="12">
        <f t="shared" si="6"/>
        <v>357</v>
      </c>
    </row>
    <row r="100" spans="1:48" ht="22" customHeight="1">
      <c r="A100" s="34">
        <v>388064</v>
      </c>
      <c r="B100" s="35" t="s">
        <v>197</v>
      </c>
      <c r="C100" s="32" t="s">
        <v>212</v>
      </c>
      <c r="D100" s="39"/>
      <c r="E100" s="49">
        <f>'件数(合算）'!E101</f>
        <v>9000</v>
      </c>
      <c r="F100" s="49">
        <f>'件数(合算）'!F101</f>
        <v>9000</v>
      </c>
      <c r="G100" s="49">
        <f>'件数(合算）'!G101</f>
        <v>19000</v>
      </c>
      <c r="K100" s="37">
        <f>'件数(合算）'!K101</f>
        <v>0.1</v>
      </c>
      <c r="L100" s="37">
        <f>'件数(合算）'!K101</f>
        <v>0.1</v>
      </c>
      <c r="M100" s="37">
        <f>'件数(合算）'!K101</f>
        <v>0.1</v>
      </c>
      <c r="N100" s="37">
        <f>'件数(合算）'!K101</f>
        <v>0.1</v>
      </c>
      <c r="O100" s="49">
        <f>ROUND('件数(合算）'!P101*'件数(合算）'!K101*$G100,0)</f>
        <v>0</v>
      </c>
      <c r="P100" s="49">
        <f>ROUND('件数(合算）'!Q101*'件数(合算）'!K101*$G100,0)</f>
        <v>0</v>
      </c>
      <c r="Q100" s="49">
        <f>ROUND('件数(合算）'!R101*'件数(合算）'!K101*$G100,0)</f>
        <v>3800</v>
      </c>
      <c r="R100" s="49">
        <f>ROUND('件数(合算）'!S101*'件数(合算）'!K101*$G100,0)</f>
        <v>0</v>
      </c>
      <c r="S100" s="49">
        <f>ROUND('件数(合算）'!T101*'件数(合算）'!K101*$G100,0)</f>
        <v>0</v>
      </c>
      <c r="T100" s="49">
        <f>ROUND('件数(合算）'!U101*'件数(合算）'!K101*$G100,0)</f>
        <v>0</v>
      </c>
      <c r="U100" s="49">
        <f>ROUND('件数(合算）'!V101*'件数(合算）'!K101*$G100,0)</f>
        <v>0</v>
      </c>
      <c r="V100" s="49">
        <f>ROUND('件数(合算）'!W101*'件数(合算）'!K101*$G100,0)</f>
        <v>0</v>
      </c>
      <c r="W100" s="49">
        <f>ROUND('件数(合算）'!X101*'件数(合算）'!K101*$G100,0)</f>
        <v>0</v>
      </c>
      <c r="X100" s="49">
        <f>ROUND('件数(合算）'!Y101*'件数(合算）'!K101*$G100,0)</f>
        <v>3800</v>
      </c>
      <c r="Y100" s="49">
        <f>ROUND('件数(合算）'!Z101*'件数(合算）'!K101*$G100,0)</f>
        <v>0</v>
      </c>
      <c r="Z100" s="49">
        <f>ROUND('件数(合算）'!AA101*'件数(合算）'!K101*$F100,0)</f>
        <v>0</v>
      </c>
      <c r="AA100" s="49">
        <f>ROUND('件数(合算）'!AB101*'件数(合算）'!K101*$F100,0)</f>
        <v>0</v>
      </c>
      <c r="AB100" s="49">
        <f>ROUND('件数(合算）'!AC101*'件数(合算）'!K101*$F100,0)</f>
        <v>0</v>
      </c>
      <c r="AC100" s="49">
        <f>ROUND('件数(合算）'!AD101*'件数(合算）'!K101*$F100,0)</f>
        <v>0</v>
      </c>
      <c r="AD100" s="49">
        <f>ROUND('件数(合算）'!AE101*'件数(合算）'!K101*$F100,0)</f>
        <v>0</v>
      </c>
      <c r="AE100" s="49">
        <f>ROUND('件数(合算）'!AF101*'件数(合算）'!K101*$F100,0)</f>
        <v>900</v>
      </c>
      <c r="AF100" s="49">
        <f>ROUND('件数(合算）'!AG101*'件数(合算）'!K101*$E100,0)</f>
        <v>0</v>
      </c>
      <c r="AG100" s="49">
        <f>ROUND('件数(合算）'!AH101*'件数(合算）'!K101*$E100,0)</f>
        <v>0</v>
      </c>
      <c r="AH100" s="49">
        <f>ROUND('件数(合算）'!AI101*'件数(合算）'!K101*$E100,0)</f>
        <v>0</v>
      </c>
      <c r="AI100" s="49">
        <f>ROUND('件数(合算）'!AJ101*'件数(合算）'!K101*$E100,0)</f>
        <v>0</v>
      </c>
      <c r="AJ100" s="49">
        <f>ROUND('件数(合算）'!AK101*'件数(合算）'!K101*$E100,0)</f>
        <v>0</v>
      </c>
      <c r="AK100" s="49">
        <f>ROUND('件数(合算）'!AL101*'件数(合算）'!K101*$F100,0)</f>
        <v>0</v>
      </c>
      <c r="AL100" s="49">
        <f>ROUND('件数(合算）'!AM101*'件数(合算）'!K101*$F100,0)</f>
        <v>900</v>
      </c>
      <c r="AM100" s="49">
        <f>ROUND('件数(合算）'!AN101*'件数(合算）'!K101*$E100,0)</f>
        <v>900</v>
      </c>
      <c r="AN100" s="49">
        <f>ROUND('件数(合算）'!AO101*'件数(合算）'!K101*$E100,0)</f>
        <v>0</v>
      </c>
      <c r="AO100" s="49">
        <f>ROUND('件数(合算）'!AP101*'件数(合算）'!K101*$E100,0)</f>
        <v>0</v>
      </c>
      <c r="AP100" s="49">
        <f>ROUND('件数(合算）'!AQ101*'件数(合算）'!K101*$E100,0)</f>
        <v>0</v>
      </c>
      <c r="AQ100" s="49">
        <f>ROUND('件数(合算）'!AR101*'件数(合算）'!K101*$E100,0)</f>
        <v>0</v>
      </c>
      <c r="AR100" s="49">
        <f>ROUND('件数(合算）'!AS101*'件数(合算）'!K101*$E100,0)</f>
        <v>900</v>
      </c>
      <c r="AS100" s="49">
        <f>ROUND('件数(合算）'!AT101*'件数(合算）'!K101*$E100,0)</f>
        <v>900</v>
      </c>
      <c r="AT100" s="49">
        <f>ROUND('件数(合算）'!AU101*'件数(合算）'!K101*$E100,0)</f>
        <v>0</v>
      </c>
      <c r="AU100" s="49">
        <f>ROUND('件数(合算）'!AV101*'件数(合算）'!K101*$E100,0)</f>
        <v>0</v>
      </c>
      <c r="AV100" s="12">
        <f t="shared" si="6"/>
        <v>12100</v>
      </c>
    </row>
    <row r="101" spans="1:48" ht="22" customHeight="1">
      <c r="A101" s="26">
        <v>388297</v>
      </c>
      <c r="B101" s="27" t="s">
        <v>198</v>
      </c>
      <c r="C101" s="25"/>
      <c r="D101" s="9"/>
      <c r="E101" s="5">
        <f>'件数(合算）'!E102</f>
        <v>9000</v>
      </c>
      <c r="F101" s="5">
        <f>'件数(合算）'!F102</f>
        <v>9000</v>
      </c>
      <c r="G101" s="5">
        <f>'件数(合算）'!G102</f>
        <v>13000</v>
      </c>
      <c r="K101" s="4">
        <f>'件数(合算）'!K102</f>
        <v>0.1</v>
      </c>
      <c r="L101" s="4">
        <f>'件数(合算）'!K102</f>
        <v>0.1</v>
      </c>
      <c r="M101" s="4">
        <f>'件数(合算）'!K102</f>
        <v>0.1</v>
      </c>
      <c r="N101" s="4">
        <f>'件数(合算）'!K102</f>
        <v>0.1</v>
      </c>
      <c r="O101" s="5">
        <f>ROUND('件数(合算）'!P102*'件数(合算）'!K102*$G101,0)</f>
        <v>0</v>
      </c>
      <c r="P101" s="5">
        <f>ROUND('件数(合算）'!Q102*'件数(合算）'!K102*$G101,0)</f>
        <v>1300</v>
      </c>
      <c r="Q101" s="5">
        <f>ROUND('件数(合算）'!R102*'件数(合算）'!K102*$G101,0)</f>
        <v>1300</v>
      </c>
      <c r="R101" s="5">
        <f>ROUND('件数(合算）'!S102*'件数(合算）'!K102*$G101,0)</f>
        <v>0</v>
      </c>
      <c r="S101" s="5">
        <f>ROUND('件数(合算）'!T102*'件数(合算）'!K102*$G101,0)</f>
        <v>0</v>
      </c>
      <c r="T101" s="5">
        <f>ROUND('件数(合算）'!U102*'件数(合算）'!K102*$G101,0)</f>
        <v>0</v>
      </c>
      <c r="U101" s="5">
        <f>ROUND('件数(合算）'!V102*'件数(合算）'!K102*$G101,0)</f>
        <v>0</v>
      </c>
      <c r="V101" s="5">
        <f>ROUND('件数(合算）'!W102*'件数(合算）'!K102*$G101,0)</f>
        <v>0</v>
      </c>
      <c r="W101" s="5">
        <f>ROUND('件数(合算）'!X102*'件数(合算）'!K102*$G101,0)</f>
        <v>1300</v>
      </c>
      <c r="X101" s="5">
        <f>ROUND('件数(合算）'!Y102*'件数(合算）'!K102*$G101,0)</f>
        <v>1300</v>
      </c>
      <c r="Y101" s="5">
        <f>ROUND('件数(合算）'!Z102*'件数(合算）'!K102*$G101,0)</f>
        <v>0</v>
      </c>
      <c r="Z101" s="5">
        <f>ROUND('件数(合算）'!AA102*'件数(合算）'!K102*$F101,0)</f>
        <v>0</v>
      </c>
      <c r="AA101" s="5">
        <f>ROUND('件数(合算）'!AB102*'件数(合算）'!K102*$F101,0)</f>
        <v>0</v>
      </c>
      <c r="AB101" s="5">
        <f>ROUND('件数(合算）'!AC102*'件数(合算）'!K102*$F101,0)</f>
        <v>0</v>
      </c>
      <c r="AC101" s="5">
        <f>ROUND('件数(合算）'!AD102*'件数(合算）'!K102*$F101,0)</f>
        <v>0</v>
      </c>
      <c r="AD101" s="5">
        <f>ROUND('件数(合算）'!AE102*'件数(合算）'!K102*$F101,0)</f>
        <v>900</v>
      </c>
      <c r="AE101" s="5">
        <f>ROUND('件数(合算）'!AF102*'件数(合算）'!K102*$F101,0)</f>
        <v>900</v>
      </c>
      <c r="AF101" s="5">
        <f>ROUND('件数(合算）'!AG102*'件数(合算）'!K102*$E101,0)</f>
        <v>0</v>
      </c>
      <c r="AG101" s="5">
        <f>ROUND('件数(合算）'!AH102*'件数(合算）'!K102*$E101,0)</f>
        <v>0</v>
      </c>
      <c r="AH101" s="5">
        <f>ROUND('件数(合算）'!AI102*'件数(合算）'!K102*$E101,0)</f>
        <v>0</v>
      </c>
      <c r="AI101" s="5">
        <f>ROUND('件数(合算）'!AJ102*'件数(合算）'!K102*$E101,0)</f>
        <v>0</v>
      </c>
      <c r="AJ101" s="5">
        <f>ROUND('件数(合算）'!AK102*'件数(合算）'!K102*$E101,0)</f>
        <v>0</v>
      </c>
      <c r="AK101" s="5">
        <f>ROUND('件数(合算）'!AL102*'件数(合算）'!K102*$F101,0)</f>
        <v>900</v>
      </c>
      <c r="AL101" s="5">
        <f>ROUND('件数(合算）'!AM102*'件数(合算）'!K102*$F101,0)</f>
        <v>900</v>
      </c>
      <c r="AM101" s="5">
        <f>ROUND('件数(合算）'!AN102*'件数(合算）'!K102*$E101,0)</f>
        <v>900</v>
      </c>
      <c r="AN101" s="5">
        <f>ROUND('件数(合算）'!AO102*'件数(合算）'!K102*$E101,0)</f>
        <v>0</v>
      </c>
      <c r="AO101" s="5">
        <f>ROUND('件数(合算）'!AP102*'件数(合算）'!K102*$E101,0)</f>
        <v>0</v>
      </c>
      <c r="AP101" s="5">
        <f>ROUND('件数(合算）'!AQ102*'件数(合算）'!K102*$E101,0)</f>
        <v>0</v>
      </c>
      <c r="AQ101" s="5">
        <f>ROUND('件数(合算）'!AR102*'件数(合算）'!K102*$E101,0)</f>
        <v>0</v>
      </c>
      <c r="AR101" s="5">
        <f>ROUND('件数(合算）'!AS102*'件数(合算）'!K102*$E101,0)</f>
        <v>900</v>
      </c>
      <c r="AS101" s="5">
        <f>ROUND('件数(合算）'!AT102*'件数(合算）'!K102*$E101,0)</f>
        <v>900</v>
      </c>
      <c r="AT101" s="5">
        <f>ROUND('件数(合算）'!AU102*'件数(合算）'!K102*$E101,0)</f>
        <v>0</v>
      </c>
      <c r="AU101" s="5">
        <f>ROUND('件数(合算）'!AV102*'件数(合算）'!K102*$E101,0)</f>
        <v>0</v>
      </c>
      <c r="AV101" s="12">
        <f t="shared" si="6"/>
        <v>11500</v>
      </c>
    </row>
    <row r="102" spans="1:48" ht="22" customHeight="1">
      <c r="A102" s="34">
        <v>390299</v>
      </c>
      <c r="B102" s="35" t="s">
        <v>199</v>
      </c>
      <c r="C102" s="32" t="s">
        <v>212</v>
      </c>
      <c r="D102" s="39"/>
      <c r="E102" s="49">
        <f>'件数(合算）'!E103</f>
        <v>9000</v>
      </c>
      <c r="F102" s="49">
        <f>'件数(合算）'!F103</f>
        <v>9000</v>
      </c>
      <c r="G102" s="49">
        <f>'件数(合算）'!G103</f>
        <v>12000</v>
      </c>
      <c r="K102" s="37">
        <f>'件数(合算）'!K103</f>
        <v>0.1</v>
      </c>
      <c r="L102" s="37">
        <f>'件数(合算）'!K103</f>
        <v>0.1</v>
      </c>
      <c r="M102" s="37">
        <f>'件数(合算）'!K103</f>
        <v>0.1</v>
      </c>
      <c r="N102" s="37">
        <f>'件数(合算）'!K103</f>
        <v>0.1</v>
      </c>
      <c r="O102" s="49">
        <f>ROUND('件数(合算）'!P103*'件数(合算）'!K103*$G102,0)</f>
        <v>0</v>
      </c>
      <c r="P102" s="49">
        <f>ROUND('件数(合算）'!Q103*'件数(合算）'!K103*$G102,0)</f>
        <v>0</v>
      </c>
      <c r="Q102" s="49">
        <f>ROUND('件数(合算）'!R103*'件数(合算）'!K103*$G102,0)</f>
        <v>0</v>
      </c>
      <c r="R102" s="49">
        <f>ROUND('件数(合算）'!S103*'件数(合算）'!K103*$G102,0)</f>
        <v>0</v>
      </c>
      <c r="S102" s="49">
        <f>ROUND('件数(合算）'!T103*'件数(合算）'!K103*$G102,0)</f>
        <v>0</v>
      </c>
      <c r="T102" s="49">
        <f>ROUND('件数(合算）'!U103*'件数(合算）'!K103*$G102,0)</f>
        <v>0</v>
      </c>
      <c r="U102" s="49">
        <f>ROUND('件数(合算）'!V103*'件数(合算）'!K103*$G102,0)</f>
        <v>0</v>
      </c>
      <c r="V102" s="49">
        <f>ROUND('件数(合算）'!W103*'件数(合算）'!K103*$G102,0)</f>
        <v>0</v>
      </c>
      <c r="W102" s="49">
        <f>ROUND('件数(合算）'!X103*'件数(合算）'!K103*$G102,0)</f>
        <v>0</v>
      </c>
      <c r="X102" s="49">
        <f>ROUND('件数(合算）'!Y103*'件数(合算）'!K103*$G102,0)</f>
        <v>0</v>
      </c>
      <c r="Y102" s="49">
        <f>ROUND('件数(合算）'!Z103*'件数(合算）'!K103*$G102,0)</f>
        <v>0</v>
      </c>
      <c r="Z102" s="49">
        <f>ROUND('件数(合算）'!AA103*'件数(合算）'!K103*$F102,0)</f>
        <v>0</v>
      </c>
      <c r="AA102" s="49">
        <f>ROUND('件数(合算）'!AB103*'件数(合算）'!K103*$F102,0)</f>
        <v>0</v>
      </c>
      <c r="AB102" s="49">
        <f>ROUND('件数(合算）'!AC103*'件数(合算）'!K103*$F102,0)</f>
        <v>0</v>
      </c>
      <c r="AC102" s="49">
        <f>ROUND('件数(合算）'!AD103*'件数(合算）'!K103*$F102,0)</f>
        <v>0</v>
      </c>
      <c r="AD102" s="49">
        <f>ROUND('件数(合算）'!AE103*'件数(合算）'!K103*$F102,0)</f>
        <v>0</v>
      </c>
      <c r="AE102" s="49">
        <f>ROUND('件数(合算）'!AF103*'件数(合算）'!K103*$F102,0)</f>
        <v>900</v>
      </c>
      <c r="AF102" s="49">
        <f>ROUND('件数(合算）'!AG103*'件数(合算）'!K103*$E102,0)</f>
        <v>0</v>
      </c>
      <c r="AG102" s="49">
        <f>ROUND('件数(合算）'!AH103*'件数(合算）'!K103*$E102,0)</f>
        <v>0</v>
      </c>
      <c r="AH102" s="49">
        <f>ROUND('件数(合算）'!AI103*'件数(合算）'!K103*$E102,0)</f>
        <v>0</v>
      </c>
      <c r="AI102" s="49">
        <f>ROUND('件数(合算）'!AJ103*'件数(合算）'!K103*$E102,0)</f>
        <v>0</v>
      </c>
      <c r="AJ102" s="49">
        <f>ROUND('件数(合算）'!AK103*'件数(合算）'!K103*$E102,0)</f>
        <v>0</v>
      </c>
      <c r="AK102" s="49">
        <f>ROUND('件数(合算）'!AL103*'件数(合算）'!K103*$F102,0)</f>
        <v>0</v>
      </c>
      <c r="AL102" s="49">
        <f>ROUND('件数(合算）'!AM103*'件数(合算）'!K103*$F102,0)</f>
        <v>0</v>
      </c>
      <c r="AM102" s="49">
        <f>ROUND('件数(合算）'!AN103*'件数(合算）'!K103*$E102,0)</f>
        <v>900</v>
      </c>
      <c r="AN102" s="49">
        <f>ROUND('件数(合算）'!AO103*'件数(合算）'!K103*$E102,0)</f>
        <v>0</v>
      </c>
      <c r="AO102" s="49">
        <f>ROUND('件数(合算）'!AP103*'件数(合算）'!K103*$E102,0)</f>
        <v>0</v>
      </c>
      <c r="AP102" s="49">
        <f>ROUND('件数(合算）'!AQ103*'件数(合算）'!K103*$E102,0)</f>
        <v>0</v>
      </c>
      <c r="AQ102" s="49">
        <f>ROUND('件数(合算）'!AR103*'件数(合算）'!K103*$E102,0)</f>
        <v>0</v>
      </c>
      <c r="AR102" s="49">
        <f>ROUND('件数(合算）'!AS103*'件数(合算）'!K103*$E102,0)</f>
        <v>0</v>
      </c>
      <c r="AS102" s="49">
        <f>ROUND('件数(合算）'!AT103*'件数(合算）'!K103*$E102,0)</f>
        <v>900</v>
      </c>
      <c r="AT102" s="49">
        <f>ROUND('件数(合算）'!AU103*'件数(合算）'!K103*$E102,0)</f>
        <v>0</v>
      </c>
      <c r="AU102" s="49">
        <f>ROUND('件数(合算）'!AV103*'件数(合算）'!K103*$E102,0)</f>
        <v>0</v>
      </c>
      <c r="AV102" s="12">
        <f t="shared" si="6"/>
        <v>2700</v>
      </c>
    </row>
    <row r="103" spans="1:48" ht="22" customHeight="1">
      <c r="A103" s="26"/>
      <c r="B103" s="27" t="s">
        <v>202</v>
      </c>
      <c r="C103" s="25" t="s">
        <v>212</v>
      </c>
      <c r="D103" s="9"/>
      <c r="E103" s="5">
        <f>'件数(合算）'!E104</f>
        <v>0</v>
      </c>
      <c r="F103" s="5">
        <f>'件数(合算）'!F104</f>
        <v>0</v>
      </c>
      <c r="G103" s="5">
        <f>'件数(合算）'!G104</f>
        <v>0</v>
      </c>
      <c r="K103" s="4">
        <f>'件数(合算）'!K104</f>
        <v>0.5</v>
      </c>
      <c r="L103" s="4">
        <f>'件数(合算）'!K104</f>
        <v>0.5</v>
      </c>
      <c r="M103" s="4">
        <f>'件数(合算）'!K104</f>
        <v>0.5</v>
      </c>
      <c r="N103" s="4">
        <f>'件数(合算）'!K104</f>
        <v>0.5</v>
      </c>
      <c r="O103" s="5">
        <f>ROUND('件数(合算）'!P104*'件数(合算）'!K104*$G103,0)</f>
        <v>0</v>
      </c>
      <c r="P103" s="5">
        <f>ROUND('件数(合算）'!Q104*'件数(合算）'!K104*$G103,0)</f>
        <v>0</v>
      </c>
      <c r="Q103" s="5">
        <f>ROUND('件数(合算）'!R104*'件数(合算）'!K104*$G103,0)</f>
        <v>0</v>
      </c>
      <c r="R103" s="5">
        <f>ROUND('件数(合算）'!S104*'件数(合算）'!K104*$G103,0)</f>
        <v>0</v>
      </c>
      <c r="S103" s="5">
        <f>ROUND('件数(合算）'!T104*'件数(合算）'!K104*$G103,0)</f>
        <v>0</v>
      </c>
      <c r="T103" s="5">
        <f>ROUND('件数(合算）'!U104*'件数(合算）'!K104*$G103,0)</f>
        <v>0</v>
      </c>
      <c r="U103" s="5">
        <f>ROUND('件数(合算）'!V104*'件数(合算）'!K104*$G103,0)</f>
        <v>0</v>
      </c>
      <c r="V103" s="5">
        <f>ROUND('件数(合算）'!W104*'件数(合算）'!K104*$G103,0)</f>
        <v>0</v>
      </c>
      <c r="W103" s="5">
        <f>ROUND('件数(合算）'!X104*'件数(合算）'!K104*$G103,0)</f>
        <v>0</v>
      </c>
      <c r="X103" s="5">
        <f>ROUND('件数(合算）'!Y104*'件数(合算）'!K104*$G103,0)</f>
        <v>0</v>
      </c>
      <c r="Y103" s="5">
        <f>ROUND('件数(合算）'!Z104*'件数(合算）'!K104*$G103,0)</f>
        <v>0</v>
      </c>
      <c r="Z103" s="5">
        <f>ROUND('件数(合算）'!AA104*'件数(合算）'!K104*$F103,0)</f>
        <v>0</v>
      </c>
      <c r="AA103" s="5">
        <f>ROUND('件数(合算）'!AB104*'件数(合算）'!K104*$F103,0)</f>
        <v>0</v>
      </c>
      <c r="AB103" s="5">
        <f>ROUND('件数(合算）'!AC104*'件数(合算）'!K104*$F103,0)</f>
        <v>0</v>
      </c>
      <c r="AC103" s="5">
        <f>ROUND('件数(合算）'!AD104*'件数(合算）'!K104*$F103,0)</f>
        <v>0</v>
      </c>
      <c r="AD103" s="5">
        <f>ROUND('件数(合算）'!AE104*'件数(合算）'!K104*$F103,0)</f>
        <v>0</v>
      </c>
      <c r="AE103" s="5">
        <f>ROUND('件数(合算）'!AF104*'件数(合算）'!K104*$F103,0)</f>
        <v>0</v>
      </c>
      <c r="AF103" s="5">
        <f>ROUND('件数(合算）'!AG104*'件数(合算）'!K104*$E103,0)</f>
        <v>0</v>
      </c>
      <c r="AG103" s="5">
        <f>ROUND('件数(合算）'!AH104*'件数(合算）'!K104*$E103,0)</f>
        <v>0</v>
      </c>
      <c r="AH103" s="5">
        <f>ROUND('件数(合算）'!AI104*'件数(合算）'!K104*$E103,0)</f>
        <v>0</v>
      </c>
      <c r="AI103" s="5">
        <f>ROUND('件数(合算）'!AJ104*'件数(合算）'!K104*$E103,0)</f>
        <v>0</v>
      </c>
      <c r="AJ103" s="5">
        <f>ROUND('件数(合算）'!AK104*'件数(合算）'!K104*$E103,0)</f>
        <v>0</v>
      </c>
      <c r="AK103" s="5">
        <f>ROUND('件数(合算）'!AL104*'件数(合算）'!K104*$F103,0)</f>
        <v>0</v>
      </c>
      <c r="AL103" s="5">
        <f>ROUND('件数(合算）'!AM104*'件数(合算）'!K104*$F103,0)</f>
        <v>0</v>
      </c>
      <c r="AM103" s="5">
        <f>ROUND('件数(合算）'!AN104*'件数(合算）'!K104*$E103,0)</f>
        <v>0</v>
      </c>
      <c r="AN103" s="5">
        <f>ROUND('件数(合算）'!AO104*'件数(合算）'!K104*$E103,0)</f>
        <v>0</v>
      </c>
      <c r="AO103" s="5">
        <f>ROUND('件数(合算）'!AP104*'件数(合算）'!K104*$E103,0)</f>
        <v>0</v>
      </c>
      <c r="AP103" s="5">
        <f>ROUND('件数(合算）'!AQ104*'件数(合算）'!K104*$E103,0)</f>
        <v>0</v>
      </c>
      <c r="AQ103" s="5">
        <f>ROUND('件数(合算）'!AR104*'件数(合算）'!K104*$E103,0)</f>
        <v>0</v>
      </c>
      <c r="AR103" s="5">
        <f>ROUND('件数(合算）'!AS104*'件数(合算）'!K104*$E103,0)</f>
        <v>0</v>
      </c>
      <c r="AS103" s="5">
        <f>ROUND('件数(合算）'!AT104*'件数(合算）'!K104*$E103,0)</f>
        <v>0</v>
      </c>
      <c r="AT103" s="5">
        <f>ROUND('件数(合算）'!AU104*'件数(合算）'!K104*$E103,0)</f>
        <v>0</v>
      </c>
      <c r="AU103" s="5">
        <f>ROUND('件数(合算）'!AV104*'件数(合算）'!K104*$E103,0)</f>
        <v>0</v>
      </c>
      <c r="AV103" s="12">
        <f t="shared" ref="AV103:AV104" si="7">SUM(O103:AU103)</f>
        <v>0</v>
      </c>
    </row>
    <row r="104" spans="1:48" ht="22" customHeight="1">
      <c r="A104" s="34"/>
      <c r="B104" s="35" t="s">
        <v>203</v>
      </c>
      <c r="C104" s="32"/>
      <c r="D104" s="39"/>
      <c r="E104" s="49">
        <f>'件数(合算）'!E105</f>
        <v>0</v>
      </c>
      <c r="F104" s="49">
        <f>'件数(合算）'!F105</f>
        <v>0</v>
      </c>
      <c r="G104" s="49">
        <f>'件数(合算）'!G105</f>
        <v>0</v>
      </c>
      <c r="K104" s="37">
        <f>'件数(合算）'!K105</f>
        <v>0.3</v>
      </c>
      <c r="L104" s="37">
        <f>'件数(合算）'!K105</f>
        <v>0.3</v>
      </c>
      <c r="M104" s="37">
        <f>'件数(合算）'!K105</f>
        <v>0.3</v>
      </c>
      <c r="N104" s="37">
        <f>'件数(合算）'!K105</f>
        <v>0.3</v>
      </c>
      <c r="O104" s="49">
        <f>ROUND('件数(合算）'!P105*'件数(合算）'!K105*$G104,0)</f>
        <v>0</v>
      </c>
      <c r="P104" s="49">
        <f>ROUND('件数(合算）'!Q105*'件数(合算）'!K105*$G104,0)</f>
        <v>0</v>
      </c>
      <c r="Q104" s="49">
        <f>ROUND('件数(合算）'!R105*'件数(合算）'!K105*$G104,0)</f>
        <v>0</v>
      </c>
      <c r="R104" s="49">
        <f>ROUND('件数(合算）'!S105*'件数(合算）'!K105*$G104,0)</f>
        <v>0</v>
      </c>
      <c r="S104" s="49">
        <f>ROUND('件数(合算）'!T105*'件数(合算）'!K105*$G104,0)</f>
        <v>0</v>
      </c>
      <c r="T104" s="49">
        <f>ROUND('件数(合算）'!U105*'件数(合算）'!K105*$G104,0)</f>
        <v>0</v>
      </c>
      <c r="U104" s="49">
        <f>ROUND('件数(合算）'!V105*'件数(合算）'!K105*$G104,0)</f>
        <v>0</v>
      </c>
      <c r="V104" s="49">
        <f>ROUND('件数(合算）'!W105*'件数(合算）'!K105*$G104,0)</f>
        <v>0</v>
      </c>
      <c r="W104" s="49">
        <f>ROUND('件数(合算）'!X105*'件数(合算）'!K105*$G104,0)</f>
        <v>0</v>
      </c>
      <c r="X104" s="49">
        <f>ROUND('件数(合算）'!Y105*'件数(合算）'!K105*$G104,0)</f>
        <v>0</v>
      </c>
      <c r="Y104" s="49">
        <f>ROUND('件数(合算）'!Z105*'件数(合算）'!K105*$G104,0)</f>
        <v>0</v>
      </c>
      <c r="Z104" s="49">
        <f>ROUND('件数(合算）'!AA105*'件数(合算）'!K105*$F104,0)</f>
        <v>0</v>
      </c>
      <c r="AA104" s="49">
        <f>ROUND('件数(合算）'!AB105*'件数(合算）'!K105*$F104,0)</f>
        <v>0</v>
      </c>
      <c r="AB104" s="49">
        <f>ROUND('件数(合算）'!AC105*'件数(合算）'!K105*$F104,0)</f>
        <v>0</v>
      </c>
      <c r="AC104" s="49">
        <f>ROUND('件数(合算）'!AD105*'件数(合算）'!K105*$F104,0)</f>
        <v>0</v>
      </c>
      <c r="AD104" s="49">
        <f>ROUND('件数(合算）'!AE105*'件数(合算）'!K105*$F104,0)</f>
        <v>0</v>
      </c>
      <c r="AE104" s="49">
        <f>ROUND('件数(合算）'!AF105*'件数(合算）'!K105*$F104,0)</f>
        <v>0</v>
      </c>
      <c r="AF104" s="49">
        <f>ROUND('件数(合算）'!AG105*'件数(合算）'!K105*$E104,0)</f>
        <v>0</v>
      </c>
      <c r="AG104" s="49">
        <f>ROUND('件数(合算）'!AH105*'件数(合算）'!K105*$E104,0)</f>
        <v>0</v>
      </c>
      <c r="AH104" s="49">
        <f>ROUND('件数(合算）'!AI105*'件数(合算）'!K105*$E104,0)</f>
        <v>0</v>
      </c>
      <c r="AI104" s="49">
        <f>ROUND('件数(合算）'!AJ105*'件数(合算）'!K105*$E104,0)</f>
        <v>0</v>
      </c>
      <c r="AJ104" s="49">
        <f>ROUND('件数(合算）'!AK105*'件数(合算）'!K105*$E104,0)</f>
        <v>0</v>
      </c>
      <c r="AK104" s="49">
        <f>ROUND('件数(合算）'!AL105*'件数(合算）'!K105*$F104,0)</f>
        <v>0</v>
      </c>
      <c r="AL104" s="49">
        <f>ROUND('件数(合算）'!AM105*'件数(合算）'!K105*$F104,0)</f>
        <v>0</v>
      </c>
      <c r="AM104" s="49">
        <f>ROUND('件数(合算）'!AN105*'件数(合算）'!K105*$E104,0)</f>
        <v>0</v>
      </c>
      <c r="AN104" s="49">
        <f>ROUND('件数(合算）'!AO105*'件数(合算）'!K105*$E104,0)</f>
        <v>0</v>
      </c>
      <c r="AO104" s="49">
        <f>ROUND('件数(合算）'!AP105*'件数(合算）'!K105*$E104,0)</f>
        <v>0</v>
      </c>
      <c r="AP104" s="49">
        <f>ROUND('件数(合算）'!AQ105*'件数(合算）'!K105*$E104,0)</f>
        <v>0</v>
      </c>
      <c r="AQ104" s="49">
        <f>ROUND('件数(合算）'!AR105*'件数(合算）'!K105*$E104,0)</f>
        <v>0</v>
      </c>
      <c r="AR104" s="49">
        <f>ROUND('件数(合算）'!AS105*'件数(合算）'!K105*$E104,0)</f>
        <v>0</v>
      </c>
      <c r="AS104" s="49">
        <f>ROUND('件数(合算）'!AT105*'件数(合算）'!K105*$E104,0)</f>
        <v>0</v>
      </c>
      <c r="AT104" s="49">
        <f>ROUND('件数(合算）'!AU105*'件数(合算）'!K105*$E104,0)</f>
        <v>0</v>
      </c>
      <c r="AU104" s="49">
        <f>ROUND('件数(合算）'!AV105*'件数(合算）'!K105*$E104,0)</f>
        <v>0</v>
      </c>
      <c r="AV104" s="12">
        <f t="shared" si="7"/>
        <v>0</v>
      </c>
    </row>
    <row r="105" spans="1:48" ht="22" customHeight="1"/>
    <row r="106" spans="1:48" ht="22" customHeight="1"/>
    <row r="107" spans="1:48" ht="22" customHeight="1"/>
    <row r="108" spans="1:48" ht="22" customHeight="1"/>
    <row r="109" spans="1:48" ht="22" customHeight="1"/>
    <row r="110" spans="1:48" ht="22" customHeight="1"/>
    <row r="111" spans="1:48" ht="22" customHeight="1"/>
    <row r="112" spans="1:48"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sheetData>
  <phoneticPr fontId="7"/>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5CD1-5430-44F0-A946-EE50AA8C3BDC}">
  <dimension ref="A1:L65"/>
  <sheetViews>
    <sheetView zoomScale="70" zoomScaleNormal="70" workbookViewId="0">
      <selection activeCell="E56" sqref="E56"/>
    </sheetView>
  </sheetViews>
  <sheetFormatPr defaultRowHeight="14.5"/>
  <cols>
    <col min="1" max="1" width="13.36328125" style="60" bestFit="1" customWidth="1"/>
    <col min="2" max="2" width="8.7265625" style="60"/>
    <col min="3" max="3" width="23.26953125" style="60" bestFit="1" customWidth="1"/>
    <col min="4" max="4" width="13.1796875" style="60" bestFit="1" customWidth="1"/>
    <col min="5" max="5" width="9.08984375" style="60" bestFit="1" customWidth="1"/>
    <col min="6" max="6" width="17.26953125" style="60" bestFit="1" customWidth="1"/>
    <col min="7" max="7" width="13.36328125" style="60" bestFit="1" customWidth="1"/>
    <col min="8" max="8" width="5.1796875" style="60" bestFit="1" customWidth="1"/>
    <col min="9" max="9" width="7.08984375" style="60" bestFit="1" customWidth="1"/>
    <col min="10" max="11" width="15.08984375" style="60" bestFit="1" customWidth="1"/>
    <col min="12" max="12" width="9.08984375" style="60" bestFit="1" customWidth="1"/>
    <col min="13" max="16384" width="8.7265625" style="60"/>
  </cols>
  <sheetData>
    <row r="1" spans="1:12" ht="82">
      <c r="A1" s="57"/>
      <c r="B1" s="58" t="s">
        <v>225</v>
      </c>
      <c r="C1" s="57" t="s">
        <v>226</v>
      </c>
      <c r="D1" s="59" t="s">
        <v>227</v>
      </c>
      <c r="E1" s="57" t="s">
        <v>228</v>
      </c>
      <c r="F1" s="59" t="s">
        <v>229</v>
      </c>
      <c r="G1" s="57"/>
      <c r="H1" s="58" t="s">
        <v>225</v>
      </c>
      <c r="I1" s="57" t="s">
        <v>230</v>
      </c>
      <c r="J1" s="57" t="s">
        <v>231</v>
      </c>
      <c r="K1" s="57" t="s">
        <v>232</v>
      </c>
      <c r="L1" s="57" t="s">
        <v>233</v>
      </c>
    </row>
    <row r="2" spans="1:12" ht="20.5" hidden="1">
      <c r="A2" s="61">
        <v>46235</v>
      </c>
      <c r="B2" s="62" t="str">
        <f t="shared" ref="B2:B31" si="0">TEXT(A2,"aaa")</f>
        <v>土</v>
      </c>
      <c r="C2" s="63"/>
      <c r="D2" s="63"/>
      <c r="E2" s="63"/>
      <c r="F2" s="63"/>
      <c r="G2" s="64">
        <f t="shared" ref="G2:G31" si="1">A2</f>
        <v>46235</v>
      </c>
      <c r="H2" s="63" t="str">
        <f t="shared" ref="H2:H31" si="2">TEXT(G2,"aaa")</f>
        <v>土</v>
      </c>
      <c r="I2" s="63"/>
      <c r="J2" s="63"/>
      <c r="K2" s="63"/>
      <c r="L2" s="63"/>
    </row>
    <row r="3" spans="1:12" ht="20.5" hidden="1">
      <c r="A3" s="61">
        <v>46236</v>
      </c>
      <c r="B3" s="62" t="str">
        <f t="shared" si="0"/>
        <v>日</v>
      </c>
      <c r="C3" s="63"/>
      <c r="D3" s="63"/>
      <c r="E3" s="63"/>
      <c r="F3" s="63"/>
      <c r="G3" s="64">
        <f t="shared" si="1"/>
        <v>46236</v>
      </c>
      <c r="H3" s="63" t="str">
        <f t="shared" si="2"/>
        <v>日</v>
      </c>
      <c r="I3" s="63"/>
      <c r="J3" s="63"/>
      <c r="K3" s="63"/>
      <c r="L3" s="63"/>
    </row>
    <row r="4" spans="1:12" ht="20.5" hidden="1">
      <c r="A4" s="61">
        <v>46237</v>
      </c>
      <c r="B4" s="62" t="str">
        <f t="shared" si="0"/>
        <v>月</v>
      </c>
      <c r="C4" s="62"/>
      <c r="D4" s="62"/>
      <c r="E4" s="62"/>
      <c r="F4" s="62"/>
      <c r="G4" s="65">
        <f t="shared" si="1"/>
        <v>46237</v>
      </c>
      <c r="H4" s="62" t="str">
        <f t="shared" si="2"/>
        <v>月</v>
      </c>
      <c r="I4" s="62"/>
      <c r="J4" s="62"/>
      <c r="K4" s="62"/>
      <c r="L4" s="62"/>
    </row>
    <row r="5" spans="1:12" ht="20.5" hidden="1">
      <c r="A5" s="66">
        <v>46238</v>
      </c>
      <c r="B5" s="62" t="str">
        <f t="shared" si="0"/>
        <v>火</v>
      </c>
      <c r="C5" s="67" t="s">
        <v>234</v>
      </c>
      <c r="D5" s="68"/>
      <c r="E5" s="68"/>
      <c r="F5" s="68" t="s">
        <v>235</v>
      </c>
      <c r="G5" s="65">
        <f t="shared" si="1"/>
        <v>46238</v>
      </c>
      <c r="H5" s="62" t="str">
        <f t="shared" si="2"/>
        <v>火</v>
      </c>
      <c r="I5" s="62"/>
      <c r="J5" s="62"/>
      <c r="K5" s="62"/>
      <c r="L5" s="62"/>
    </row>
    <row r="6" spans="1:12" ht="20.5" hidden="1">
      <c r="A6" s="66">
        <v>46239</v>
      </c>
      <c r="B6" s="62" t="str">
        <f t="shared" si="0"/>
        <v>水</v>
      </c>
      <c r="C6" s="62"/>
      <c r="D6" s="68"/>
      <c r="E6" s="68"/>
      <c r="F6" s="68"/>
      <c r="G6" s="65">
        <f t="shared" si="1"/>
        <v>46239</v>
      </c>
      <c r="H6" s="62" t="str">
        <f t="shared" si="2"/>
        <v>水</v>
      </c>
      <c r="I6" s="62"/>
      <c r="J6" s="62"/>
      <c r="K6" s="62"/>
      <c r="L6" s="62"/>
    </row>
    <row r="7" spans="1:12" ht="20.5" hidden="1">
      <c r="A7" s="66">
        <v>46240</v>
      </c>
      <c r="B7" s="62" t="str">
        <f t="shared" si="0"/>
        <v>木</v>
      </c>
      <c r="C7" s="62"/>
      <c r="D7" s="68" t="s">
        <v>235</v>
      </c>
      <c r="E7" s="68"/>
      <c r="F7" s="68"/>
      <c r="G7" s="65">
        <f t="shared" si="1"/>
        <v>46240</v>
      </c>
      <c r="H7" s="62" t="str">
        <f t="shared" si="2"/>
        <v>木</v>
      </c>
      <c r="I7" s="62"/>
      <c r="J7" s="62"/>
      <c r="K7" s="62"/>
      <c r="L7" s="62"/>
    </row>
    <row r="8" spans="1:12" ht="20.5" hidden="1">
      <c r="A8" s="66">
        <v>46241</v>
      </c>
      <c r="B8" s="62" t="str">
        <f t="shared" si="0"/>
        <v>金</v>
      </c>
      <c r="C8" s="62"/>
      <c r="D8" s="68"/>
      <c r="E8" s="68" t="s">
        <v>235</v>
      </c>
      <c r="F8" s="57" t="s">
        <v>236</v>
      </c>
      <c r="G8" s="65">
        <f t="shared" si="1"/>
        <v>46241</v>
      </c>
      <c r="H8" s="62" t="str">
        <f t="shared" si="2"/>
        <v>金</v>
      </c>
      <c r="I8" s="62"/>
      <c r="J8" s="62"/>
      <c r="K8" s="62"/>
      <c r="L8" s="62"/>
    </row>
    <row r="9" spans="1:12" ht="20.5" hidden="1">
      <c r="A9" s="66">
        <v>46242</v>
      </c>
      <c r="B9" s="62" t="str">
        <f t="shared" si="0"/>
        <v>土</v>
      </c>
      <c r="C9" s="63"/>
      <c r="D9" s="63"/>
      <c r="E9" s="63"/>
      <c r="F9" s="63"/>
      <c r="G9" s="64">
        <f t="shared" si="1"/>
        <v>46242</v>
      </c>
      <c r="H9" s="63" t="str">
        <f t="shared" si="2"/>
        <v>土</v>
      </c>
      <c r="I9" s="63"/>
      <c r="J9" s="63"/>
      <c r="K9" s="63"/>
      <c r="L9" s="63"/>
    </row>
    <row r="10" spans="1:12" ht="20.5" hidden="1">
      <c r="A10" s="66">
        <v>46243</v>
      </c>
      <c r="B10" s="62" t="str">
        <f t="shared" si="0"/>
        <v>日</v>
      </c>
      <c r="C10" s="63"/>
      <c r="D10" s="63"/>
      <c r="E10" s="63"/>
      <c r="F10" s="63"/>
      <c r="G10" s="64">
        <f t="shared" si="1"/>
        <v>46243</v>
      </c>
      <c r="H10" s="63" t="str">
        <f t="shared" si="2"/>
        <v>日</v>
      </c>
      <c r="I10" s="63"/>
      <c r="J10" s="63"/>
      <c r="K10" s="63"/>
      <c r="L10" s="63"/>
    </row>
    <row r="11" spans="1:12" ht="20.5" hidden="1">
      <c r="A11" s="66">
        <v>46244</v>
      </c>
      <c r="B11" s="62" t="str">
        <f t="shared" si="0"/>
        <v>月</v>
      </c>
      <c r="C11" s="62"/>
      <c r="D11" s="62"/>
      <c r="E11" s="62"/>
      <c r="F11" s="62"/>
      <c r="G11" s="65">
        <f t="shared" si="1"/>
        <v>46244</v>
      </c>
      <c r="H11" s="62" t="str">
        <f t="shared" si="2"/>
        <v>月</v>
      </c>
      <c r="I11" s="62"/>
      <c r="J11" s="62"/>
      <c r="K11" s="62"/>
      <c r="L11" s="62"/>
    </row>
    <row r="12" spans="1:12" ht="20.5" hidden="1">
      <c r="A12" s="66">
        <v>46245</v>
      </c>
      <c r="B12" s="62" t="str">
        <f t="shared" si="0"/>
        <v>火</v>
      </c>
      <c r="C12" s="63"/>
      <c r="D12" s="63"/>
      <c r="E12" s="63"/>
      <c r="F12" s="63"/>
      <c r="G12" s="64">
        <f t="shared" si="1"/>
        <v>46245</v>
      </c>
      <c r="H12" s="63" t="str">
        <f t="shared" si="2"/>
        <v>火</v>
      </c>
      <c r="I12" s="63"/>
      <c r="J12" s="63"/>
      <c r="K12" s="63"/>
      <c r="L12" s="63"/>
    </row>
    <row r="13" spans="1:12" ht="20.5" hidden="1">
      <c r="A13" s="69">
        <v>46246</v>
      </c>
      <c r="B13" s="62" t="str">
        <f t="shared" si="0"/>
        <v>水</v>
      </c>
      <c r="C13" s="70" t="s">
        <v>237</v>
      </c>
      <c r="D13" s="71"/>
      <c r="E13" s="71"/>
      <c r="F13" s="71" t="s">
        <v>235</v>
      </c>
      <c r="G13" s="65">
        <f t="shared" si="1"/>
        <v>46246</v>
      </c>
      <c r="H13" s="62" t="str">
        <f t="shared" si="2"/>
        <v>水</v>
      </c>
      <c r="I13" s="62"/>
      <c r="J13" s="62"/>
      <c r="K13" s="62"/>
      <c r="L13" s="62"/>
    </row>
    <row r="14" spans="1:12" ht="20.5" hidden="1">
      <c r="A14" s="69">
        <v>46247</v>
      </c>
      <c r="B14" s="62" t="str">
        <f t="shared" si="0"/>
        <v>木</v>
      </c>
      <c r="C14" s="62"/>
      <c r="D14" s="71" t="s">
        <v>235</v>
      </c>
      <c r="E14" s="71"/>
      <c r="F14" s="71"/>
      <c r="G14" s="65">
        <f t="shared" si="1"/>
        <v>46247</v>
      </c>
      <c r="H14" s="62" t="str">
        <f t="shared" si="2"/>
        <v>木</v>
      </c>
      <c r="I14" s="62"/>
      <c r="J14" s="62"/>
      <c r="K14" s="62"/>
      <c r="L14" s="62"/>
    </row>
    <row r="15" spans="1:12" ht="20.5" hidden="1">
      <c r="A15" s="69">
        <v>46248</v>
      </c>
      <c r="B15" s="62" t="str">
        <f t="shared" si="0"/>
        <v>金</v>
      </c>
      <c r="C15" s="62"/>
      <c r="D15" s="71"/>
      <c r="E15" s="71" t="s">
        <v>235</v>
      </c>
      <c r="F15" s="57" t="s">
        <v>236</v>
      </c>
      <c r="G15" s="65">
        <f t="shared" si="1"/>
        <v>46248</v>
      </c>
      <c r="H15" s="62" t="str">
        <f t="shared" si="2"/>
        <v>金</v>
      </c>
      <c r="I15" s="62"/>
      <c r="J15" s="62"/>
      <c r="K15" s="62"/>
      <c r="L15" s="62"/>
    </row>
    <row r="16" spans="1:12" ht="20.5" hidden="1">
      <c r="A16" s="69">
        <v>46249</v>
      </c>
      <c r="B16" s="62" t="str">
        <f t="shared" si="0"/>
        <v>土</v>
      </c>
      <c r="C16" s="63"/>
      <c r="D16" s="63"/>
      <c r="E16" s="63"/>
      <c r="F16" s="63"/>
      <c r="G16" s="64">
        <f t="shared" si="1"/>
        <v>46249</v>
      </c>
      <c r="H16" s="63" t="str">
        <f t="shared" si="2"/>
        <v>土</v>
      </c>
      <c r="I16" s="63"/>
      <c r="J16" s="63"/>
      <c r="K16" s="63"/>
      <c r="L16" s="63"/>
    </row>
    <row r="17" spans="1:12" ht="20.5" hidden="1">
      <c r="A17" s="69">
        <v>46250</v>
      </c>
      <c r="B17" s="62" t="str">
        <f t="shared" si="0"/>
        <v>日</v>
      </c>
      <c r="C17" s="63"/>
      <c r="D17" s="63"/>
      <c r="E17" s="63"/>
      <c r="F17" s="63"/>
      <c r="G17" s="64">
        <f t="shared" si="1"/>
        <v>46250</v>
      </c>
      <c r="H17" s="63" t="str">
        <f t="shared" si="2"/>
        <v>日</v>
      </c>
      <c r="I17" s="63"/>
      <c r="J17" s="63"/>
      <c r="K17" s="63"/>
      <c r="L17" s="63"/>
    </row>
    <row r="18" spans="1:12" ht="20.5" hidden="1">
      <c r="A18" s="69">
        <v>46251</v>
      </c>
      <c r="B18" s="62" t="str">
        <f t="shared" si="0"/>
        <v>月</v>
      </c>
      <c r="C18" s="62"/>
      <c r="D18" s="62"/>
      <c r="E18" s="62"/>
      <c r="F18" s="62"/>
      <c r="G18" s="65">
        <f t="shared" si="1"/>
        <v>46251</v>
      </c>
      <c r="H18" s="62" t="str">
        <f t="shared" si="2"/>
        <v>月</v>
      </c>
      <c r="I18" s="62"/>
      <c r="J18" s="62"/>
      <c r="K18" s="62"/>
      <c r="L18" s="62"/>
    </row>
    <row r="19" spans="1:12" ht="20.5" hidden="1">
      <c r="A19" s="69">
        <v>46252</v>
      </c>
      <c r="B19" s="62" t="str">
        <f t="shared" si="0"/>
        <v>火</v>
      </c>
      <c r="C19" s="62"/>
      <c r="D19" s="62"/>
      <c r="E19" s="62"/>
      <c r="F19" s="62"/>
      <c r="G19" s="65">
        <f t="shared" si="1"/>
        <v>46252</v>
      </c>
      <c r="H19" s="62" t="str">
        <f t="shared" si="2"/>
        <v>火</v>
      </c>
      <c r="I19" s="62"/>
      <c r="J19" s="62"/>
      <c r="K19" s="62"/>
      <c r="L19" s="62"/>
    </row>
    <row r="20" spans="1:12" ht="20.5" hidden="1">
      <c r="A20" s="69">
        <v>46253</v>
      </c>
      <c r="B20" s="62" t="str">
        <f t="shared" si="0"/>
        <v>水</v>
      </c>
      <c r="C20" s="62"/>
      <c r="D20" s="62"/>
      <c r="E20" s="62"/>
      <c r="F20" s="62"/>
      <c r="G20" s="65">
        <f t="shared" si="1"/>
        <v>46253</v>
      </c>
      <c r="H20" s="62" t="str">
        <f t="shared" si="2"/>
        <v>水</v>
      </c>
      <c r="I20" s="62"/>
      <c r="J20" s="62"/>
      <c r="K20" s="62"/>
      <c r="L20" s="62"/>
    </row>
    <row r="21" spans="1:12" ht="20.5" hidden="1">
      <c r="A21" s="69">
        <v>46254</v>
      </c>
      <c r="B21" s="62" t="str">
        <f t="shared" si="0"/>
        <v>木</v>
      </c>
      <c r="C21" s="62"/>
      <c r="D21" s="62"/>
      <c r="E21" s="62"/>
      <c r="F21" s="62"/>
      <c r="G21" s="65">
        <f t="shared" si="1"/>
        <v>46254</v>
      </c>
      <c r="H21" s="62" t="str">
        <f t="shared" si="2"/>
        <v>木</v>
      </c>
      <c r="I21" s="72" t="s">
        <v>238</v>
      </c>
      <c r="J21" s="62"/>
      <c r="K21" s="62"/>
      <c r="L21" s="62"/>
    </row>
    <row r="22" spans="1:12" ht="20.5" hidden="1">
      <c r="A22" s="73">
        <v>46255</v>
      </c>
      <c r="B22" s="62" t="str">
        <f t="shared" si="0"/>
        <v>金</v>
      </c>
      <c r="C22" s="62"/>
      <c r="D22" s="62"/>
      <c r="E22" s="62"/>
      <c r="F22" s="74" t="s">
        <v>236</v>
      </c>
      <c r="G22" s="65">
        <f t="shared" si="1"/>
        <v>46255</v>
      </c>
      <c r="H22" s="62" t="str">
        <f t="shared" si="2"/>
        <v>金</v>
      </c>
      <c r="I22" s="62"/>
      <c r="J22" s="72" t="s">
        <v>238</v>
      </c>
      <c r="K22" s="62"/>
      <c r="L22" s="62"/>
    </row>
    <row r="23" spans="1:12" ht="20.5" hidden="1">
      <c r="A23" s="73">
        <v>46256</v>
      </c>
      <c r="B23" s="62" t="str">
        <f t="shared" si="0"/>
        <v>土</v>
      </c>
      <c r="C23" s="63"/>
      <c r="D23" s="63"/>
      <c r="E23" s="63"/>
      <c r="F23" s="63"/>
      <c r="G23" s="64">
        <f t="shared" si="1"/>
        <v>46256</v>
      </c>
      <c r="H23" s="63" t="str">
        <f t="shared" si="2"/>
        <v>土</v>
      </c>
      <c r="I23" s="63"/>
      <c r="J23" s="63"/>
      <c r="K23" s="63"/>
      <c r="L23" s="63"/>
    </row>
    <row r="24" spans="1:12" ht="20.5" hidden="1">
      <c r="A24" s="73">
        <v>46257</v>
      </c>
      <c r="B24" s="62" t="str">
        <f t="shared" si="0"/>
        <v>日</v>
      </c>
      <c r="C24" s="63"/>
      <c r="D24" s="63"/>
      <c r="E24" s="63"/>
      <c r="F24" s="63"/>
      <c r="G24" s="64">
        <f t="shared" si="1"/>
        <v>46257</v>
      </c>
      <c r="H24" s="63" t="str">
        <f t="shared" si="2"/>
        <v>日</v>
      </c>
      <c r="I24" s="63"/>
      <c r="J24" s="63"/>
      <c r="K24" s="63"/>
      <c r="L24" s="63"/>
    </row>
    <row r="25" spans="1:12" ht="20.5" hidden="1">
      <c r="A25" s="73">
        <v>46258</v>
      </c>
      <c r="B25" s="62" t="str">
        <f t="shared" si="0"/>
        <v>月</v>
      </c>
      <c r="C25" s="62"/>
      <c r="D25" s="62"/>
      <c r="E25" s="62"/>
      <c r="F25" s="62"/>
      <c r="G25" s="65">
        <f t="shared" si="1"/>
        <v>46258</v>
      </c>
      <c r="H25" s="62" t="str">
        <f t="shared" si="2"/>
        <v>月</v>
      </c>
      <c r="I25" s="62"/>
      <c r="J25" s="62"/>
      <c r="K25" s="72" t="s">
        <v>238</v>
      </c>
      <c r="L25" s="62"/>
    </row>
    <row r="26" spans="1:12" ht="20.5" hidden="1">
      <c r="A26" s="75">
        <v>46259</v>
      </c>
      <c r="B26" s="62" t="str">
        <f t="shared" si="0"/>
        <v>火</v>
      </c>
      <c r="C26" s="76" t="s">
        <v>239</v>
      </c>
      <c r="D26" s="77"/>
      <c r="E26" s="77"/>
      <c r="F26" s="77" t="s">
        <v>235</v>
      </c>
      <c r="G26" s="65">
        <f t="shared" si="1"/>
        <v>46259</v>
      </c>
      <c r="H26" s="62" t="str">
        <f t="shared" si="2"/>
        <v>火</v>
      </c>
      <c r="I26" s="62"/>
      <c r="J26" s="62"/>
      <c r="K26" s="62"/>
      <c r="L26" s="72" t="s">
        <v>238</v>
      </c>
    </row>
    <row r="27" spans="1:12" ht="20.5" hidden="1">
      <c r="A27" s="75">
        <v>46260</v>
      </c>
      <c r="B27" s="62" t="str">
        <f t="shared" si="0"/>
        <v>水</v>
      </c>
      <c r="C27" s="78"/>
      <c r="D27" s="77" t="s">
        <v>235</v>
      </c>
      <c r="E27" s="77"/>
      <c r="F27" s="77"/>
      <c r="G27" s="65">
        <f t="shared" si="1"/>
        <v>46260</v>
      </c>
      <c r="H27" s="62" t="str">
        <f t="shared" si="2"/>
        <v>水</v>
      </c>
      <c r="I27" s="62"/>
      <c r="J27" s="62"/>
      <c r="K27" s="62"/>
      <c r="L27" s="62"/>
    </row>
    <row r="28" spans="1:12" ht="20.5" hidden="1">
      <c r="A28" s="75">
        <v>46261</v>
      </c>
      <c r="B28" s="62" t="str">
        <f t="shared" si="0"/>
        <v>木</v>
      </c>
      <c r="C28" s="62"/>
      <c r="D28" s="77"/>
      <c r="E28" s="77" t="s">
        <v>235</v>
      </c>
      <c r="F28" s="77"/>
      <c r="G28" s="65">
        <f t="shared" si="1"/>
        <v>46261</v>
      </c>
      <c r="H28" s="62" t="str">
        <f t="shared" si="2"/>
        <v>木</v>
      </c>
      <c r="I28" s="62"/>
      <c r="J28" s="62"/>
      <c r="K28" s="62"/>
      <c r="L28" s="62"/>
    </row>
    <row r="29" spans="1:12" ht="20.5" hidden="1">
      <c r="A29" s="75">
        <v>46262</v>
      </c>
      <c r="B29" s="62" t="str">
        <f t="shared" si="0"/>
        <v>金</v>
      </c>
      <c r="C29" s="62"/>
      <c r="D29" s="62"/>
      <c r="E29" s="62"/>
      <c r="F29" s="57" t="s">
        <v>236</v>
      </c>
      <c r="G29" s="65">
        <f t="shared" si="1"/>
        <v>46262</v>
      </c>
      <c r="H29" s="62" t="str">
        <f t="shared" si="2"/>
        <v>金</v>
      </c>
      <c r="I29" s="62"/>
      <c r="J29" s="62"/>
      <c r="K29" s="62"/>
      <c r="L29" s="62"/>
    </row>
    <row r="30" spans="1:12" ht="20.5" hidden="1">
      <c r="A30" s="75">
        <v>46263</v>
      </c>
      <c r="B30" s="62" t="str">
        <f t="shared" si="0"/>
        <v>土</v>
      </c>
      <c r="C30" s="63"/>
      <c r="D30" s="63"/>
      <c r="E30" s="63"/>
      <c r="F30" s="63"/>
      <c r="G30" s="64">
        <f t="shared" si="1"/>
        <v>46263</v>
      </c>
      <c r="H30" s="63" t="str">
        <f t="shared" si="2"/>
        <v>土</v>
      </c>
      <c r="I30" s="63"/>
      <c r="J30" s="63"/>
      <c r="K30" s="63"/>
      <c r="L30" s="63"/>
    </row>
    <row r="31" spans="1:12" ht="20.5" hidden="1">
      <c r="A31" s="75">
        <v>46264</v>
      </c>
      <c r="B31" s="62" t="str">
        <f t="shared" si="0"/>
        <v>日</v>
      </c>
      <c r="C31" s="63"/>
      <c r="D31" s="63"/>
      <c r="E31" s="63"/>
      <c r="F31" s="63"/>
      <c r="G31" s="64">
        <f t="shared" si="1"/>
        <v>46264</v>
      </c>
      <c r="H31" s="63" t="str">
        <f t="shared" si="2"/>
        <v>日</v>
      </c>
      <c r="I31" s="63"/>
      <c r="J31" s="63"/>
      <c r="K31" s="63"/>
      <c r="L31" s="63"/>
    </row>
    <row r="32" spans="1:12" ht="20.5" hidden="1">
      <c r="A32" s="75">
        <v>46265</v>
      </c>
      <c r="B32" s="62" t="str">
        <f>TEXT(A32,"aaa")</f>
        <v>月</v>
      </c>
      <c r="C32" s="62"/>
      <c r="D32" s="62"/>
      <c r="E32" s="62"/>
      <c r="F32" s="62"/>
      <c r="G32" s="65">
        <f>A32</f>
        <v>46265</v>
      </c>
      <c r="H32" s="62" t="str">
        <f>TEXT(G32,"aaa")</f>
        <v>月</v>
      </c>
      <c r="I32" s="62"/>
      <c r="J32" s="62"/>
      <c r="K32" s="62"/>
      <c r="L32" s="62"/>
    </row>
    <row r="33" spans="1:12" ht="20.5">
      <c r="A33" s="65">
        <v>46266</v>
      </c>
      <c r="B33" s="62" t="str">
        <f t="shared" ref="B33:B58" si="3">TEXT(A33,"aaa")</f>
        <v>火</v>
      </c>
      <c r="C33" s="79" t="s">
        <v>240</v>
      </c>
      <c r="D33" s="77"/>
      <c r="E33" s="77"/>
      <c r="F33" s="78" t="s">
        <v>235</v>
      </c>
      <c r="G33" s="65">
        <f t="shared" ref="G33:G58" si="4">A33</f>
        <v>46266</v>
      </c>
      <c r="H33" s="62" t="str">
        <f t="shared" ref="H33:H58" si="5">TEXT(G33,"aaa")</f>
        <v>火</v>
      </c>
      <c r="I33" s="62"/>
      <c r="J33" s="62"/>
      <c r="K33" s="62"/>
      <c r="L33" s="62"/>
    </row>
    <row r="34" spans="1:12" ht="20.5">
      <c r="A34" s="65">
        <v>46267</v>
      </c>
      <c r="B34" s="62" t="str">
        <f t="shared" si="3"/>
        <v>水</v>
      </c>
      <c r="C34" s="62"/>
      <c r="D34" s="78" t="s">
        <v>235</v>
      </c>
      <c r="E34" s="78"/>
      <c r="F34" s="77"/>
      <c r="G34" s="65">
        <f t="shared" si="4"/>
        <v>46267</v>
      </c>
      <c r="H34" s="62" t="str">
        <f t="shared" si="5"/>
        <v>水</v>
      </c>
      <c r="I34" s="62"/>
      <c r="J34" s="62"/>
      <c r="K34" s="62"/>
      <c r="L34" s="62"/>
    </row>
    <row r="35" spans="1:12" ht="20.5">
      <c r="A35" s="65">
        <v>46268</v>
      </c>
      <c r="B35" s="62" t="str">
        <f t="shared" si="3"/>
        <v>木</v>
      </c>
      <c r="C35" s="62"/>
      <c r="D35" s="78"/>
      <c r="E35" s="78" t="s">
        <v>235</v>
      </c>
      <c r="F35" s="57"/>
      <c r="G35" s="65">
        <f t="shared" si="4"/>
        <v>46268</v>
      </c>
      <c r="H35" s="62" t="str">
        <f t="shared" si="5"/>
        <v>木</v>
      </c>
      <c r="I35" s="62"/>
      <c r="J35" s="62"/>
      <c r="K35" s="62"/>
      <c r="L35" s="62"/>
    </row>
    <row r="36" spans="1:12" ht="20.5">
      <c r="A36" s="65">
        <v>46269</v>
      </c>
      <c r="B36" s="62" t="str">
        <f t="shared" si="3"/>
        <v>金</v>
      </c>
      <c r="C36" s="62"/>
      <c r="D36" s="62"/>
      <c r="E36" s="62"/>
      <c r="F36" s="57" t="s">
        <v>236</v>
      </c>
      <c r="G36" s="65">
        <f t="shared" si="4"/>
        <v>46269</v>
      </c>
      <c r="H36" s="62" t="str">
        <f t="shared" si="5"/>
        <v>金</v>
      </c>
      <c r="I36" s="62"/>
      <c r="J36" s="62"/>
      <c r="K36" s="62"/>
      <c r="L36" s="62"/>
    </row>
    <row r="37" spans="1:12" ht="20.5">
      <c r="A37" s="65">
        <v>46270</v>
      </c>
      <c r="B37" s="62" t="str">
        <f t="shared" si="3"/>
        <v>土</v>
      </c>
      <c r="C37" s="63"/>
      <c r="D37" s="63"/>
      <c r="E37" s="63"/>
      <c r="F37" s="63"/>
      <c r="G37" s="64">
        <f t="shared" si="4"/>
        <v>46270</v>
      </c>
      <c r="H37" s="63" t="str">
        <f t="shared" si="5"/>
        <v>土</v>
      </c>
      <c r="I37" s="63"/>
      <c r="J37" s="63"/>
      <c r="K37" s="63"/>
      <c r="L37" s="63"/>
    </row>
    <row r="38" spans="1:12" ht="20.5">
      <c r="A38" s="65">
        <v>46271</v>
      </c>
      <c r="B38" s="62" t="str">
        <f t="shared" si="3"/>
        <v>日</v>
      </c>
      <c r="C38" s="63"/>
      <c r="D38" s="63"/>
      <c r="E38" s="63"/>
      <c r="F38" s="63"/>
      <c r="G38" s="64">
        <f t="shared" si="4"/>
        <v>46271</v>
      </c>
      <c r="H38" s="63" t="str">
        <f t="shared" si="5"/>
        <v>日</v>
      </c>
      <c r="I38" s="63"/>
      <c r="J38" s="63"/>
      <c r="K38" s="63"/>
      <c r="L38" s="63"/>
    </row>
    <row r="39" spans="1:12" ht="20.5">
      <c r="A39" s="65">
        <v>46272</v>
      </c>
      <c r="B39" s="62" t="str">
        <f t="shared" si="3"/>
        <v>月</v>
      </c>
      <c r="C39" s="62"/>
      <c r="D39" s="62"/>
      <c r="E39" s="62"/>
      <c r="F39" s="62"/>
      <c r="G39" s="65">
        <f t="shared" si="4"/>
        <v>46272</v>
      </c>
      <c r="H39" s="62" t="str">
        <f t="shared" si="5"/>
        <v>月</v>
      </c>
      <c r="I39" s="62"/>
      <c r="J39" s="62"/>
      <c r="K39" s="62"/>
      <c r="L39" s="62"/>
    </row>
    <row r="40" spans="1:12" ht="20.5">
      <c r="A40" s="80">
        <v>46273</v>
      </c>
      <c r="B40" s="62" t="str">
        <f t="shared" si="3"/>
        <v>火</v>
      </c>
      <c r="C40" s="81" t="s">
        <v>241</v>
      </c>
      <c r="D40" s="82"/>
      <c r="E40" s="82"/>
      <c r="F40" s="82" t="s">
        <v>235</v>
      </c>
      <c r="G40" s="65">
        <f t="shared" si="4"/>
        <v>46273</v>
      </c>
      <c r="H40" s="62" t="str">
        <f t="shared" si="5"/>
        <v>火</v>
      </c>
      <c r="I40" s="62"/>
      <c r="J40" s="62"/>
      <c r="K40" s="62"/>
      <c r="L40" s="62"/>
    </row>
    <row r="41" spans="1:12" ht="20.5">
      <c r="A41" s="80">
        <v>46274</v>
      </c>
      <c r="B41" s="62" t="str">
        <f t="shared" si="3"/>
        <v>水</v>
      </c>
      <c r="C41" s="62"/>
      <c r="D41" s="82" t="s">
        <v>235</v>
      </c>
      <c r="E41" s="82"/>
      <c r="F41" s="82"/>
      <c r="G41" s="65">
        <f t="shared" si="4"/>
        <v>46274</v>
      </c>
      <c r="H41" s="62" t="str">
        <f t="shared" si="5"/>
        <v>水</v>
      </c>
      <c r="I41" s="62"/>
      <c r="J41" s="62"/>
      <c r="K41" s="62"/>
      <c r="L41" s="62"/>
    </row>
    <row r="42" spans="1:12" ht="20.5">
      <c r="A42" s="80">
        <v>46275</v>
      </c>
      <c r="B42" s="62" t="str">
        <f t="shared" si="3"/>
        <v>木</v>
      </c>
      <c r="C42" s="62"/>
      <c r="D42" s="82"/>
      <c r="E42" s="82" t="s">
        <v>235</v>
      </c>
      <c r="F42" s="82"/>
      <c r="G42" s="65">
        <f t="shared" si="4"/>
        <v>46275</v>
      </c>
      <c r="H42" s="62" t="str">
        <f t="shared" si="5"/>
        <v>木</v>
      </c>
      <c r="I42" s="62"/>
      <c r="J42" s="62"/>
      <c r="K42" s="62"/>
      <c r="L42" s="62"/>
    </row>
    <row r="43" spans="1:12" ht="20.5">
      <c r="A43" s="80">
        <v>46276</v>
      </c>
      <c r="B43" s="62" t="str">
        <f t="shared" si="3"/>
        <v>金</v>
      </c>
      <c r="C43" s="62"/>
      <c r="D43" s="62"/>
      <c r="E43" s="62"/>
      <c r="F43" s="57" t="s">
        <v>236</v>
      </c>
      <c r="G43" s="65">
        <f t="shared" si="4"/>
        <v>46276</v>
      </c>
      <c r="H43" s="62" t="str">
        <f t="shared" si="5"/>
        <v>金</v>
      </c>
      <c r="I43" s="62"/>
      <c r="J43" s="62"/>
      <c r="K43" s="62"/>
      <c r="L43" s="62"/>
    </row>
    <row r="44" spans="1:12" ht="20.5">
      <c r="A44" s="80">
        <v>46277</v>
      </c>
      <c r="B44" s="62" t="str">
        <f t="shared" si="3"/>
        <v>土</v>
      </c>
      <c r="C44" s="63"/>
      <c r="D44" s="63"/>
      <c r="E44" s="63"/>
      <c r="F44" s="63"/>
      <c r="G44" s="64">
        <f t="shared" si="4"/>
        <v>46277</v>
      </c>
      <c r="H44" s="63" t="str">
        <f t="shared" si="5"/>
        <v>土</v>
      </c>
      <c r="I44" s="63"/>
      <c r="J44" s="63"/>
      <c r="K44" s="63"/>
      <c r="L44" s="63"/>
    </row>
    <row r="45" spans="1:12" ht="20.5">
      <c r="A45" s="80">
        <v>46278</v>
      </c>
      <c r="B45" s="62" t="str">
        <f t="shared" si="3"/>
        <v>日</v>
      </c>
      <c r="C45" s="63"/>
      <c r="D45" s="63"/>
      <c r="E45" s="63"/>
      <c r="F45" s="63"/>
      <c r="G45" s="64">
        <f t="shared" si="4"/>
        <v>46278</v>
      </c>
      <c r="H45" s="63" t="str">
        <f t="shared" si="5"/>
        <v>日</v>
      </c>
      <c r="I45" s="63"/>
      <c r="J45" s="63"/>
      <c r="K45" s="63"/>
      <c r="L45" s="63"/>
    </row>
    <row r="46" spans="1:12" ht="20.5">
      <c r="A46" s="80">
        <v>46279</v>
      </c>
      <c r="B46" s="62" t="str">
        <f t="shared" si="3"/>
        <v>月</v>
      </c>
      <c r="C46" s="62"/>
      <c r="D46" s="62"/>
      <c r="E46" s="62"/>
      <c r="F46" s="62"/>
      <c r="G46" s="65">
        <f t="shared" si="4"/>
        <v>46279</v>
      </c>
      <c r="H46" s="62" t="str">
        <f t="shared" si="5"/>
        <v>月</v>
      </c>
      <c r="I46" s="62"/>
      <c r="J46" s="62"/>
      <c r="K46" s="62"/>
      <c r="L46" s="62"/>
    </row>
    <row r="47" spans="1:12" ht="20.5">
      <c r="A47" s="69">
        <v>46280</v>
      </c>
      <c r="B47" s="62" t="str">
        <f t="shared" si="3"/>
        <v>火</v>
      </c>
      <c r="C47" s="83" t="s">
        <v>242</v>
      </c>
      <c r="D47" s="84"/>
      <c r="E47" s="84"/>
      <c r="F47" s="84" t="s">
        <v>235</v>
      </c>
      <c r="G47" s="65">
        <f t="shared" si="4"/>
        <v>46280</v>
      </c>
      <c r="H47" s="62" t="str">
        <f t="shared" si="5"/>
        <v>火</v>
      </c>
      <c r="I47" s="62"/>
      <c r="J47" s="62"/>
      <c r="K47" s="62"/>
      <c r="L47" s="62"/>
    </row>
    <row r="48" spans="1:12" ht="20.5">
      <c r="A48" s="69">
        <v>46281</v>
      </c>
      <c r="B48" s="62" t="str">
        <f t="shared" si="3"/>
        <v>水</v>
      </c>
      <c r="C48" s="62"/>
      <c r="D48" s="84" t="s">
        <v>235</v>
      </c>
      <c r="E48" s="84"/>
      <c r="F48" s="84"/>
      <c r="G48" s="65">
        <f t="shared" si="4"/>
        <v>46281</v>
      </c>
      <c r="H48" s="62" t="str">
        <f t="shared" si="5"/>
        <v>水</v>
      </c>
      <c r="I48" s="62"/>
      <c r="J48" s="62"/>
      <c r="K48" s="62"/>
      <c r="L48" s="62"/>
    </row>
    <row r="49" spans="1:12" ht="20.5">
      <c r="A49" s="69">
        <v>46282</v>
      </c>
      <c r="B49" s="62" t="str">
        <f t="shared" si="3"/>
        <v>木</v>
      </c>
      <c r="C49" s="62"/>
      <c r="D49" s="84"/>
      <c r="E49" s="84" t="s">
        <v>235</v>
      </c>
      <c r="F49" s="84"/>
      <c r="G49" s="65">
        <f t="shared" si="4"/>
        <v>46282</v>
      </c>
      <c r="H49" s="62" t="str">
        <f t="shared" si="5"/>
        <v>木</v>
      </c>
      <c r="I49" s="72" t="s">
        <v>238</v>
      </c>
      <c r="J49" s="62"/>
      <c r="K49" s="62"/>
      <c r="L49" s="62"/>
    </row>
    <row r="50" spans="1:12" ht="20.5">
      <c r="A50" s="75">
        <v>46283</v>
      </c>
      <c r="B50" s="62" t="str">
        <f t="shared" si="3"/>
        <v>金</v>
      </c>
      <c r="C50" s="62"/>
      <c r="D50" s="62"/>
      <c r="E50" s="62"/>
      <c r="F50" s="74" t="s">
        <v>236</v>
      </c>
      <c r="G50" s="65">
        <f t="shared" si="4"/>
        <v>46283</v>
      </c>
      <c r="H50" s="62" t="str">
        <f t="shared" si="5"/>
        <v>金</v>
      </c>
      <c r="I50" s="62"/>
      <c r="J50" s="72" t="s">
        <v>238</v>
      </c>
      <c r="K50" s="62"/>
      <c r="L50" s="62"/>
    </row>
    <row r="51" spans="1:12" ht="20.5">
      <c r="A51" s="75">
        <v>46284</v>
      </c>
      <c r="B51" s="62" t="str">
        <f t="shared" si="3"/>
        <v>土</v>
      </c>
      <c r="C51" s="63"/>
      <c r="D51" s="63"/>
      <c r="E51" s="63"/>
      <c r="F51" s="63"/>
      <c r="G51" s="64">
        <f t="shared" si="4"/>
        <v>46284</v>
      </c>
      <c r="H51" s="63" t="str">
        <f t="shared" si="5"/>
        <v>土</v>
      </c>
      <c r="I51" s="63"/>
      <c r="J51" s="63"/>
      <c r="K51" s="63"/>
      <c r="L51" s="63"/>
    </row>
    <row r="52" spans="1:12" ht="20.5">
      <c r="A52" s="75">
        <v>46285</v>
      </c>
      <c r="B52" s="62" t="str">
        <f t="shared" si="3"/>
        <v>日</v>
      </c>
      <c r="C52" s="63"/>
      <c r="D52" s="63"/>
      <c r="E52" s="63"/>
      <c r="F52" s="63"/>
      <c r="G52" s="64">
        <f t="shared" si="4"/>
        <v>46285</v>
      </c>
      <c r="H52" s="63" t="str">
        <f t="shared" si="5"/>
        <v>日</v>
      </c>
      <c r="I52" s="63"/>
      <c r="J52" s="63"/>
      <c r="K52" s="63"/>
      <c r="L52" s="63"/>
    </row>
    <row r="53" spans="1:12" ht="20.5">
      <c r="A53" s="75">
        <v>46286</v>
      </c>
      <c r="B53" s="62" t="str">
        <f t="shared" si="3"/>
        <v>月</v>
      </c>
      <c r="C53" s="63"/>
      <c r="D53" s="63"/>
      <c r="E53" s="63"/>
      <c r="F53" s="63"/>
      <c r="G53" s="64">
        <f t="shared" si="4"/>
        <v>46286</v>
      </c>
      <c r="H53" s="63" t="str">
        <f t="shared" si="5"/>
        <v>月</v>
      </c>
      <c r="I53" s="63"/>
      <c r="J53" s="63"/>
      <c r="K53" s="63"/>
      <c r="L53" s="63"/>
    </row>
    <row r="54" spans="1:12" ht="20.5">
      <c r="A54" s="75">
        <v>46287</v>
      </c>
      <c r="B54" s="62" t="str">
        <f t="shared" si="3"/>
        <v>火</v>
      </c>
      <c r="C54" s="63"/>
      <c r="D54" s="63"/>
      <c r="E54" s="63"/>
      <c r="F54" s="63"/>
      <c r="G54" s="64">
        <f t="shared" si="4"/>
        <v>46287</v>
      </c>
      <c r="H54" s="63" t="str">
        <f t="shared" si="5"/>
        <v>火</v>
      </c>
      <c r="I54" s="63"/>
      <c r="J54" s="63"/>
      <c r="K54" s="63"/>
      <c r="L54" s="63"/>
    </row>
    <row r="55" spans="1:12" ht="20.5">
      <c r="A55" s="75">
        <v>46288</v>
      </c>
      <c r="B55" s="62" t="str">
        <f t="shared" si="3"/>
        <v>水</v>
      </c>
      <c r="C55" s="63"/>
      <c r="D55" s="63"/>
      <c r="E55" s="63"/>
      <c r="F55" s="63"/>
      <c r="G55" s="64">
        <f t="shared" si="4"/>
        <v>46288</v>
      </c>
      <c r="H55" s="63" t="str">
        <f t="shared" si="5"/>
        <v>水</v>
      </c>
      <c r="I55" s="63"/>
      <c r="J55" s="63"/>
      <c r="K55" s="63"/>
      <c r="L55" s="63"/>
    </row>
    <row r="56" spans="1:12" ht="20.5">
      <c r="A56" s="85">
        <v>46289</v>
      </c>
      <c r="B56" s="62" t="str">
        <f t="shared" si="3"/>
        <v>木</v>
      </c>
      <c r="C56" s="86" t="s">
        <v>243</v>
      </c>
      <c r="D56" s="87"/>
      <c r="E56" s="84"/>
      <c r="F56" s="87" t="s">
        <v>235</v>
      </c>
      <c r="G56" s="65">
        <f t="shared" si="4"/>
        <v>46289</v>
      </c>
      <c r="H56" s="62" t="str">
        <f t="shared" si="5"/>
        <v>木</v>
      </c>
      <c r="I56" s="62"/>
      <c r="J56" s="62"/>
      <c r="K56" s="72" t="s">
        <v>238</v>
      </c>
      <c r="L56" s="62"/>
    </row>
    <row r="57" spans="1:12" ht="20.5">
      <c r="A57" s="85">
        <v>46290</v>
      </c>
      <c r="B57" s="62" t="str">
        <f t="shared" si="3"/>
        <v>金</v>
      </c>
      <c r="C57" s="62"/>
      <c r="D57" s="87" t="s">
        <v>235</v>
      </c>
      <c r="E57" s="62"/>
      <c r="F57" s="57" t="s">
        <v>236</v>
      </c>
      <c r="G57" s="65">
        <f t="shared" si="4"/>
        <v>46290</v>
      </c>
      <c r="H57" s="62" t="str">
        <f t="shared" si="5"/>
        <v>金</v>
      </c>
      <c r="I57" s="62"/>
      <c r="J57" s="62"/>
      <c r="K57" s="62"/>
      <c r="L57" s="72" t="s">
        <v>238</v>
      </c>
    </row>
    <row r="58" spans="1:12" ht="20.5">
      <c r="A58" s="85">
        <v>46291</v>
      </c>
      <c r="B58" s="62" t="str">
        <f t="shared" si="3"/>
        <v>土</v>
      </c>
      <c r="C58" s="63"/>
      <c r="D58" s="63"/>
      <c r="E58" s="63"/>
      <c r="F58" s="63"/>
      <c r="G58" s="64">
        <f t="shared" si="4"/>
        <v>46291</v>
      </c>
      <c r="H58" s="63" t="str">
        <f t="shared" si="5"/>
        <v>土</v>
      </c>
      <c r="I58" s="63"/>
      <c r="J58" s="63"/>
      <c r="K58" s="63"/>
      <c r="L58" s="63"/>
    </row>
    <row r="59" spans="1:12" ht="20.5">
      <c r="A59" s="85">
        <v>46292</v>
      </c>
      <c r="B59" s="62" t="str">
        <f>TEXT(A59,"aaa")</f>
        <v>日</v>
      </c>
      <c r="C59" s="63"/>
      <c r="D59" s="63"/>
      <c r="E59" s="63"/>
      <c r="F59" s="63"/>
      <c r="G59" s="64">
        <f>A59</f>
        <v>46292</v>
      </c>
      <c r="H59" s="63" t="str">
        <f>TEXT(G59,"aaa")</f>
        <v>日</v>
      </c>
      <c r="I59" s="63"/>
      <c r="J59" s="63"/>
      <c r="K59" s="63"/>
      <c r="L59" s="63"/>
    </row>
    <row r="60" spans="1:12" ht="20.5">
      <c r="A60" s="85">
        <v>46293</v>
      </c>
      <c r="B60" s="62" t="str">
        <f t="shared" ref="B60:B65" si="6">TEXT(A60,"aaa")</f>
        <v>月</v>
      </c>
      <c r="C60" s="62"/>
      <c r="D60" s="62"/>
      <c r="E60" s="87" t="s">
        <v>235</v>
      </c>
      <c r="F60" s="62"/>
      <c r="G60" s="65">
        <f t="shared" ref="G60:G65" si="7">A60</f>
        <v>46293</v>
      </c>
      <c r="H60" s="62" t="str">
        <f t="shared" ref="H60:H65" si="8">TEXT(G60,"aaa")</f>
        <v>月</v>
      </c>
      <c r="I60" s="62"/>
      <c r="J60" s="62"/>
      <c r="K60" s="62"/>
      <c r="L60" s="62"/>
    </row>
    <row r="61" spans="1:12" ht="20.5">
      <c r="A61" s="73">
        <v>46294</v>
      </c>
      <c r="B61" s="62" t="str">
        <f t="shared" si="6"/>
        <v>火</v>
      </c>
      <c r="C61" s="88" t="s">
        <v>244</v>
      </c>
      <c r="D61" s="82"/>
      <c r="E61" s="82"/>
      <c r="F61" s="82" t="s">
        <v>235</v>
      </c>
      <c r="G61" s="65">
        <f t="shared" si="7"/>
        <v>46294</v>
      </c>
      <c r="H61" s="62" t="str">
        <f t="shared" si="8"/>
        <v>火</v>
      </c>
      <c r="I61" s="62"/>
      <c r="J61" s="62"/>
      <c r="K61" s="62"/>
      <c r="L61" s="62"/>
    </row>
    <row r="62" spans="1:12" ht="20.5">
      <c r="A62" s="73">
        <v>46295</v>
      </c>
      <c r="B62" s="62" t="str">
        <f t="shared" si="6"/>
        <v>水</v>
      </c>
      <c r="C62" s="62"/>
      <c r="D62" s="82" t="s">
        <v>235</v>
      </c>
      <c r="E62" s="82"/>
      <c r="F62" s="82"/>
      <c r="G62" s="65">
        <f t="shared" si="7"/>
        <v>46295</v>
      </c>
      <c r="H62" s="62" t="str">
        <f t="shared" si="8"/>
        <v>水</v>
      </c>
      <c r="I62" s="62"/>
      <c r="J62" s="62"/>
      <c r="K62" s="62"/>
      <c r="L62" s="62"/>
    </row>
    <row r="63" spans="1:12" ht="20.5">
      <c r="A63" s="73">
        <v>46296</v>
      </c>
      <c r="B63" s="62" t="str">
        <f t="shared" si="6"/>
        <v>木</v>
      </c>
      <c r="C63" s="62"/>
      <c r="D63" s="82"/>
      <c r="E63" s="82" t="s">
        <v>235</v>
      </c>
      <c r="F63" s="82"/>
      <c r="G63" s="65">
        <f t="shared" si="7"/>
        <v>46296</v>
      </c>
      <c r="H63" s="62" t="str">
        <f t="shared" si="8"/>
        <v>木</v>
      </c>
      <c r="I63" s="62"/>
      <c r="J63" s="62"/>
      <c r="K63" s="62"/>
      <c r="L63" s="62"/>
    </row>
    <row r="64" spans="1:12" ht="20.5">
      <c r="A64" s="73">
        <v>46297</v>
      </c>
      <c r="B64" s="62" t="str">
        <f t="shared" si="6"/>
        <v>金</v>
      </c>
      <c r="C64" s="62"/>
      <c r="D64" s="62"/>
      <c r="E64" s="62"/>
      <c r="F64" s="57" t="s">
        <v>236</v>
      </c>
      <c r="G64" s="65">
        <f t="shared" si="7"/>
        <v>46297</v>
      </c>
      <c r="H64" s="62" t="str">
        <f t="shared" si="8"/>
        <v>金</v>
      </c>
      <c r="I64" s="62"/>
      <c r="J64" s="62"/>
      <c r="K64" s="62"/>
      <c r="L64" s="62"/>
    </row>
    <row r="65" spans="1:12" ht="20.5">
      <c r="A65" s="73">
        <v>46298</v>
      </c>
      <c r="B65" s="62" t="str">
        <f t="shared" si="6"/>
        <v>土</v>
      </c>
      <c r="C65" s="63"/>
      <c r="D65" s="63"/>
      <c r="E65" s="63"/>
      <c r="F65" s="63"/>
      <c r="G65" s="64">
        <f t="shared" si="7"/>
        <v>46298</v>
      </c>
      <c r="H65" s="63" t="str">
        <f t="shared" si="8"/>
        <v>土</v>
      </c>
      <c r="I65" s="63"/>
      <c r="J65" s="63"/>
      <c r="K65" s="63"/>
      <c r="L65" s="63"/>
    </row>
  </sheetData>
  <conditionalFormatting sqref="B1">
    <cfRule type="expression" priority="2">
      <formula>OR(TEXT($B9,"aaa")="土",TEXT($B9,"aaa")="日")</formula>
    </cfRule>
  </conditionalFormatting>
  <conditionalFormatting sqref="B2:B31">
    <cfRule type="expression" priority="1">
      <formula>OR(TEXT($B3,"aaa")="土",TEXT($B3,"aaa")="日")</formula>
    </cfRule>
  </conditionalFormatting>
  <conditionalFormatting sqref="B32:B65">
    <cfRule type="expression" priority="3">
      <formula>OR(TEXT(#REF!,"aaa")="土",TEXT(#REF!,"aaa")="日")</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短縮承認除外</vt:lpstr>
      <vt:lpstr>全体サマリ（定常期間サマリ）</vt:lpstr>
      <vt:lpstr>10月（既存移管合算）</vt:lpstr>
      <vt:lpstr>件数(合算）</vt:lpstr>
      <vt:lpstr>発行(合算）</vt:lpstr>
      <vt:lpstr>コスト計算用(合算）</vt:lpstr>
      <vt:lpstr>短縮承認日程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Saito, Kazuyuki | Kazu | RM</cp:lastModifiedBy>
  <dcterms:created xsi:type="dcterms:W3CDTF">2026-07-29T12:51:23Z</dcterms:created>
  <dcterms:modified xsi:type="dcterms:W3CDTF">2026-08-13T04:53:16Z</dcterms:modified>
</cp:coreProperties>
</file>